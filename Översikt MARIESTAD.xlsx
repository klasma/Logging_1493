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46283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46283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46283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46283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46283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46283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46283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46283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46283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46283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46283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46283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46283</v>
      </c>
      <c r="F17" t="inlineStr">
        <is>
          <t>VÄSTRA GÖTALANDS LÄN</t>
        </is>
      </c>
      <c r="G17" t="inlineStr">
        <is>
          <t>MARIESTAD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Blåsippa
Gullviva</t>
        </is>
      </c>
      <c r="W17">
        <f>HYPERLINK("https://klasma.github.io/Logging_1493/artfynd/A 47764-2023 artfynd.xlsx", "A 47764-2023")</f>
        <v/>
      </c>
      <c r="X17">
        <f>HYPERLINK("https://klasma.github.io/Logging_1493/kartor/A 47764-2023 karta.png", "A 47764-2023")</f>
        <v/>
      </c>
      <c r="Y17">
        <f>HYPERLINK("https://klasma.github.io/Logging_1493/kartor_geotiff/A 47764-2023 georefererad karta.tif", "A 47764-2023")</f>
        <v/>
      </c>
      <c r="AA17">
        <f>HYPERLINK("https://klasma.github.io/Logging_1493/klagomål/A 47764-2023 FSC-klagomål.docx", "A 47764-2023")</f>
        <v/>
      </c>
      <c r="AB17">
        <f>HYPERLINK("https://klasma.github.io/Logging_1493/klagomålsmail/A 47764-2023 FSC-klagomål mail.docx", "A 47764-2023")</f>
        <v/>
      </c>
      <c r="AC17">
        <f>HYPERLINK("https://klasma.github.io/Logging_1493/tillsyn/A 47764-2023 tillsynsbegäran.docx", "A 47764-2023")</f>
        <v/>
      </c>
      <c r="AD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46283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Skogshare
Spillkråka</t>
        </is>
      </c>
      <c r="W18">
        <f>HYPERLINK("https://klasma.github.io/Logging_1493/artfynd/A 46886-2023 artfynd.xlsx", "A 46886-2023")</f>
        <v/>
      </c>
      <c r="X18">
        <f>HYPERLINK("https://klasma.github.io/Logging_1493/kartor/A 46886-2023 karta.png", "A 46886-2023")</f>
        <v/>
      </c>
      <c r="Y18">
        <f>HYPERLINK("https://klasma.github.io/Logging_1493/kartor_geotiff/A 46886-2023 georefererad karta.tif", "A 46886-2023")</f>
        <v/>
      </c>
      <c r="AA18">
        <f>HYPERLINK("https://klasma.github.io/Logging_1493/klagomål/A 46886-2023 FSC-klagomål.docx", "A 46886-2023")</f>
        <v/>
      </c>
      <c r="AB18">
        <f>HYPERLINK("https://klasma.github.io/Logging_1493/klagomålsmail/A 46886-2023 FSC-klagomål mail.docx", "A 46886-2023")</f>
        <v/>
      </c>
      <c r="AC18">
        <f>HYPERLINK("https://klasma.github.io/Logging_1493/tillsyn/A 46886-2023 tillsynsbegäran.docx", "A 46886-2023")</f>
        <v/>
      </c>
      <c r="AD18">
        <f>HYPERLINK("https://klasma.github.io/Logging_1493/tillsynsmail/A 46886-2023 tillsynsbegäran mail.docx", "A 46886-2023")</f>
        <v/>
      </c>
      <c r="AE18">
        <f>HYPERLINK("https://klasma.github.io/Logging_1493/fåglar/A 46886-2023 prioriterade fågelarter.docx", "A 46886-2023")</f>
        <v/>
      </c>
    </row>
    <row r="19" ht="15" customHeight="1">
      <c r="A19" t="inlineStr">
        <is>
          <t>A 63287-2025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46009</v>
      </c>
      <c r="E19" s="1" t="n">
        <v>46283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Kyrkan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Ask
Tallticka</t>
        </is>
      </c>
      <c r="W19">
        <f>HYPERLINK("https://klasma.github.io/Logging_1493/artfynd/A 63287-2025 artfynd.xlsx", "A 63287-2025")</f>
        <v/>
      </c>
      <c r="X19">
        <f>HYPERLINK("https://klasma.github.io/Logging_1493/kartor/A 63287-2025 karta.png", "A 63287-2025")</f>
        <v/>
      </c>
      <c r="Y19">
        <f>HYPERLINK("https://klasma.github.io/Logging_1493/kartor_geotiff/A 63287-2025 georefererad karta.tif", "A 63287-2025")</f>
        <v/>
      </c>
      <c r="AA19">
        <f>HYPERLINK("https://klasma.github.io/Logging_1493/klagomål/A 63287-2025 FSC-klagomål.docx", "A 63287-2025")</f>
        <v/>
      </c>
      <c r="AB19">
        <f>HYPERLINK("https://klasma.github.io/Logging_1493/klagomålsmail/A 63287-2025 FSC-klagomål mail.docx", "A 63287-2025")</f>
        <v/>
      </c>
      <c r="AC19">
        <f>HYPERLINK("https://klasma.github.io/Logging_1493/tillsyn/A 63287-2025 tillsynsbegäran.docx", "A 63287-2025")</f>
        <v/>
      </c>
      <c r="AD19">
        <f>HYPERLINK("https://klasma.github.io/Logging_1493/tillsynsmail/A 63287-2025 tillsynsbegäran mail.docx", "A 63287-2025")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46283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46283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46283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46283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46283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46283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46283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12379-2026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46283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5.7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HYPERLINK("https://klasma.github.io/Logging_1493/artfynd/A 12379-2026 artfynd.xlsx", "A 12379-2026")</f>
        <v/>
      </c>
      <c r="X27">
        <f>HYPERLINK("https://klasma.github.io/Logging_1493/kartor/A 12379-2026 karta.png", "A 12379-2026")</f>
        <v/>
      </c>
      <c r="Y27">
        <f>HYPERLINK("https://klasma.github.io/Logging_1493/kartor_geotiff/A 12379-2026 georefererad karta.tif", "A 12379-2026")</f>
        <v/>
      </c>
      <c r="AA27">
        <f>HYPERLINK("https://klasma.github.io/Logging_1493/klagomål/A 12379-2026 FSC-klagomål.docx", "A 12379-2026")</f>
        <v/>
      </c>
      <c r="AB27">
        <f>HYPERLINK("https://klasma.github.io/Logging_1493/klagomålsmail/A 12379-2026 FSC-klagomål mail.docx", "A 12379-2026")</f>
        <v/>
      </c>
      <c r="AC27">
        <f>HYPERLINK("https://klasma.github.io/Logging_1493/tillsyn/A 12379-2026 tillsynsbegäran.docx", "A 12379-2026")</f>
        <v/>
      </c>
      <c r="AD27">
        <f>HYPERLINK("https://klasma.github.io/Logging_1493/tillsynsmail/A 12379-2026 tillsynsbegäran mail.docx", "A 12379-2026")</f>
        <v/>
      </c>
    </row>
    <row r="28" ht="15" customHeight="1">
      <c r="A28" t="inlineStr">
        <is>
          <t>A 49233-2023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45210</v>
      </c>
      <c r="E28" s="1" t="n">
        <v>46283</v>
      </c>
      <c r="F28" t="inlineStr">
        <is>
          <t>VÄSTRA GÖTALANDS LÄN</t>
        </is>
      </c>
      <c r="G28" t="inlineStr">
        <is>
          <t>MARIESTAD</t>
        </is>
      </c>
      <c r="I28" t="n">
        <v>6.1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Lönnlav</t>
        </is>
      </c>
      <c r="W28">
        <f>HYPERLINK("https://klasma.github.io/Logging_1493/artfynd/A 49233-2023 artfynd.xlsx", "A 49233-2023")</f>
        <v/>
      </c>
      <c r="X28">
        <f>HYPERLINK("https://klasma.github.io/Logging_1493/kartor/A 49233-2023 karta.png", "A 49233-2023")</f>
        <v/>
      </c>
      <c r="Y28">
        <f>HYPERLINK("https://klasma.github.io/Logging_1493/kartor_geotiff/A 49233-2023 georefererad karta.tif", "A 49233-2023")</f>
        <v/>
      </c>
      <c r="AA28">
        <f>HYPERLINK("https://klasma.github.io/Logging_1493/klagomål/A 49233-2023 FSC-klagomål.docx", "A 49233-2023")</f>
        <v/>
      </c>
      <c r="AB28">
        <f>HYPERLINK("https://klasma.github.io/Logging_1493/klagomålsmail/A 49233-2023 FSC-klagomål mail.docx", "A 49233-2023")</f>
        <v/>
      </c>
      <c r="AC28">
        <f>HYPERLINK("https://klasma.github.io/Logging_1493/tillsyn/A 49233-2023 tillsynsbegäran.docx", "A 49233-2023")</f>
        <v/>
      </c>
      <c r="AD28">
        <f>HYPERLINK("https://klasma.github.io/Logging_1493/tillsynsmail/A 49233-2023 tillsynsbegäran mail.docx", "A 49233-2023")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46283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38580-2023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46283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38580-2023 artfynd.xlsx", "A 38580-2023")</f>
        <v/>
      </c>
      <c r="X30">
        <f>HYPERLINK("https://klasma.github.io/Logging_1493/kartor/A 38580-2023 karta.png", "A 38580-2023")</f>
        <v/>
      </c>
      <c r="Y30">
        <f>HYPERLINK("https://klasma.github.io/Logging_1493/kartor_geotiff/A 38580-2023 georefererad karta.tif", "A 38580-2023")</f>
        <v/>
      </c>
      <c r="AA30">
        <f>HYPERLINK("https://klasma.github.io/Logging_1493/klagomål/A 38580-2023 FSC-klagomål.docx", "A 38580-2023")</f>
        <v/>
      </c>
      <c r="AB30">
        <f>HYPERLINK("https://klasma.github.io/Logging_1493/klagomålsmail/A 38580-2023 FSC-klagomål mail.docx", "A 38580-2023")</f>
        <v/>
      </c>
      <c r="AC30">
        <f>HYPERLINK("https://klasma.github.io/Logging_1493/tillsyn/A 38580-2023 tillsynsbegäran.docx", "A 38580-2023")</f>
        <v/>
      </c>
      <c r="AD30">
        <f>HYPERLINK("https://klasma.github.io/Logging_1493/tillsynsmail/A 38580-2023 tillsynsbegäran mail.docx", "A 38580-2023")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46283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46283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46283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46283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46283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46283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46283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42647-2023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45181</v>
      </c>
      <c r="E38" s="1" t="n">
        <v>46283</v>
      </c>
      <c r="F38" t="inlineStr">
        <is>
          <t>VÄSTRA GÖTALANDS LÄN</t>
        </is>
      </c>
      <c r="G38" t="inlineStr">
        <is>
          <t>MARIESTAD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Ärtsångare</t>
        </is>
      </c>
      <c r="W38">
        <f>HYPERLINK("https://klasma.github.io/Logging_1493/artfynd/A 42647-2023 artfynd.xlsx", "A 42647-2023")</f>
        <v/>
      </c>
      <c r="X38">
        <f>HYPERLINK("https://klasma.github.io/Logging_1493/kartor/A 42647-2023 karta.png", "A 42647-2023")</f>
        <v/>
      </c>
      <c r="Y38">
        <f>HYPERLINK("https://klasma.github.io/Logging_1493/kartor_geotiff/A 42647-2023 georefererad karta.tif", "A 42647-2023")</f>
        <v/>
      </c>
      <c r="AA38">
        <f>HYPERLINK("https://klasma.github.io/Logging_1493/klagomål/A 42647-2023 FSC-klagomål.docx", "A 42647-2023")</f>
        <v/>
      </c>
      <c r="AB38">
        <f>HYPERLINK("https://klasma.github.io/Logging_1493/klagomålsmail/A 42647-2023 FSC-klagomål mail.docx", "A 42647-2023")</f>
        <v/>
      </c>
      <c r="AC38">
        <f>HYPERLINK("https://klasma.github.io/Logging_1493/tillsyn/A 42647-2023 tillsynsbegäran.docx", "A 42647-2023")</f>
        <v/>
      </c>
      <c r="AD38">
        <f>HYPERLINK("https://klasma.github.io/Logging_1493/tillsynsmail/A 42647-2023 tillsynsbegäran mail.docx", "A 42647-2023")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46283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HYPERLINK("https://klasma.github.io/Logging_1493/artfynd/A 9650-2025 artfynd.xlsx", "A 9650-2025")</f>
        <v/>
      </c>
      <c r="X39">
        <f>HYPERLINK("https://klasma.github.io/Logging_1493/kartor/A 9650-2025 karta.png", "A 9650-2025")</f>
        <v/>
      </c>
      <c r="Y39">
        <f>HYPERLINK("https://klasma.github.io/Logging_1493/kartor_geotiff/A 9650-2025 georefererad karta.tif", "A 9650-2025")</f>
        <v/>
      </c>
      <c r="AA39">
        <f>HYPERLINK("https://klasma.github.io/Logging_1493/klagomål/A 9650-2025 FSC-klagomål.docx", "A 9650-2025")</f>
        <v/>
      </c>
      <c r="AB39">
        <f>HYPERLINK("https://klasma.github.io/Logging_1493/klagomålsmail/A 9650-2025 FSC-klagomål mail.docx", "A 9650-2025")</f>
        <v/>
      </c>
      <c r="AC39">
        <f>HYPERLINK("https://klasma.github.io/Logging_1493/tillsyn/A 9650-2025 tillsynsbegäran.docx", "A 9650-2025")</f>
        <v/>
      </c>
      <c r="AD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46283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46283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46283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46283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46283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46283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46283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46283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46283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46283</v>
      </c>
      <c r="F49" t="inlineStr">
        <is>
          <t>VÄSTRA GÖTALANDS LÄN</t>
        </is>
      </c>
      <c r="G49" t="inlineStr">
        <is>
          <t>MARIESTAD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46283</v>
      </c>
      <c r="F50" t="inlineStr">
        <is>
          <t>VÄSTRA GÖTALANDS LÄN</t>
        </is>
      </c>
      <c r="G50" t="inlineStr">
        <is>
          <t>MARIESTAD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46283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46283</v>
      </c>
      <c r="F52" t="inlineStr">
        <is>
          <t>VÄSTRA GÖTALANDS LÄN</t>
        </is>
      </c>
      <c r="G52" t="inlineStr">
        <is>
          <t>MARIESTAD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44461</v>
      </c>
      <c r="E53" s="1" t="n">
        <v>46283</v>
      </c>
      <c r="F53" t="inlineStr">
        <is>
          <t>VÄSTRA GÖTALANDS LÄN</t>
        </is>
      </c>
      <c r="G53" t="inlineStr">
        <is>
          <t>MARIESTAD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67146-2021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46283</v>
      </c>
      <c r="F54" t="inlineStr">
        <is>
          <t>VÄSTRA GÖTALANDS LÄN</t>
        </is>
      </c>
      <c r="G54" t="inlineStr">
        <is>
          <t>MARIESTAD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46283</v>
      </c>
      <c r="F55" t="inlineStr">
        <is>
          <t>VÄSTRA GÖTALANDS LÄN</t>
        </is>
      </c>
      <c r="G55" t="inlineStr">
        <is>
          <t>MARIESTAD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46283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Kyrkan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44766</v>
      </c>
      <c r="E57" s="1" t="n">
        <v>46283</v>
      </c>
      <c r="F57" t="inlineStr">
        <is>
          <t>VÄSTRA GÖTALANDS LÄN</t>
        </is>
      </c>
      <c r="G57" t="inlineStr">
        <is>
          <t>MARIESTAD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46283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46283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30827-2022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44758</v>
      </c>
      <c r="E60" s="1" t="n">
        <v>46283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46283</v>
      </c>
      <c r="F61" t="inlineStr">
        <is>
          <t>VÄSTRA GÖTALANDS LÄN</t>
        </is>
      </c>
      <c r="G61" t="inlineStr">
        <is>
          <t>MARIESTAD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44649</v>
      </c>
      <c r="E62" s="1" t="n">
        <v>46283</v>
      </c>
      <c r="F62" t="inlineStr">
        <is>
          <t>VÄSTRA GÖTALANDS LÄN</t>
        </is>
      </c>
      <c r="G62" t="inlineStr">
        <is>
          <t>MARIESTAD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46283</v>
      </c>
      <c r="F63" t="inlineStr">
        <is>
          <t>VÄSTRA GÖTALANDS LÄN</t>
        </is>
      </c>
      <c r="G63" t="inlineStr">
        <is>
          <t>MARIESTAD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46283</v>
      </c>
      <c r="F64" t="inlineStr">
        <is>
          <t>VÄSTRA GÖTALANDS LÄN</t>
        </is>
      </c>
      <c r="G64" t="inlineStr">
        <is>
          <t>MARIESTAD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68081-2021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46283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67142-2021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46283</v>
      </c>
      <c r="F66" t="inlineStr">
        <is>
          <t>VÄSTRA GÖTALANDS LÄN</t>
        </is>
      </c>
      <c r="G66" t="inlineStr">
        <is>
          <t>MARIESTAD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46283</v>
      </c>
      <c r="F67" t="inlineStr">
        <is>
          <t>VÄSTRA GÖTALANDS LÄN</t>
        </is>
      </c>
      <c r="G67" t="inlineStr">
        <is>
          <t>MARIESTAD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68922-2021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46283</v>
      </c>
      <c r="F68" t="inlineStr">
        <is>
          <t>VÄSTRA GÖTALANDS LÄN</t>
        </is>
      </c>
      <c r="G68" t="inlineStr">
        <is>
          <t>MARIESTAD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45709</v>
      </c>
      <c r="E69" s="1" t="n">
        <v>46283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45343</v>
      </c>
      <c r="E70" s="1" t="n">
        <v>46283</v>
      </c>
      <c r="F70" t="inlineStr">
        <is>
          <t>VÄSTRA GÖTALANDS LÄN</t>
        </is>
      </c>
      <c r="G70" t="inlineStr">
        <is>
          <t>MARIESTAD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46283</v>
      </c>
      <c r="F71" t="inlineStr">
        <is>
          <t>VÄSTRA GÖTALANDS LÄN</t>
        </is>
      </c>
      <c r="G71" t="inlineStr">
        <is>
          <t>MARIESTAD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45299</v>
      </c>
      <c r="E72" s="1" t="n">
        <v>46283</v>
      </c>
      <c r="F72" t="inlineStr">
        <is>
          <t>VÄSTRA GÖTALANDS LÄN</t>
        </is>
      </c>
      <c r="G72" t="inlineStr">
        <is>
          <t>MARIESTAD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46283</v>
      </c>
      <c r="F73" t="inlineStr">
        <is>
          <t>VÄSTRA GÖTALANDS LÄN</t>
        </is>
      </c>
      <c r="G73" t="inlineStr">
        <is>
          <t>MARIESTAD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46283</v>
      </c>
      <c r="F74" t="inlineStr">
        <is>
          <t>VÄSTRA GÖTALANDS LÄN</t>
        </is>
      </c>
      <c r="G74" t="inlineStr">
        <is>
          <t>MARIESTAD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46283</v>
      </c>
      <c r="F75" t="inlineStr">
        <is>
          <t>VÄSTRA GÖTALANDS LÄN</t>
        </is>
      </c>
      <c r="G75" t="inlineStr">
        <is>
          <t>MARIESTAD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46283</v>
      </c>
      <c r="F76" t="inlineStr">
        <is>
          <t>VÄSTRA GÖTALANDS LÄN</t>
        </is>
      </c>
      <c r="G76" t="inlineStr">
        <is>
          <t>MARIESTAD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45373</v>
      </c>
      <c r="E77" s="1" t="n">
        <v>46283</v>
      </c>
      <c r="F77" t="inlineStr">
        <is>
          <t>VÄSTRA GÖTALANDS LÄN</t>
        </is>
      </c>
      <c r="G77" t="inlineStr">
        <is>
          <t>MARIESTAD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38114-2022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46283</v>
      </c>
      <c r="F78" t="inlineStr">
        <is>
          <t>VÄSTRA GÖTALANDS LÄN</t>
        </is>
      </c>
      <c r="G78" t="inlineStr">
        <is>
          <t>MARIESTAD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45460</v>
      </c>
      <c r="E79" s="1" t="n">
        <v>46283</v>
      </c>
      <c r="F79" t="inlineStr">
        <is>
          <t>VÄSTRA GÖTALANDS LÄN</t>
        </is>
      </c>
      <c r="G79" t="inlineStr">
        <is>
          <t>MARIESTAD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46283</v>
      </c>
      <c r="F80" t="inlineStr">
        <is>
          <t>VÄSTRA GÖTALANDS LÄN</t>
        </is>
      </c>
      <c r="G80" t="inlineStr">
        <is>
          <t>MARIESTAD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46283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46283</v>
      </c>
      <c r="F82" t="inlineStr">
        <is>
          <t>VÄSTRA GÖTALANDS LÄN</t>
        </is>
      </c>
      <c r="G82" t="inlineStr">
        <is>
          <t>MARIESTAD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44553</v>
      </c>
      <c r="E83" s="1" t="n">
        <v>46283</v>
      </c>
      <c r="F83" t="inlineStr">
        <is>
          <t>VÄSTRA GÖTALANDS LÄN</t>
        </is>
      </c>
      <c r="G83" t="inlineStr">
        <is>
          <t>MARIESTAD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33571-2023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45131</v>
      </c>
      <c r="E84" s="1" t="n">
        <v>46283</v>
      </c>
      <c r="F84" t="inlineStr">
        <is>
          <t>VÄSTRA GÖTALANDS LÄN</t>
        </is>
      </c>
      <c r="G84" t="inlineStr">
        <is>
          <t>MARIESTAD</t>
        </is>
      </c>
      <c r="I84" t="n">
        <v>16.1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46283</v>
      </c>
      <c r="F85" t="inlineStr">
        <is>
          <t>VÄSTRA GÖTALANDS LÄN</t>
        </is>
      </c>
      <c r="G85" t="inlineStr">
        <is>
          <t>MARIESTAD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45516</v>
      </c>
      <c r="E86" s="1" t="n">
        <v>46283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46283</v>
      </c>
      <c r="F87" t="inlineStr">
        <is>
          <t>VÄSTRA GÖTALANDS LÄN</t>
        </is>
      </c>
      <c r="G87" t="inlineStr">
        <is>
          <t>MARIESTAD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45265</v>
      </c>
      <c r="E88" s="1" t="n">
        <v>46283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45268</v>
      </c>
      <c r="E89" s="1" t="n">
        <v>46283</v>
      </c>
      <c r="F89" t="inlineStr">
        <is>
          <t>VÄSTRA GÖTALANDS LÄN</t>
        </is>
      </c>
      <c r="G89" t="inlineStr">
        <is>
          <t>MARIESTAD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46283</v>
      </c>
      <c r="F90" t="inlineStr">
        <is>
          <t>VÄSTRA GÖTALANDS LÄN</t>
        </is>
      </c>
      <c r="G90" t="inlineStr">
        <is>
          <t>MARIESTAD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45271</v>
      </c>
      <c r="E91" s="1" t="n">
        <v>46283</v>
      </c>
      <c r="F91" t="inlineStr">
        <is>
          <t>VÄSTRA GÖTALANDS LÄN</t>
        </is>
      </c>
      <c r="G91" t="inlineStr">
        <is>
          <t>MARIESTAD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46283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66771-2021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44521</v>
      </c>
      <c r="E93" s="1" t="n">
        <v>46283</v>
      </c>
      <c r="F93" t="inlineStr">
        <is>
          <t>VÄSTRA GÖTALANDS LÄN</t>
        </is>
      </c>
      <c r="G93" t="inlineStr">
        <is>
          <t>MARIESTAD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45243</v>
      </c>
      <c r="E94" s="1" t="n">
        <v>46283</v>
      </c>
      <c r="F94" t="inlineStr">
        <is>
          <t>VÄSTRA GÖTALANDS LÄN</t>
        </is>
      </c>
      <c r="G94" t="inlineStr">
        <is>
          <t>MARIESTAD</t>
        </is>
      </c>
      <c r="I94" t="n">
        <v>9.699999999999999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46283</v>
      </c>
      <c r="F95" t="inlineStr">
        <is>
          <t>VÄSTRA GÖTALANDS LÄN</t>
        </is>
      </c>
      <c r="G95" t="inlineStr">
        <is>
          <t>MARIESTAD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45590</v>
      </c>
      <c r="E96" s="1" t="n">
        <v>46283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45674</v>
      </c>
      <c r="E97" s="1" t="n">
        <v>46283</v>
      </c>
      <c r="F97" t="inlineStr">
        <is>
          <t>VÄSTRA GÖTALANDS LÄN</t>
        </is>
      </c>
      <c r="G97" t="inlineStr">
        <is>
          <t>MARIESTAD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60812-2023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45260</v>
      </c>
      <c r="E98" s="1" t="n">
        <v>46283</v>
      </c>
      <c r="F98" t="inlineStr">
        <is>
          <t>VÄSTRA GÖTALANDS LÄN</t>
        </is>
      </c>
      <c r="G98" t="inlineStr">
        <is>
          <t>MARIESTAD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46283</v>
      </c>
      <c r="F99" t="inlineStr">
        <is>
          <t>VÄSTRA GÖTALANDS LÄN</t>
        </is>
      </c>
      <c r="G99" t="inlineStr">
        <is>
          <t>MARIESTAD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45516</v>
      </c>
      <c r="E100" s="1" t="n">
        <v>46283</v>
      </c>
      <c r="F100" t="inlineStr">
        <is>
          <t>VÄSTRA GÖTALANDS LÄN</t>
        </is>
      </c>
      <c r="G100" t="inlineStr">
        <is>
          <t>MARIESTAD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45516</v>
      </c>
      <c r="E101" s="1" t="n">
        <v>46283</v>
      </c>
      <c r="F101" t="inlineStr">
        <is>
          <t>VÄSTRA GÖTALANDS LÄN</t>
        </is>
      </c>
      <c r="G101" t="inlineStr">
        <is>
          <t>MARIESTAD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46283</v>
      </c>
      <c r="F102" t="inlineStr">
        <is>
          <t>VÄSTRA GÖTALANDS LÄN</t>
        </is>
      </c>
      <c r="G102" t="inlineStr">
        <is>
          <t>MARIESTAD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45033</v>
      </c>
      <c r="E103" s="1" t="n">
        <v>46283</v>
      </c>
      <c r="F103" t="inlineStr">
        <is>
          <t>VÄSTRA GÖTALANDS LÄN</t>
        </is>
      </c>
      <c r="G103" t="inlineStr">
        <is>
          <t>MARIESTAD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46283</v>
      </c>
      <c r="F104" t="inlineStr">
        <is>
          <t>VÄSTRA GÖTALANDS LÄN</t>
        </is>
      </c>
      <c r="G104" t="inlineStr">
        <is>
          <t>MARIESTAD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46283</v>
      </c>
      <c r="F105" t="inlineStr">
        <is>
          <t>VÄSTRA GÖTALANDS LÄN</t>
        </is>
      </c>
      <c r="G105" t="inlineStr">
        <is>
          <t>MARIESTAD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28449-2025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46283</v>
      </c>
      <c r="F106" t="inlineStr">
        <is>
          <t>VÄSTRA GÖTALANDS LÄN</t>
        </is>
      </c>
      <c r="G106" t="inlineStr">
        <is>
          <t>MARIESTAD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46283</v>
      </c>
      <c r="F107" t="inlineStr">
        <is>
          <t>VÄSTRA GÖTALANDS LÄN</t>
        </is>
      </c>
      <c r="G107" t="inlineStr">
        <is>
          <t>MARIESTAD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45240</v>
      </c>
      <c r="E108" s="1" t="n">
        <v>46283</v>
      </c>
      <c r="F108" t="inlineStr">
        <is>
          <t>VÄSTRA GÖTALANDS LÄN</t>
        </is>
      </c>
      <c r="G108" t="inlineStr">
        <is>
          <t>MARIESTAD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46283</v>
      </c>
      <c r="F109" t="inlineStr">
        <is>
          <t>VÄSTRA GÖTALANDS LÄN</t>
        </is>
      </c>
      <c r="G109" t="inlineStr">
        <is>
          <t>MARIESTAD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46283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9563-2026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46283</v>
      </c>
      <c r="F111" t="inlineStr">
        <is>
          <t>VÄSTRA GÖTALANDS LÄN</t>
        </is>
      </c>
      <c r="G111" t="inlineStr">
        <is>
          <t>MARIESTAD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44936</v>
      </c>
      <c r="E112" s="1" t="n">
        <v>46283</v>
      </c>
      <c r="F112" t="inlineStr">
        <is>
          <t>VÄSTRA GÖTALANDS LÄN</t>
        </is>
      </c>
      <c r="G112" t="inlineStr">
        <is>
          <t>MARIESTAD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46283</v>
      </c>
      <c r="F113" t="inlineStr">
        <is>
          <t>VÄSTRA GÖTALANDS LÄN</t>
        </is>
      </c>
      <c r="G113" t="inlineStr">
        <is>
          <t>MARIESTAD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9558-2026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46071</v>
      </c>
      <c r="E114" s="1" t="n">
        <v>46283</v>
      </c>
      <c r="F114" t="inlineStr">
        <is>
          <t>VÄSTRA GÖTALANDS LÄN</t>
        </is>
      </c>
      <c r="G114" t="inlineStr">
        <is>
          <t>MARIESTAD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46283</v>
      </c>
      <c r="F115" t="inlineStr">
        <is>
          <t>VÄSTRA GÖTALANDS LÄN</t>
        </is>
      </c>
      <c r="G115" t="inlineStr">
        <is>
          <t>MARIESTAD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46283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46283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46283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Kyrkan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10559-2026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46077</v>
      </c>
      <c r="E119" s="1" t="n">
        <v>46283</v>
      </c>
      <c r="F119" t="inlineStr">
        <is>
          <t>VÄSTRA GÖTALANDS LÄN</t>
        </is>
      </c>
      <c r="G119" t="inlineStr">
        <is>
          <t>MARIESTAD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45590</v>
      </c>
      <c r="E120" s="1" t="n">
        <v>46283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Kyrkan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46283</v>
      </c>
      <c r="F121" t="inlineStr">
        <is>
          <t>VÄSTRA GÖTALANDS LÄN</t>
        </is>
      </c>
      <c r="G121" t="inlineStr">
        <is>
          <t>MARIESTAD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46283</v>
      </c>
      <c r="F122" t="inlineStr">
        <is>
          <t>VÄSTRA GÖTALANDS LÄN</t>
        </is>
      </c>
      <c r="G122" t="inlineStr">
        <is>
          <t>MARIESTAD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46283</v>
      </c>
      <c r="F123" t="inlineStr">
        <is>
          <t>VÄSTRA GÖTALANDS LÄN</t>
        </is>
      </c>
      <c r="G123" t="inlineStr">
        <is>
          <t>MARIESTAD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46080</v>
      </c>
      <c r="E124" s="1" t="n">
        <v>46283</v>
      </c>
      <c r="F124" t="inlineStr">
        <is>
          <t>VÄSTRA GÖTALANDS LÄN</t>
        </is>
      </c>
      <c r="G124" t="inlineStr">
        <is>
          <t>MARIESTAD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44936</v>
      </c>
      <c r="E125" s="1" t="n">
        <v>46283</v>
      </c>
      <c r="F125" t="inlineStr">
        <is>
          <t>VÄSTRA GÖTALANDS LÄN</t>
        </is>
      </c>
      <c r="G125" t="inlineStr">
        <is>
          <t>MARIESTAD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46283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45199</v>
      </c>
      <c r="E127" s="1" t="n">
        <v>46283</v>
      </c>
      <c r="F127" t="inlineStr">
        <is>
          <t>VÄSTRA GÖTALANDS LÄN</t>
        </is>
      </c>
      <c r="G127" t="inlineStr">
        <is>
          <t>MARIESTAD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12381-2026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46283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46283</v>
      </c>
      <c r="F129" t="inlineStr">
        <is>
          <t>VÄSTRA GÖTALANDS LÄN</t>
        </is>
      </c>
      <c r="G129" t="inlineStr">
        <is>
          <t>MARIESTAD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46283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26688-2022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44739</v>
      </c>
      <c r="E131" s="1" t="n">
        <v>46283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46283</v>
      </c>
      <c r="F132" t="inlineStr">
        <is>
          <t>VÄSTRA GÖTALANDS LÄN</t>
        </is>
      </c>
      <c r="G132" t="inlineStr">
        <is>
          <t>MARIESTAD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46283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46283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45350</v>
      </c>
      <c r="E135" s="1" t="n">
        <v>46283</v>
      </c>
      <c r="F135" t="inlineStr">
        <is>
          <t>VÄSTRA GÖTALANDS LÄN</t>
        </is>
      </c>
      <c r="G135" t="inlineStr">
        <is>
          <t>MARIESTAD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46283</v>
      </c>
      <c r="F136" t="inlineStr">
        <is>
          <t>VÄSTRA GÖTALANDS LÄN</t>
        </is>
      </c>
      <c r="G136" t="inlineStr">
        <is>
          <t>MARIESTAD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46283</v>
      </c>
      <c r="F137" t="inlineStr">
        <is>
          <t>VÄSTRA GÖTALANDS LÄN</t>
        </is>
      </c>
      <c r="G137" t="inlineStr">
        <is>
          <t>MARIESTAD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46283</v>
      </c>
      <c r="F138" t="inlineStr">
        <is>
          <t>VÄSTRA GÖTALANDS LÄN</t>
        </is>
      </c>
      <c r="G138" t="inlineStr">
        <is>
          <t>MARIESTAD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44971</v>
      </c>
      <c r="E139" s="1" t="n">
        <v>46283</v>
      </c>
      <c r="F139" t="inlineStr">
        <is>
          <t>VÄSTRA GÖTALANDS LÄN</t>
        </is>
      </c>
      <c r="G139" t="inlineStr">
        <is>
          <t>MARIESTAD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46283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44958</v>
      </c>
      <c r="E141" s="1" t="n">
        <v>46283</v>
      </c>
      <c r="F141" t="inlineStr">
        <is>
          <t>VÄSTRA GÖTALANDS LÄN</t>
        </is>
      </c>
      <c r="G141" t="inlineStr">
        <is>
          <t>MARIESTAD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44965</v>
      </c>
      <c r="E142" s="1" t="n">
        <v>46283</v>
      </c>
      <c r="F142" t="inlineStr">
        <is>
          <t>VÄSTRA GÖTALANDS LÄN</t>
        </is>
      </c>
      <c r="G142" t="inlineStr">
        <is>
          <t>MARIESTAD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13655-2023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45006</v>
      </c>
      <c r="E143" s="1" t="n">
        <v>46283</v>
      </c>
      <c r="F143" t="inlineStr">
        <is>
          <t>VÄSTRA GÖTALANDS LÄN</t>
        </is>
      </c>
      <c r="G143" t="inlineStr">
        <is>
          <t>MARIESTAD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46283</v>
      </c>
      <c r="F144" t="inlineStr">
        <is>
          <t>VÄSTRA GÖTALANDS LÄN</t>
        </is>
      </c>
      <c r="G144" t="inlineStr">
        <is>
          <t>MARIESTAD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44986</v>
      </c>
      <c r="E145" s="1" t="n">
        <v>46283</v>
      </c>
      <c r="F145" t="inlineStr">
        <is>
          <t>VÄSTRA GÖTALANDS LÄN</t>
        </is>
      </c>
      <c r="G145" t="inlineStr">
        <is>
          <t>MARIESTAD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46283</v>
      </c>
      <c r="F146" t="inlineStr">
        <is>
          <t>VÄSTRA GÖTALANDS LÄN</t>
        </is>
      </c>
      <c r="G146" t="inlineStr">
        <is>
          <t>MARIESTAD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46283</v>
      </c>
      <c r="F147" t="inlineStr">
        <is>
          <t>VÄSTRA GÖTALANDS LÄN</t>
        </is>
      </c>
      <c r="G147" t="inlineStr">
        <is>
          <t>MARIESTAD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46283</v>
      </c>
      <c r="F148" t="inlineStr">
        <is>
          <t>VÄSTRA GÖTALANDS LÄN</t>
        </is>
      </c>
      <c r="G148" t="inlineStr">
        <is>
          <t>MARIESTAD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46283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54225-2022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46283</v>
      </c>
      <c r="F150" t="inlineStr">
        <is>
          <t>VÄSTRA GÖTALANDS LÄN</t>
        </is>
      </c>
      <c r="G150" t="inlineStr">
        <is>
          <t>MARIESTAD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45897</v>
      </c>
      <c r="E151" s="1" t="n">
        <v>46283</v>
      </c>
      <c r="F151" t="inlineStr">
        <is>
          <t>VÄSTRA GÖTALANDS LÄN</t>
        </is>
      </c>
      <c r="G151" t="inlineStr">
        <is>
          <t>MARIESTAD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46283</v>
      </c>
      <c r="F152" t="inlineStr">
        <is>
          <t>VÄSTRA GÖTALANDS LÄN</t>
        </is>
      </c>
      <c r="G152" t="inlineStr">
        <is>
          <t>MARIESTAD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45722</v>
      </c>
      <c r="E153" s="1" t="n">
        <v>46283</v>
      </c>
      <c r="F153" t="inlineStr">
        <is>
          <t>VÄSTRA GÖTALANDS LÄN</t>
        </is>
      </c>
      <c r="G153" t="inlineStr">
        <is>
          <t>MARIESTAD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44986</v>
      </c>
      <c r="E154" s="1" t="n">
        <v>46283</v>
      </c>
      <c r="F154" t="inlineStr">
        <is>
          <t>VÄSTRA GÖTALANDS LÄN</t>
        </is>
      </c>
      <c r="G154" t="inlineStr">
        <is>
          <t>MARIESTAD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46283</v>
      </c>
      <c r="F155" t="inlineStr">
        <is>
          <t>VÄSTRA GÖTALANDS LÄN</t>
        </is>
      </c>
      <c r="G155" t="inlineStr">
        <is>
          <t>MARIESTAD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46283</v>
      </c>
      <c r="F156" t="inlineStr">
        <is>
          <t>VÄSTRA GÖTALANDS LÄN</t>
        </is>
      </c>
      <c r="G156" t="inlineStr">
        <is>
          <t>MARIESTAD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46283</v>
      </c>
      <c r="F157" t="inlineStr">
        <is>
          <t>VÄSTRA GÖTALANDS LÄN</t>
        </is>
      </c>
      <c r="G157" t="inlineStr">
        <is>
          <t>MARIESTAD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46283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46283</v>
      </c>
      <c r="F159" t="inlineStr">
        <is>
          <t>VÄSTRA GÖTALANDS LÄN</t>
        </is>
      </c>
      <c r="G159" t="inlineStr">
        <is>
          <t>MARIESTAD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49188-2023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46283</v>
      </c>
      <c r="F160" t="inlineStr">
        <is>
          <t>VÄSTRA GÖTALANDS LÄN</t>
        </is>
      </c>
      <c r="G160" t="inlineStr">
        <is>
          <t>MARIESTAD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49193-2023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46283</v>
      </c>
      <c r="F161" t="inlineStr">
        <is>
          <t>VÄSTRA GÖTALANDS LÄN</t>
        </is>
      </c>
      <c r="G161" t="inlineStr">
        <is>
          <t>MARIESTAD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46283</v>
      </c>
      <c r="F162" t="inlineStr">
        <is>
          <t>VÄSTRA GÖTALANDS LÄN</t>
        </is>
      </c>
      <c r="G162" t="inlineStr">
        <is>
          <t>MARIESTAD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39766-2023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45167</v>
      </c>
      <c r="E163" s="1" t="n">
        <v>46283</v>
      </c>
      <c r="F163" t="inlineStr">
        <is>
          <t>VÄSTRA GÖTALANDS LÄN</t>
        </is>
      </c>
      <c r="G163" t="inlineStr">
        <is>
          <t>MARIESTAD</t>
        </is>
      </c>
      <c r="I163" t="n">
        <v>26.5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46283</v>
      </c>
      <c r="F164" t="inlineStr">
        <is>
          <t>VÄSTRA GÖTALANDS LÄN</t>
        </is>
      </c>
      <c r="G164" t="inlineStr">
        <is>
          <t>MARIESTAD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45560</v>
      </c>
      <c r="E165" s="1" t="n">
        <v>46283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45875</v>
      </c>
      <c r="E166" s="1" t="n">
        <v>46283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40455-2023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45170</v>
      </c>
      <c r="E167" s="1" t="n">
        <v>46283</v>
      </c>
      <c r="F167" t="inlineStr">
        <is>
          <t>VÄSTRA GÖTALANDS LÄN</t>
        </is>
      </c>
      <c r="G167" t="inlineStr">
        <is>
          <t>MARIESTAD</t>
        </is>
      </c>
      <c r="I167" t="n">
        <v>34.9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28162-2022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44746</v>
      </c>
      <c r="E168" s="1" t="n">
        <v>46283</v>
      </c>
      <c r="F168" t="inlineStr">
        <is>
          <t>VÄSTRA GÖTALANDS LÄN</t>
        </is>
      </c>
      <c r="G168" t="inlineStr">
        <is>
          <t>MARIESTAD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44843</v>
      </c>
      <c r="E169" s="1" t="n">
        <v>46283</v>
      </c>
      <c r="F169" t="inlineStr">
        <is>
          <t>VÄSTRA GÖTALANDS LÄN</t>
        </is>
      </c>
      <c r="G169" t="inlineStr">
        <is>
          <t>MARIESTAD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46283</v>
      </c>
      <c r="F170" t="inlineStr">
        <is>
          <t>VÄSTRA GÖTALANDS LÄN</t>
        </is>
      </c>
      <c r="G170" t="inlineStr">
        <is>
          <t>MARIESTAD</t>
        </is>
      </c>
      <c r="I170" t="n">
        <v>10.3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46283</v>
      </c>
      <c r="F171" t="inlineStr">
        <is>
          <t>VÄSTRA GÖTALANDS LÄN</t>
        </is>
      </c>
      <c r="G171" t="inlineStr">
        <is>
          <t>MARIESTAD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46283</v>
      </c>
      <c r="F172" t="inlineStr">
        <is>
          <t>VÄSTRA GÖTALANDS LÄN</t>
        </is>
      </c>
      <c r="G172" t="inlineStr">
        <is>
          <t>MARIESTAD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36399-2024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45535</v>
      </c>
      <c r="E173" s="1" t="n">
        <v>46283</v>
      </c>
      <c r="F173" t="inlineStr">
        <is>
          <t>VÄSTRA GÖTALANDS LÄN</t>
        </is>
      </c>
      <c r="G173" t="inlineStr">
        <is>
          <t>MARIESTAD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44943</v>
      </c>
      <c r="E174" s="1" t="n">
        <v>46283</v>
      </c>
      <c r="F174" t="inlineStr">
        <is>
          <t>VÄSTRA GÖTALANDS LÄN</t>
        </is>
      </c>
      <c r="G174" t="inlineStr">
        <is>
          <t>MARIESTAD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44965</v>
      </c>
      <c r="E175" s="1" t="n">
        <v>46283</v>
      </c>
      <c r="F175" t="inlineStr">
        <is>
          <t>VÄSTRA GÖTALANDS LÄN</t>
        </is>
      </c>
      <c r="G175" t="inlineStr">
        <is>
          <t>MARIESTAD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44943</v>
      </c>
      <c r="E176" s="1" t="n">
        <v>46283</v>
      </c>
      <c r="F176" t="inlineStr">
        <is>
          <t>VÄSTRA GÖTALANDS LÄN</t>
        </is>
      </c>
      <c r="G176" t="inlineStr">
        <is>
          <t>MARIESTAD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46283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Kyrkan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44836</v>
      </c>
      <c r="E178" s="1" t="n">
        <v>46283</v>
      </c>
      <c r="F178" t="inlineStr">
        <is>
          <t>VÄSTRA GÖTALANDS LÄN</t>
        </is>
      </c>
      <c r="G178" t="inlineStr">
        <is>
          <t>MARIESTAD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46283</v>
      </c>
      <c r="F179" t="inlineStr">
        <is>
          <t>VÄSTRA GÖTALANDS LÄN</t>
        </is>
      </c>
      <c r="G179" t="inlineStr">
        <is>
          <t>MARIESTAD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46283</v>
      </c>
      <c r="F180" t="inlineStr">
        <is>
          <t>VÄSTRA GÖTALANDS LÄN</t>
        </is>
      </c>
      <c r="G180" t="inlineStr">
        <is>
          <t>MARIESTAD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21361-2026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46142</v>
      </c>
      <c r="E181" s="1" t="n">
        <v>46283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46283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46283</v>
      </c>
      <c r="F183" t="inlineStr">
        <is>
          <t>VÄSTRA GÖTALANDS LÄN</t>
        </is>
      </c>
      <c r="G183" t="inlineStr">
        <is>
          <t>MARIESTAD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45200</v>
      </c>
      <c r="E184" s="1" t="n">
        <v>46283</v>
      </c>
      <c r="F184" t="inlineStr">
        <is>
          <t>VÄSTRA GÖTALANDS LÄN</t>
        </is>
      </c>
      <c r="G184" t="inlineStr">
        <is>
          <t>MARIESTAD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14288-2024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46283</v>
      </c>
      <c r="F185" t="inlineStr">
        <is>
          <t>VÄSTRA GÖTALANDS LÄN</t>
        </is>
      </c>
      <c r="G185" t="inlineStr">
        <is>
          <t>MARIESTAD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46283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46163</v>
      </c>
      <c r="E187" s="1" t="n">
        <v>46283</v>
      </c>
      <c r="F187" t="inlineStr">
        <is>
          <t>VÄSTRA GÖTALANDS LÄN</t>
        </is>
      </c>
      <c r="G187" t="inlineStr">
        <is>
          <t>MARIESTAD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46283</v>
      </c>
      <c r="F188" t="inlineStr">
        <is>
          <t>VÄSTRA GÖTALANDS LÄN</t>
        </is>
      </c>
      <c r="G188" t="inlineStr">
        <is>
          <t>MARIESTAD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45268</v>
      </c>
      <c r="E189" s="1" t="n">
        <v>46283</v>
      </c>
      <c r="F189" t="inlineStr">
        <is>
          <t>VÄSTRA GÖTALANDS LÄN</t>
        </is>
      </c>
      <c r="G189" t="inlineStr">
        <is>
          <t>MARIESTAD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46283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45982</v>
      </c>
      <c r="E191" s="1" t="n">
        <v>46283</v>
      </c>
      <c r="F191" t="inlineStr">
        <is>
          <t>VÄSTRA GÖTALANDS LÄN</t>
        </is>
      </c>
      <c r="G191" t="inlineStr">
        <is>
          <t>MARIESTAD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46283</v>
      </c>
      <c r="F192" t="inlineStr">
        <is>
          <t>VÄSTRA GÖTALANDS LÄN</t>
        </is>
      </c>
      <c r="G192" t="inlineStr">
        <is>
          <t>MARIESTAD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46283</v>
      </c>
      <c r="F193" t="inlineStr">
        <is>
          <t>VÄSTRA GÖTALANDS LÄN</t>
        </is>
      </c>
      <c r="G193" t="inlineStr">
        <is>
          <t>MARIESTAD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14657-2024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45397</v>
      </c>
      <c r="E194" s="1" t="n">
        <v>46283</v>
      </c>
      <c r="F194" t="inlineStr">
        <is>
          <t>VÄSTRA GÖTALANDS LÄN</t>
        </is>
      </c>
      <c r="G194" t="inlineStr">
        <is>
          <t>MARIESTAD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46169</v>
      </c>
      <c r="E195" s="1" t="n">
        <v>46283</v>
      </c>
      <c r="F195" t="inlineStr">
        <is>
          <t>VÄSTRA GÖTALANDS LÄN</t>
        </is>
      </c>
      <c r="G195" t="inlineStr">
        <is>
          <t>MARIESTAD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46283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46283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44620</v>
      </c>
      <c r="E198" s="1" t="n">
        <v>46283</v>
      </c>
      <c r="F198" t="inlineStr">
        <is>
          <t>VÄSTRA GÖTALANDS LÄN</t>
        </is>
      </c>
      <c r="G198" t="inlineStr">
        <is>
          <t>MARIESTAD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24735-2026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46171</v>
      </c>
      <c r="E199" s="1" t="n">
        <v>46283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46283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46283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46283</v>
      </c>
      <c r="F202" t="inlineStr">
        <is>
          <t>VÄSTRA GÖTALANDS LÄN</t>
        </is>
      </c>
      <c r="G202" t="inlineStr">
        <is>
          <t>MARIESTAD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46283</v>
      </c>
      <c r="F203" t="inlineStr">
        <is>
          <t>VÄSTRA GÖTALANDS LÄN</t>
        </is>
      </c>
      <c r="G203" t="inlineStr">
        <is>
          <t>MARIESTAD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70259-2021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44536</v>
      </c>
      <c r="E204" s="1" t="n">
        <v>46283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46283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46283</v>
      </c>
      <c r="F206" t="inlineStr">
        <is>
          <t>VÄSTRA GÖTALANDS LÄN</t>
        </is>
      </c>
      <c r="G206" t="inlineStr">
        <is>
          <t>MARIESTAD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45958</v>
      </c>
      <c r="E207" s="1" t="n">
        <v>46283</v>
      </c>
      <c r="F207" t="inlineStr">
        <is>
          <t>VÄSTRA GÖTALANDS LÄN</t>
        </is>
      </c>
      <c r="G207" t="inlineStr">
        <is>
          <t>MARIESTAD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46283</v>
      </c>
      <c r="F208" t="inlineStr">
        <is>
          <t>VÄSTRA GÖTALANDS LÄN</t>
        </is>
      </c>
      <c r="G208" t="inlineStr">
        <is>
          <t>MARIESTAD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46283</v>
      </c>
      <c r="F209" t="inlineStr">
        <is>
          <t>VÄSTRA GÖTALANDS LÄN</t>
        </is>
      </c>
      <c r="G209" t="inlineStr">
        <is>
          <t>MARIESTAD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46283</v>
      </c>
      <c r="F210" t="inlineStr">
        <is>
          <t>VÄSTRA GÖTALANDS LÄN</t>
        </is>
      </c>
      <c r="G210" t="inlineStr">
        <is>
          <t>MARIESTAD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26912-2026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46185</v>
      </c>
      <c r="E211" s="1" t="n">
        <v>46283</v>
      </c>
      <c r="F211" t="inlineStr">
        <is>
          <t>VÄSTRA GÖTALANDS LÄN</t>
        </is>
      </c>
      <c r="G211" t="inlineStr">
        <is>
          <t>MARIESTAD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46283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46283</v>
      </c>
      <c r="F213" t="inlineStr">
        <is>
          <t>VÄSTRA GÖTALANDS LÄN</t>
        </is>
      </c>
      <c r="G213" t="inlineStr">
        <is>
          <t>MARIESTAD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46283</v>
      </c>
      <c r="F214" t="inlineStr">
        <is>
          <t>VÄSTRA GÖTALANDS LÄN</t>
        </is>
      </c>
      <c r="G214" t="inlineStr">
        <is>
          <t>MARIESTAD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46283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50579-2023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45217</v>
      </c>
      <c r="E216" s="1" t="n">
        <v>46283</v>
      </c>
      <c r="F216" t="inlineStr">
        <is>
          <t>VÄSTRA GÖTALANDS LÄN</t>
        </is>
      </c>
      <c r="G216" t="inlineStr">
        <is>
          <t>MARIESTAD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46283</v>
      </c>
      <c r="F217" t="inlineStr">
        <is>
          <t>VÄSTRA GÖTALANDS LÄN</t>
        </is>
      </c>
      <c r="G217" t="inlineStr">
        <is>
          <t>MARIESTAD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46283</v>
      </c>
      <c r="F218" t="inlineStr">
        <is>
          <t>VÄSTRA GÖTALANDS LÄN</t>
        </is>
      </c>
      <c r="G218" t="inlineStr">
        <is>
          <t>MARIESTAD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44649</v>
      </c>
      <c r="E219" s="1" t="n">
        <v>46283</v>
      </c>
      <c r="F219" t="inlineStr">
        <is>
          <t>VÄSTRA GÖTALANDS LÄN</t>
        </is>
      </c>
      <c r="G219" t="inlineStr">
        <is>
          <t>MARIESTAD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11147-2022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44629</v>
      </c>
      <c r="E220" s="1" t="n">
        <v>46283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46283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Övriga Aktiebolag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46283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12532-2022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44638</v>
      </c>
      <c r="E223" s="1" t="n">
        <v>46283</v>
      </c>
      <c r="F223" t="inlineStr">
        <is>
          <t>VÄSTRA GÖTALANDS LÄN</t>
        </is>
      </c>
      <c r="G223" t="inlineStr">
        <is>
          <t>MARIESTAD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45200</v>
      </c>
      <c r="E224" s="1" t="n">
        <v>46283</v>
      </c>
      <c r="F224" t="inlineStr">
        <is>
          <t>VÄSTRA GÖTALANDS LÄN</t>
        </is>
      </c>
      <c r="G224" t="inlineStr">
        <is>
          <t>MARIESTAD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45691</v>
      </c>
      <c r="E225" s="1" t="n">
        <v>46283</v>
      </c>
      <c r="F225" t="inlineStr">
        <is>
          <t>VÄSTRA GÖTALANDS LÄN</t>
        </is>
      </c>
      <c r="G225" t="inlineStr">
        <is>
          <t>MARIESTAD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46199</v>
      </c>
      <c r="E226" s="1" t="n">
        <v>46283</v>
      </c>
      <c r="F226" t="inlineStr">
        <is>
          <t>VÄSTRA GÖTALANDS LÄN</t>
        </is>
      </c>
      <c r="G226" t="inlineStr">
        <is>
          <t>MARIESTAD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46199</v>
      </c>
      <c r="E227" s="1" t="n">
        <v>46283</v>
      </c>
      <c r="F227" t="inlineStr">
        <is>
          <t>VÄSTRA GÖTALANDS LÄN</t>
        </is>
      </c>
      <c r="G227" t="inlineStr">
        <is>
          <t>MARIESTAD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46283</v>
      </c>
      <c r="F228" t="inlineStr">
        <is>
          <t>VÄSTRA GÖTALANDS LÄN</t>
        </is>
      </c>
      <c r="G228" t="inlineStr">
        <is>
          <t>MARIESTAD</t>
        </is>
      </c>
      <c r="I228" t="n">
        <v>10.7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46199</v>
      </c>
      <c r="E229" s="1" t="n">
        <v>46283</v>
      </c>
      <c r="F229" t="inlineStr">
        <is>
          <t>VÄSTRA GÖTALANDS LÄN</t>
        </is>
      </c>
      <c r="G229" t="inlineStr">
        <is>
          <t>MARIESTAD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46205</v>
      </c>
      <c r="E230" s="1" t="n">
        <v>46283</v>
      </c>
      <c r="F230" t="inlineStr">
        <is>
          <t>VÄSTRA GÖTALANDS LÄN</t>
        </is>
      </c>
      <c r="G230" t="inlineStr">
        <is>
          <t>MARIESTAD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44574</v>
      </c>
      <c r="E231" s="1" t="n">
        <v>46283</v>
      </c>
      <c r="F231" t="inlineStr">
        <is>
          <t>VÄSTRA GÖTALANDS LÄN</t>
        </is>
      </c>
      <c r="G231" t="inlineStr">
        <is>
          <t>MARIESTAD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46199</v>
      </c>
      <c r="E232" s="1" t="n">
        <v>46283</v>
      </c>
      <c r="F232" t="inlineStr">
        <is>
          <t>VÄSTRA GÖTALANDS LÄN</t>
        </is>
      </c>
      <c r="G232" t="inlineStr">
        <is>
          <t>MARIESTAD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46283</v>
      </c>
      <c r="F233" t="inlineStr">
        <is>
          <t>VÄSTRA GÖTALANDS LÄN</t>
        </is>
      </c>
      <c r="G233" t="inlineStr">
        <is>
          <t>MARIESTAD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46283</v>
      </c>
      <c r="F234" t="inlineStr">
        <is>
          <t>VÄSTRA GÖTALANDS LÄN</t>
        </is>
      </c>
      <c r="G234" t="inlineStr">
        <is>
          <t>MARIESTAD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46283</v>
      </c>
      <c r="F235" t="inlineStr">
        <is>
          <t>VÄSTRA GÖTALANDS LÄN</t>
        </is>
      </c>
      <c r="G235" t="inlineStr">
        <is>
          <t>MARIESTAD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58077-2022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44900</v>
      </c>
      <c r="E236" s="1" t="n">
        <v>46283</v>
      </c>
      <c r="F236" t="inlineStr">
        <is>
          <t>VÄSTRA GÖTALANDS LÄN</t>
        </is>
      </c>
      <c r="G236" t="inlineStr">
        <is>
          <t>MARIESTAD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46283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45188</v>
      </c>
      <c r="E238" s="1" t="n">
        <v>46283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28053-2022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46283</v>
      </c>
      <c r="F239" t="inlineStr">
        <is>
          <t>VÄSTRA GÖTALANDS LÄN</t>
        </is>
      </c>
      <c r="G239" t="inlineStr">
        <is>
          <t>MARIESTAD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46283</v>
      </c>
      <c r="F240" t="inlineStr">
        <is>
          <t>VÄSTRA GÖTALANDS LÄN</t>
        </is>
      </c>
      <c r="G240" t="inlineStr">
        <is>
          <t>MARIESTAD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46283</v>
      </c>
      <c r="F241" t="inlineStr">
        <is>
          <t>VÄSTRA GÖTALANDS LÄN</t>
        </is>
      </c>
      <c r="G241" t="inlineStr">
        <is>
          <t>MARIESTAD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46283</v>
      </c>
      <c r="F242" t="inlineStr">
        <is>
          <t>VÄSTRA GÖTALANDS LÄN</t>
        </is>
      </c>
      <c r="G242" t="inlineStr">
        <is>
          <t>MARIESTAD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46283</v>
      </c>
      <c r="F243" t="inlineStr">
        <is>
          <t>VÄSTRA GÖTALANDS LÄN</t>
        </is>
      </c>
      <c r="G243" t="inlineStr">
        <is>
          <t>MARIESTAD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61603-2023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45265</v>
      </c>
      <c r="E244" s="1" t="n">
        <v>46283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46283</v>
      </c>
      <c r="F245" t="inlineStr">
        <is>
          <t>VÄSTRA GÖTALANDS LÄN</t>
        </is>
      </c>
      <c r="G245" t="inlineStr">
        <is>
          <t>MARIESTAD</t>
        </is>
      </c>
      <c r="I245" t="n">
        <v>11.9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19553-2022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44693</v>
      </c>
      <c r="E246" s="1" t="n">
        <v>46283</v>
      </c>
      <c r="F246" t="inlineStr">
        <is>
          <t>VÄSTRA GÖTALANDS LÄN</t>
        </is>
      </c>
      <c r="G246" t="inlineStr">
        <is>
          <t>MARIESTAD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46261</v>
      </c>
      <c r="E247" s="1" t="n">
        <v>46283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46261</v>
      </c>
      <c r="E248" s="1" t="n">
        <v>46283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Sveaskog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46283</v>
      </c>
      <c r="F249" t="inlineStr">
        <is>
          <t>VÄSTRA GÖTALANDS LÄN</t>
        </is>
      </c>
      <c r="G249" t="inlineStr">
        <is>
          <t>MARIESTAD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46262</v>
      </c>
      <c r="E250" s="1" t="n">
        <v>46283</v>
      </c>
      <c r="F250" t="inlineStr">
        <is>
          <t>VÄSTRA GÖTALANDS LÄN</t>
        </is>
      </c>
      <c r="G250" t="inlineStr">
        <is>
          <t>MARIESTAD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46262</v>
      </c>
      <c r="E251" s="1" t="n">
        <v>46283</v>
      </c>
      <c r="F251" t="inlineStr">
        <is>
          <t>VÄSTRA GÖTALANDS LÄN</t>
        </is>
      </c>
      <c r="G251" t="inlineStr">
        <is>
          <t>MARIESTAD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49389-2023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45211</v>
      </c>
      <c r="E252" s="1" t="n">
        <v>46283</v>
      </c>
      <c r="F252" t="inlineStr">
        <is>
          <t>VÄSTRA GÖTALANDS LÄN</t>
        </is>
      </c>
      <c r="G252" t="inlineStr">
        <is>
          <t>MARIESTAD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46283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46283</v>
      </c>
      <c r="F254" t="inlineStr">
        <is>
          <t>VÄSTRA GÖTALANDS LÄN</t>
        </is>
      </c>
      <c r="G254" t="inlineStr">
        <is>
          <t>MARIESTAD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45135</v>
      </c>
      <c r="E255" s="1" t="n">
        <v>46283</v>
      </c>
      <c r="F255" t="inlineStr">
        <is>
          <t>VÄSTRA GÖTALANDS LÄN</t>
        </is>
      </c>
      <c r="G255" t="inlineStr">
        <is>
          <t>MARIESTAD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45528</v>
      </c>
      <c r="E256" s="1" t="n">
        <v>46283</v>
      </c>
      <c r="F256" t="inlineStr">
        <is>
          <t>VÄSTRA GÖTALANDS LÄN</t>
        </is>
      </c>
      <c r="G256" t="inlineStr">
        <is>
          <t>MARIESTAD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29857-2022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44756</v>
      </c>
      <c r="E257" s="1" t="n">
        <v>46283</v>
      </c>
      <c r="F257" t="inlineStr">
        <is>
          <t>VÄSTRA GÖTALANDS LÄN</t>
        </is>
      </c>
      <c r="G257" t="inlineStr">
        <is>
          <t>MARIESTAD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46008</v>
      </c>
      <c r="E258" s="1" t="n">
        <v>46283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Kyrkan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45201</v>
      </c>
      <c r="E259" s="1" t="n">
        <v>46283</v>
      </c>
      <c r="F259" t="inlineStr">
        <is>
          <t>VÄSTRA GÖTALANDS LÄN</t>
        </is>
      </c>
      <c r="G259" t="inlineStr">
        <is>
          <t>MARIESTAD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45268</v>
      </c>
      <c r="E260" s="1" t="n">
        <v>46283</v>
      </c>
      <c r="F260" t="inlineStr">
        <is>
          <t>VÄSTRA GÖTALANDS LÄN</t>
        </is>
      </c>
      <c r="G260" t="inlineStr">
        <is>
          <t>MARIESTAD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46283</v>
      </c>
      <c r="F261" t="inlineStr">
        <is>
          <t>VÄSTRA GÖTALANDS LÄN</t>
        </is>
      </c>
      <c r="G261" t="inlineStr">
        <is>
          <t>MARIESTAD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46283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46283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45590</v>
      </c>
      <c r="E264" s="1" t="n">
        <v>46283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Kyrkan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60376-2021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46283</v>
      </c>
      <c r="F265" t="inlineStr">
        <is>
          <t>VÄSTRA GÖTALANDS LÄN</t>
        </is>
      </c>
      <c r="G265" t="inlineStr">
        <is>
          <t>MARIESTAD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46283</v>
      </c>
      <c r="F266" t="inlineStr">
        <is>
          <t>VÄSTRA GÖTALANDS LÄN</t>
        </is>
      </c>
      <c r="G266" t="inlineStr">
        <is>
          <t>MARIESTAD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45203</v>
      </c>
      <c r="E267" s="1" t="n">
        <v>46283</v>
      </c>
      <c r="F267" t="inlineStr">
        <is>
          <t>VÄSTRA GÖTALANDS LÄN</t>
        </is>
      </c>
      <c r="G267" t="inlineStr">
        <is>
          <t>MARIESTAD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44572</v>
      </c>
      <c r="E268" s="1" t="n">
        <v>46283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Naturvårdsverket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44617</v>
      </c>
      <c r="E269" s="1" t="n">
        <v>46283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46283</v>
      </c>
      <c r="F270" t="inlineStr">
        <is>
          <t>VÄSTRA GÖTALANDS LÄN</t>
        </is>
      </c>
      <c r="G270" t="inlineStr">
        <is>
          <t>MARIESTAD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46283</v>
      </c>
      <c r="F271" t="inlineStr">
        <is>
          <t>VÄSTRA GÖTALANDS LÄN</t>
        </is>
      </c>
      <c r="G271" t="inlineStr">
        <is>
          <t>MARIESTAD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46283</v>
      </c>
      <c r="F272" t="inlineStr">
        <is>
          <t>VÄSTRA GÖTALANDS LÄN</t>
        </is>
      </c>
      <c r="G272" t="inlineStr">
        <is>
          <t>MARIESTAD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2391-2025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45674</v>
      </c>
      <c r="E273" s="1" t="n">
        <v>46283</v>
      </c>
      <c r="F273" t="inlineStr">
        <is>
          <t>VÄSTRA GÖTALANDS LÄN</t>
        </is>
      </c>
      <c r="G273" t="inlineStr">
        <is>
          <t>MARIESTAD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46283</v>
      </c>
      <c r="F274" t="inlineStr">
        <is>
          <t>VÄSTRA GÖTALANDS LÄN</t>
        </is>
      </c>
      <c r="G274" t="inlineStr">
        <is>
          <t>MARIESTAD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49166-2023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46283</v>
      </c>
      <c r="F275" t="inlineStr">
        <is>
          <t>VÄSTRA GÖTALANDS LÄN</t>
        </is>
      </c>
      <c r="G275" t="inlineStr">
        <is>
          <t>MARIESTAD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45114</v>
      </c>
      <c r="E276" s="1" t="n">
        <v>46283</v>
      </c>
      <c r="F276" t="inlineStr">
        <is>
          <t>VÄSTRA GÖTALANDS LÄN</t>
        </is>
      </c>
      <c r="G276" t="inlineStr">
        <is>
          <t>MARIESTAD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45705</v>
      </c>
      <c r="E277" s="1" t="n">
        <v>46283</v>
      </c>
      <c r="F277" t="inlineStr">
        <is>
          <t>VÄSTRA GÖTALANDS LÄN</t>
        </is>
      </c>
      <c r="G277" t="inlineStr">
        <is>
          <t>MARIESTAD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61716-2022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46283</v>
      </c>
      <c r="F278" t="inlineStr">
        <is>
          <t>VÄSTRA GÖTALANDS LÄN</t>
        </is>
      </c>
      <c r="G278" t="inlineStr">
        <is>
          <t>MARIESTAD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45558</v>
      </c>
      <c r="E279" s="1" t="n">
        <v>46283</v>
      </c>
      <c r="F279" t="inlineStr">
        <is>
          <t>VÄSTRA GÖTALANDS LÄN</t>
        </is>
      </c>
      <c r="G279" t="inlineStr">
        <is>
          <t>MARIESTAD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45639</v>
      </c>
      <c r="E280" s="1" t="n">
        <v>46283</v>
      </c>
      <c r="F280" t="inlineStr">
        <is>
          <t>VÄSTRA GÖTALANDS LÄN</t>
        </is>
      </c>
      <c r="G280" t="inlineStr">
        <is>
          <t>MARIESTAD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44622</v>
      </c>
      <c r="E281" s="1" t="n">
        <v>46283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46050</v>
      </c>
      <c r="E282" s="1" t="n">
        <v>46283</v>
      </c>
      <c r="F282" t="inlineStr">
        <is>
          <t>VÄSTRA GÖTALANDS LÄN</t>
        </is>
      </c>
      <c r="G282" t="inlineStr">
        <is>
          <t>MARIESTAD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46283</v>
      </c>
      <c r="F283" t="inlineStr">
        <is>
          <t>VÄSTRA GÖTALANDS LÄN</t>
        </is>
      </c>
      <c r="G283" t="inlineStr">
        <is>
          <t>MARIESTAD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9410-2022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44616</v>
      </c>
      <c r="E284" s="1" t="n">
        <v>46283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46283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46051</v>
      </c>
      <c r="E286" s="1" t="n">
        <v>46283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45530</v>
      </c>
      <c r="E287" s="1" t="n">
        <v>46283</v>
      </c>
      <c r="F287" t="inlineStr">
        <is>
          <t>VÄSTRA GÖTALANDS LÄN</t>
        </is>
      </c>
      <c r="G287" t="inlineStr">
        <is>
          <t>MARIESTAD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70295-2021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46283</v>
      </c>
      <c r="F288" t="inlineStr">
        <is>
          <t>VÄSTRA GÖTALANDS LÄN</t>
        </is>
      </c>
      <c r="G288" t="inlineStr">
        <is>
          <t>MARIESTAD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46057</v>
      </c>
      <c r="E289" s="1" t="n">
        <v>46283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7587-2026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46061</v>
      </c>
      <c r="E290" s="1" t="n">
        <v>46283</v>
      </c>
      <c r="F290" t="inlineStr">
        <is>
          <t>VÄSTRA GÖTALANDS LÄN</t>
        </is>
      </c>
      <c r="G290" t="inlineStr">
        <is>
          <t>MARIESTAD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46283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46283</v>
      </c>
      <c r="F292" t="inlineStr">
        <is>
          <t>VÄSTRA GÖTALANDS LÄN</t>
        </is>
      </c>
      <c r="G292" t="inlineStr">
        <is>
          <t>MARIESTAD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46283</v>
      </c>
      <c r="F293" t="inlineStr">
        <is>
          <t>VÄSTRA GÖTALANDS LÄN</t>
        </is>
      </c>
      <c r="G293" t="inlineStr">
        <is>
          <t>MARIESTAD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45677</v>
      </c>
      <c r="E294" s="1" t="n">
        <v>46283</v>
      </c>
      <c r="F294" t="inlineStr">
        <is>
          <t>VÄSTRA GÖTALANDS LÄN</t>
        </is>
      </c>
      <c r="G294" t="inlineStr">
        <is>
          <t>MARIESTAD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46283</v>
      </c>
      <c r="F295" t="inlineStr">
        <is>
          <t>VÄSTRA GÖTALANDS LÄN</t>
        </is>
      </c>
      <c r="G295" t="inlineStr">
        <is>
          <t>MARIESTAD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46283</v>
      </c>
      <c r="F296" t="inlineStr">
        <is>
          <t>VÄSTRA GÖTALANDS LÄN</t>
        </is>
      </c>
      <c r="G296" t="inlineStr">
        <is>
          <t>MARIESTAD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46283</v>
      </c>
      <c r="F297" t="inlineStr">
        <is>
          <t>VÄSTRA GÖTALANDS LÄN</t>
        </is>
      </c>
      <c r="G297" t="inlineStr">
        <is>
          <t>MARIESTAD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46283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44843</v>
      </c>
      <c r="E299" s="1" t="n">
        <v>46283</v>
      </c>
      <c r="F299" t="inlineStr">
        <is>
          <t>VÄSTRA GÖTALANDS LÄN</t>
        </is>
      </c>
      <c r="G299" t="inlineStr">
        <is>
          <t>MARIESTAD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46283</v>
      </c>
      <c r="F300" t="inlineStr">
        <is>
          <t>VÄSTRA GÖTALANDS LÄN</t>
        </is>
      </c>
      <c r="G300" t="inlineStr">
        <is>
          <t>MARIESTAD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46283</v>
      </c>
      <c r="F301" t="inlineStr">
        <is>
          <t>VÄSTRA GÖTALANDS LÄN</t>
        </is>
      </c>
      <c r="G301" t="inlineStr">
        <is>
          <t>MARIESTAD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46283</v>
      </c>
      <c r="F302" t="inlineStr">
        <is>
          <t>VÄSTRA GÖTALANDS LÄN</t>
        </is>
      </c>
      <c r="G302" t="inlineStr">
        <is>
          <t>MARIESTAD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45590</v>
      </c>
      <c r="E303" s="1" t="n">
        <v>46283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Kyrkan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56344-2022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44890</v>
      </c>
      <c r="E304" s="1" t="n">
        <v>46283</v>
      </c>
      <c r="F304" t="inlineStr">
        <is>
          <t>VÄSTRA GÖTALANDS LÄN</t>
        </is>
      </c>
      <c r="G304" t="inlineStr">
        <is>
          <t>MARIESTAD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45070</v>
      </c>
      <c r="E305" s="1" t="n">
        <v>46283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65197-2023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45289</v>
      </c>
      <c r="E306" s="1" t="n">
        <v>46283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44942</v>
      </c>
      <c r="E307" s="1" t="n">
        <v>46283</v>
      </c>
      <c r="F307" t="inlineStr">
        <is>
          <t>VÄSTRA GÖTALANDS LÄN</t>
        </is>
      </c>
      <c r="G307" t="inlineStr">
        <is>
          <t>MARIESTAD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31384-2022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44774</v>
      </c>
      <c r="E308" s="1" t="n">
        <v>46283</v>
      </c>
      <c r="F308" t="inlineStr">
        <is>
          <t>VÄSTRA GÖTALANDS LÄN</t>
        </is>
      </c>
      <c r="G308" t="inlineStr">
        <is>
          <t>MARIESTAD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44756</v>
      </c>
      <c r="E309" s="1" t="n">
        <v>46283</v>
      </c>
      <c r="F309" t="inlineStr">
        <is>
          <t>VÄSTRA GÖTALANDS LÄN</t>
        </is>
      </c>
      <c r="G309" t="inlineStr">
        <is>
          <t>MARIESTAD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46283</v>
      </c>
      <c r="F310" t="inlineStr">
        <is>
          <t>VÄSTRA GÖTALANDS LÄN</t>
        </is>
      </c>
      <c r="G310" t="inlineStr">
        <is>
          <t>MARIESTAD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46283</v>
      </c>
      <c r="F311" t="inlineStr">
        <is>
          <t>VÄSTRA GÖTALANDS LÄN</t>
        </is>
      </c>
      <c r="G311" t="inlineStr">
        <is>
          <t>MARIESTAD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44957</v>
      </c>
      <c r="E312" s="1" t="n">
        <v>46283</v>
      </c>
      <c r="F312" t="inlineStr">
        <is>
          <t>VÄSTRA GÖTALANDS LÄN</t>
        </is>
      </c>
      <c r="G312" t="inlineStr">
        <is>
          <t>MARIESTAD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46283</v>
      </c>
      <c r="F313" t="inlineStr">
        <is>
          <t>VÄSTRA GÖTALANDS LÄN</t>
        </is>
      </c>
      <c r="G313" t="inlineStr">
        <is>
          <t>MARIESTAD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46283</v>
      </c>
      <c r="F314" t="inlineStr">
        <is>
          <t>VÄSTRA GÖTALANDS LÄN</t>
        </is>
      </c>
      <c r="G314" t="inlineStr">
        <is>
          <t>MARIESTAD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45702</v>
      </c>
      <c r="E315" s="1" t="n">
        <v>46283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45271</v>
      </c>
      <c r="E316" s="1" t="n">
        <v>46283</v>
      </c>
      <c r="F316" t="inlineStr">
        <is>
          <t>VÄSTRA GÖTALANDS LÄN</t>
        </is>
      </c>
      <c r="G316" t="inlineStr">
        <is>
          <t>MARIESTAD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34253-2024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45524</v>
      </c>
      <c r="E317" s="1" t="n">
        <v>46283</v>
      </c>
      <c r="F317" t="inlineStr">
        <is>
          <t>VÄSTRA GÖTALANDS LÄN</t>
        </is>
      </c>
      <c r="G317" t="inlineStr">
        <is>
          <t>MARIESTAD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12767-2024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45384</v>
      </c>
      <c r="E318" s="1" t="n">
        <v>46283</v>
      </c>
      <c r="F318" t="inlineStr">
        <is>
          <t>VÄSTRA GÖTALANDS LÄN</t>
        </is>
      </c>
      <c r="G318" t="inlineStr">
        <is>
          <t>MARIESTAD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46283</v>
      </c>
      <c r="F319" t="inlineStr">
        <is>
          <t>VÄSTRA GÖTALANDS LÄN</t>
        </is>
      </c>
      <c r="G319" t="inlineStr">
        <is>
          <t>MARIESTAD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45684</v>
      </c>
      <c r="E320" s="1" t="n">
        <v>46283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Kyrkan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46283</v>
      </c>
      <c r="F321" t="inlineStr">
        <is>
          <t>VÄSTRA GÖTALANDS LÄN</t>
        </is>
      </c>
      <c r="G321" t="inlineStr">
        <is>
          <t>MARIESTAD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38376-2024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45545</v>
      </c>
      <c r="E322" s="1" t="n">
        <v>46283</v>
      </c>
      <c r="F322" t="inlineStr">
        <is>
          <t>VÄSTRA GÖTALANDS LÄN</t>
        </is>
      </c>
      <c r="G322" t="inlineStr">
        <is>
          <t>MARIESTAD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45307</v>
      </c>
      <c r="E323" s="1" t="n">
        <v>46283</v>
      </c>
      <c r="F323" t="inlineStr">
        <is>
          <t>VÄSTRA GÖTALANDS LÄN</t>
        </is>
      </c>
      <c r="G323" t="inlineStr">
        <is>
          <t>MARIESTAD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46283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45790</v>
      </c>
      <c r="E325" s="1" t="n">
        <v>46283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49385-2023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45211</v>
      </c>
      <c r="E326" s="1" t="n">
        <v>46283</v>
      </c>
      <c r="F326" t="inlineStr">
        <is>
          <t>VÄSTRA GÖTALANDS LÄN</t>
        </is>
      </c>
      <c r="G326" t="inlineStr">
        <is>
          <t>MARIESTAD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66772-2021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44521</v>
      </c>
      <c r="E327" s="1" t="n">
        <v>46283</v>
      </c>
      <c r="F327" t="inlineStr">
        <is>
          <t>VÄSTRA GÖTALANDS LÄN</t>
        </is>
      </c>
      <c r="G327" t="inlineStr">
        <is>
          <t>MARIESTAD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45502</v>
      </c>
      <c r="E328" s="1" t="n">
        <v>46283</v>
      </c>
      <c r="F328" t="inlineStr">
        <is>
          <t>VÄSTRA GÖTALANDS LÄN</t>
        </is>
      </c>
      <c r="G328" t="inlineStr">
        <is>
          <t>MARIESTAD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45716</v>
      </c>
      <c r="E329" s="1" t="n">
        <v>46283</v>
      </c>
      <c r="F329" t="inlineStr">
        <is>
          <t>VÄSTRA GÖTALANDS LÄN</t>
        </is>
      </c>
      <c r="G329" t="inlineStr">
        <is>
          <t>MARIESTAD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45331</v>
      </c>
      <c r="E330" s="1" t="n">
        <v>46283</v>
      </c>
      <c r="F330" t="inlineStr">
        <is>
          <t>VÄSTRA GÖTALANDS LÄN</t>
        </is>
      </c>
      <c r="G330" t="inlineStr">
        <is>
          <t>MARIESTAD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45728</v>
      </c>
      <c r="E331" s="1" t="n">
        <v>46283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45616</v>
      </c>
      <c r="E332" s="1" t="n">
        <v>46283</v>
      </c>
      <c r="F332" t="inlineStr">
        <is>
          <t>VÄSTRA GÖTALANDS LÄN</t>
        </is>
      </c>
      <c r="G332" t="inlineStr">
        <is>
          <t>MARIESTAD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45709</v>
      </c>
      <c r="E333" s="1" t="n">
        <v>46283</v>
      </c>
      <c r="F333" t="inlineStr">
        <is>
          <t>VÄSTRA GÖTALANDS LÄN</t>
        </is>
      </c>
      <c r="G333" t="inlineStr">
        <is>
          <t>MARIESTAD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45705</v>
      </c>
      <c r="E334" s="1" t="n">
        <v>46283</v>
      </c>
      <c r="F334" t="inlineStr">
        <is>
          <t>VÄSTRA GÖTALANDS LÄN</t>
        </is>
      </c>
      <c r="G334" t="inlineStr">
        <is>
          <t>MARIESTAD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46283</v>
      </c>
      <c r="F335" t="inlineStr">
        <is>
          <t>VÄSTRA GÖTALANDS LÄN</t>
        </is>
      </c>
      <c r="G335" t="inlineStr">
        <is>
          <t>MARIESTAD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52869-2024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45610</v>
      </c>
      <c r="E336" s="1" t="n">
        <v>46283</v>
      </c>
      <c r="F336" t="inlineStr">
        <is>
          <t>VÄSTRA GÖTALANDS LÄN</t>
        </is>
      </c>
      <c r="G336" t="inlineStr">
        <is>
          <t>MARIESTAD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46283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45798</v>
      </c>
      <c r="E338" s="1" t="n">
        <v>46283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46283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45804</v>
      </c>
      <c r="E340" s="1" t="n">
        <v>46283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45804</v>
      </c>
      <c r="E341" s="1" t="n">
        <v>46283</v>
      </c>
      <c r="F341" t="inlineStr">
        <is>
          <t>VÄSTRA GÖTALANDS LÄN</t>
        </is>
      </c>
      <c r="G341" t="inlineStr">
        <is>
          <t>MARIESTAD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46283</v>
      </c>
      <c r="F342" t="inlineStr">
        <is>
          <t>VÄSTRA GÖTALANDS LÄN</t>
        </is>
      </c>
      <c r="G342" t="inlineStr">
        <is>
          <t>MARIESTAD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46283</v>
      </c>
      <c r="F343" t="inlineStr">
        <is>
          <t>VÄSTRA GÖTALANDS LÄN</t>
        </is>
      </c>
      <c r="G343" t="inlineStr">
        <is>
          <t>MARIESTAD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45817</v>
      </c>
      <c r="E344" s="1" t="n">
        <v>46283</v>
      </c>
      <c r="F344" t="inlineStr">
        <is>
          <t>VÄSTRA GÖTALANDS LÄN</t>
        </is>
      </c>
      <c r="G344" t="inlineStr">
        <is>
          <t>MARIESTAD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46283</v>
      </c>
      <c r="F345" t="inlineStr">
        <is>
          <t>VÄSTRA GÖTALANDS LÄN</t>
        </is>
      </c>
      <c r="G345" t="inlineStr">
        <is>
          <t>MARIESTAD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4868-2024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45618</v>
      </c>
      <c r="E346" s="1" t="n">
        <v>46283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1204-2025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45757</v>
      </c>
      <c r="E347" s="1" t="n">
        <v>46283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359-2026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46064</v>
      </c>
      <c r="E348" s="1" t="n">
        <v>46283</v>
      </c>
      <c r="F348" t="inlineStr">
        <is>
          <t>VÄSTRA GÖTALANDS LÄN</t>
        </is>
      </c>
      <c r="G348" t="inlineStr">
        <is>
          <t>MARIESTAD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2026-09-18T02:01:46Z</dcterms:created>
  <dcterms:modified xmlns:dcterms="http://purl.org/dc/terms/" xmlns:xsi="http://www.w3.org/2001/XMLSchema-instance" xsi:type="dcterms:W3CDTF">2026-09-18T02:01:46Z</dcterms:modified>
</cp:coreProperties>
</file>