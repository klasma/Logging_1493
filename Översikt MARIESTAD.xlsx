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46299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46299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46299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46299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46299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46299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46299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46299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27444-2023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45097</v>
      </c>
      <c r="E13" s="1" t="n">
        <v>46299</v>
      </c>
      <c r="F13" t="inlineStr">
        <is>
          <t>VÄSTRA GÖTALANDS LÄN</t>
        </is>
      </c>
      <c r="G13" t="inlineStr">
        <is>
          <t>MARIESTAD</t>
        </is>
      </c>
      <c r="I13" t="n">
        <v>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Svinrot
Gullviva</t>
        </is>
      </c>
      <c r="W13">
        <f>HYPERLINK("https://klasma.github.io/Logging_1493/artfynd/A 27444-2023 artfynd.xlsx", "A 27444-2023")</f>
        <v/>
      </c>
      <c r="X13">
        <f>HYPERLINK("https://klasma.github.io/Logging_1493/kartor/A 27444-2023 karta.png", "A 27444-2023")</f>
        <v/>
      </c>
      <c r="Y13">
        <f>HYPERLINK("https://klasma.github.io/Logging_1493/kartor_geotiff/A 27444-2023 georefererad karta.tif", "A 27444-2023")</f>
        <v/>
      </c>
      <c r="AA13">
        <f>HYPERLINK("https://klasma.github.io/Logging_1493/klagomål/A 27444-2023 FSC-klagomål.docx", "A 27444-2023")</f>
        <v/>
      </c>
      <c r="AB13">
        <f>HYPERLINK("https://klasma.github.io/Logging_1493/klagomålsmail/A 27444-2023 FSC-klagomål mail.docx", "A 27444-2023")</f>
        <v/>
      </c>
      <c r="AC13">
        <f>HYPERLINK("https://klasma.github.io/Logging_1493/tillsyn/A 27444-2023 tillsynsbegäran.docx", "A 27444-2023")</f>
        <v/>
      </c>
      <c r="AD13">
        <f>HYPERLINK("https://klasma.github.io/Logging_1493/tillsynsmail/A 27444-2023 tillsynsbegäran mail.docx", "A 27444-2023")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46299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46299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46299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46299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11073-2022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44628</v>
      </c>
      <c r="E18" s="1" t="n">
        <v>46299</v>
      </c>
      <c r="F18" t="inlineStr">
        <is>
          <t>VÄSTRA GÖTALANDS LÄN</t>
        </is>
      </c>
      <c r="G18" t="inlineStr">
        <is>
          <t>MARIESTAD</t>
        </is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Skogsduva</t>
        </is>
      </c>
      <c r="W18">
        <f>HYPERLINK("https://klasma.github.io/Logging_1493/artfynd/A 11073-2022 artfynd.xlsx", "A 11073-2022")</f>
        <v/>
      </c>
      <c r="X18">
        <f>HYPERLINK("https://klasma.github.io/Logging_1493/kartor/A 11073-2022 karta.png", "A 11073-2022")</f>
        <v/>
      </c>
      <c r="Y18">
        <f>HYPERLINK("https://klasma.github.io/Logging_1493/kartor_geotiff/A 11073-2022 georefererad karta.tif", "A 11073-2022")</f>
        <v/>
      </c>
      <c r="AA18">
        <f>HYPERLINK("https://klasma.github.io/Logging_1493/klagomål/A 11073-2022 FSC-klagomål.docx", "A 11073-2022")</f>
        <v/>
      </c>
      <c r="AB18">
        <f>HYPERLINK("https://klasma.github.io/Logging_1493/klagomålsmail/A 11073-2022 FSC-klagomål mail.docx", "A 11073-2022")</f>
        <v/>
      </c>
      <c r="AC18">
        <f>HYPERLINK("https://klasma.github.io/Logging_1493/tillsyn/A 11073-2022 tillsynsbegäran.docx", "A 11073-2022")</f>
        <v/>
      </c>
      <c r="AD18">
        <f>HYPERLINK("https://klasma.github.io/Logging_1493/tillsynsmail/A 11073-2022 tillsynsbegäran mail.docx", "A 11073-2022")</f>
        <v/>
      </c>
      <c r="AE18">
        <f>HYPERLINK("https://klasma.github.io/Logging_1493/fåglar/A 11073-2022 prioriterade fågelarter.docx", "A 11073-2022")</f>
        <v/>
      </c>
    </row>
    <row r="19" ht="15" customHeight="1">
      <c r="A19" t="inlineStr">
        <is>
          <t>A 50053-2023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46299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Grovticka</t>
        </is>
      </c>
      <c r="W19">
        <f>HYPERLINK("https://klasma.github.io/Logging_1493/artfynd/A 50053-2023 artfynd.xlsx", "A 50053-2023")</f>
        <v/>
      </c>
      <c r="X19">
        <f>HYPERLINK("https://klasma.github.io/Logging_1493/kartor/A 50053-2023 karta.png", "A 50053-2023")</f>
        <v/>
      </c>
      <c r="Y19">
        <f>HYPERLINK("https://klasma.github.io/Logging_1493/kartor_geotiff/A 50053-2023 georefererad karta.tif", "A 50053-2023")</f>
        <v/>
      </c>
      <c r="Z19">
        <f>HYPERLINK("https://klasma.github.io/Logging_1493/knärot/A 50053-2023 karta knärot.png", "A 50053-2023")</f>
        <v/>
      </c>
      <c r="AA19">
        <f>HYPERLINK("https://klasma.github.io/Logging_1493/klagomål/A 50053-2023 FSC-klagomål.docx", "A 50053-2023")</f>
        <v/>
      </c>
      <c r="AB19">
        <f>HYPERLINK("https://klasma.github.io/Logging_1493/klagomålsmail/A 50053-2023 FSC-klagomål mail.docx", "A 50053-2023")</f>
        <v/>
      </c>
      <c r="AC19">
        <f>HYPERLINK("https://klasma.github.io/Logging_1493/tillsyn/A 50053-2023 tillsynsbegäran.docx", "A 50053-2023")</f>
        <v/>
      </c>
      <c r="AD19">
        <f>HYPERLINK("https://klasma.github.io/Logging_1493/tillsynsmail/A 50053-2023 tillsynsbegäran mail.docx", "A 50053-2023")</f>
        <v/>
      </c>
    </row>
    <row r="20" ht="15" customHeight="1">
      <c r="A20" t="inlineStr">
        <is>
          <t>A 21503-2024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45441</v>
      </c>
      <c r="E20" s="1" t="n">
        <v>46299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Kommuner</t>
        </is>
      </c>
      <c r="I20" t="n">
        <v>3.3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Svinrot</t>
        </is>
      </c>
      <c r="W20">
        <f>HYPERLINK("https://klasma.github.io/Logging_1493/artfynd/A 21503-2024 artfynd.xlsx", "A 21503-2024")</f>
        <v/>
      </c>
      <c r="X20">
        <f>HYPERLINK("https://klasma.github.io/Logging_1493/kartor/A 21503-2024 karta.png", "A 21503-2024")</f>
        <v/>
      </c>
      <c r="Y20">
        <f>HYPERLINK("https://klasma.github.io/Logging_1493/kartor_geotiff/A 21503-2024 georefererad karta.tif", "A 21503-2024")</f>
        <v/>
      </c>
      <c r="AA20">
        <f>HYPERLINK("https://klasma.github.io/Logging_1493/klagomål/A 21503-2024 FSC-klagomål.docx", "A 21503-2024")</f>
        <v/>
      </c>
      <c r="AB20">
        <f>HYPERLINK("https://klasma.github.io/Logging_1493/klagomålsmail/A 21503-2024 FSC-klagomål mail.docx", "A 21503-2024")</f>
        <v/>
      </c>
      <c r="AC20">
        <f>HYPERLINK("https://klasma.github.io/Logging_1493/tillsyn/A 21503-2024 tillsynsbegäran.docx", "A 21503-2024")</f>
        <v/>
      </c>
      <c r="AD20">
        <f>HYPERLINK("https://klasma.github.io/Logging_1493/tillsynsmail/A 21503-2024 tillsynsbegäran mail.docx", "A 21503-2024")</f>
        <v/>
      </c>
    </row>
    <row r="21" ht="15" customHeight="1">
      <c r="A21" t="inlineStr">
        <is>
          <t>A 14947-2023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45015</v>
      </c>
      <c r="E21" s="1" t="n">
        <v>46299</v>
      </c>
      <c r="F21" t="inlineStr">
        <is>
          <t>VÄSTRA GÖTALANDS LÄN</t>
        </is>
      </c>
      <c r="G21" t="inlineStr">
        <is>
          <t>MARIESTAD</t>
        </is>
      </c>
      <c r="I21" t="n">
        <v>1.9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5</v>
      </c>
      <c r="U21" t="n">
        <v>0</v>
      </c>
      <c r="V21" s="2" t="inlineStr">
        <is>
          <t>Knärot
Grönpyrola</t>
        </is>
      </c>
      <c r="W21">
        <f>HYPERLINK("https://klasma.github.io/Logging_1493/artfynd/A 14947-2023 artfynd.xlsx", "A 14947-2023")</f>
        <v/>
      </c>
      <c r="X21">
        <f>HYPERLINK("https://klasma.github.io/Logging_1493/kartor/A 14947-2023 karta.png", "A 14947-2023")</f>
        <v/>
      </c>
      <c r="Y21">
        <f>HYPERLINK("https://klasma.github.io/Logging_1493/kartor_geotiff/A 14947-2023 georefererad karta.tif", "A 14947-2023")</f>
        <v/>
      </c>
      <c r="Z21">
        <f>HYPERLINK("https://klasma.github.io/Logging_1493/knärot/A 14947-2023 karta knärot.png", "A 14947-2023")</f>
        <v/>
      </c>
      <c r="AA21">
        <f>HYPERLINK("https://klasma.github.io/Logging_1493/klagomål/A 14947-2023 FSC-klagomål.docx", "A 14947-2023")</f>
        <v/>
      </c>
      <c r="AB21">
        <f>HYPERLINK("https://klasma.github.io/Logging_1493/klagomålsmail/A 14947-2023 FSC-klagomål mail.docx", "A 14947-2023")</f>
        <v/>
      </c>
      <c r="AC21">
        <f>HYPERLINK("https://klasma.github.io/Logging_1493/tillsyn/A 14947-2023 tillsynsbegäran.docx", "A 14947-2023")</f>
        <v/>
      </c>
      <c r="AD21">
        <f>HYPERLINK("https://klasma.github.io/Logging_1493/tillsynsmail/A 14947-2023 tillsynsbegäran mail.docx", "A 14947-2023")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46299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46299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46299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9650-2025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46299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HYPERLINK("https://klasma.github.io/Logging_1493/artfynd/A 9650-2025 artfynd.xlsx", "A 9650-2025")</f>
        <v/>
      </c>
      <c r="X25">
        <f>HYPERLINK("https://klasma.github.io/Logging_1493/kartor/A 9650-2025 karta.png", "A 9650-2025")</f>
        <v/>
      </c>
      <c r="Y25">
        <f>HYPERLINK("https://klasma.github.io/Logging_1493/kartor_geotiff/A 9650-2025 georefererad karta.tif", "A 9650-2025")</f>
        <v/>
      </c>
      <c r="AA25">
        <f>HYPERLINK("https://klasma.github.io/Logging_1493/klagomål/A 9650-2025 FSC-klagomål.docx", "A 9650-2025")</f>
        <v/>
      </c>
      <c r="AB25">
        <f>HYPERLINK("https://klasma.github.io/Logging_1493/klagomålsmail/A 9650-2025 FSC-klagomål mail.docx", "A 9650-2025")</f>
        <v/>
      </c>
      <c r="AC25">
        <f>HYPERLINK("https://klasma.github.io/Logging_1493/tillsyn/A 9650-2025 tillsynsbegäran.docx", "A 9650-2025")</f>
        <v/>
      </c>
      <c r="AD25">
        <f>HYPERLINK("https://klasma.github.io/Logging_1493/tillsynsmail/A 9650-2025 tillsynsbegäran mail.docx", "A 9650-2025")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46299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29151-2025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46299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HYPERLINK("https://klasma.github.io/Logging_1493/artfynd/A 29151-2025 artfynd.xlsx", "A 29151-2025")</f>
        <v/>
      </c>
      <c r="X27">
        <f>HYPERLINK("https://klasma.github.io/Logging_1493/kartor/A 29151-2025 karta.png", "A 29151-2025")</f>
        <v/>
      </c>
      <c r="Y27">
        <f>HYPERLINK("https://klasma.github.io/Logging_1493/kartor_geotiff/A 29151-2025 georefererad karta.tif", "A 29151-2025")</f>
        <v/>
      </c>
      <c r="AA27">
        <f>HYPERLINK("https://klasma.github.io/Logging_1493/klagomål/A 29151-2025 FSC-klagomål.docx", "A 29151-2025")</f>
        <v/>
      </c>
      <c r="AB27">
        <f>HYPERLINK("https://klasma.github.io/Logging_1493/klagomålsmail/A 29151-2025 FSC-klagomål mail.docx", "A 29151-2025")</f>
        <v/>
      </c>
      <c r="AC27">
        <f>HYPERLINK("https://klasma.github.io/Logging_1493/tillsyn/A 29151-2025 tillsynsbegäran.docx", "A 29151-2025")</f>
        <v/>
      </c>
      <c r="AD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46299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HYPERLINK("https://klasma.github.io/Logging_1493/artfynd/A 29152-2025 artfynd.xlsx", "A 29152-2025")</f>
        <v/>
      </c>
      <c r="X28">
        <f>HYPERLINK("https://klasma.github.io/Logging_1493/kartor/A 29152-2025 karta.png", "A 29152-2025")</f>
        <v/>
      </c>
      <c r="Y28">
        <f>HYPERLINK("https://klasma.github.io/Logging_1493/kartor_geotiff/A 29152-2025 georefererad karta.tif", "A 29152-2025")</f>
        <v/>
      </c>
      <c r="AA28">
        <f>HYPERLINK("https://klasma.github.io/Logging_1493/klagomål/A 29152-2025 FSC-klagomål.docx", "A 29152-2025")</f>
        <v/>
      </c>
      <c r="AB28">
        <f>HYPERLINK("https://klasma.github.io/Logging_1493/klagomålsmail/A 29152-2025 FSC-klagomål mail.docx", "A 29152-2025")</f>
        <v/>
      </c>
      <c r="AC28">
        <f>HYPERLINK("https://klasma.github.io/Logging_1493/tillsyn/A 29152-2025 tillsynsbegäran.docx", "A 29152-2025")</f>
        <v/>
      </c>
      <c r="AD28">
        <f>HYPERLINK("https://klasma.github.io/Logging_1493/tillsynsmail/A 29152-2025 tillsynsbegäran mail.docx", "A 29152-2025")</f>
        <v/>
      </c>
    </row>
    <row r="29" ht="15" customHeight="1">
      <c r="A29" t="inlineStr">
        <is>
          <t>A 17272-2023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46299</v>
      </c>
      <c r="F29" t="inlineStr">
        <is>
          <t>VÄSTRA GÖTALANDS LÄN</t>
        </is>
      </c>
      <c r="G29" t="inlineStr">
        <is>
          <t>MARIESTAD</t>
        </is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HYPERLINK("https://klasma.github.io/Logging_1493/artfynd/A 17272-2023 artfynd.xlsx", "A 17272-2023")</f>
        <v/>
      </c>
      <c r="X29">
        <f>HYPERLINK("https://klasma.github.io/Logging_1493/kartor/A 17272-2023 karta.png", "A 17272-2023")</f>
        <v/>
      </c>
      <c r="Y29">
        <f>HYPERLINK("https://klasma.github.io/Logging_1493/kartor_geotiff/A 17272-2023 georefererad karta.tif", "A 17272-2023")</f>
        <v/>
      </c>
      <c r="AA29">
        <f>HYPERLINK("https://klasma.github.io/Logging_1493/klagomål/A 17272-2023 FSC-klagomål.docx", "A 17272-2023")</f>
        <v/>
      </c>
      <c r="AB29">
        <f>HYPERLINK("https://klasma.github.io/Logging_1493/klagomålsmail/A 17272-2023 FSC-klagomål mail.docx", "A 17272-2023")</f>
        <v/>
      </c>
      <c r="AC29">
        <f>HYPERLINK("https://klasma.github.io/Logging_1493/tillsyn/A 17272-2023 tillsynsbegäran.docx", "A 17272-2023")</f>
        <v/>
      </c>
      <c r="AD29">
        <f>HYPERLINK("https://klasma.github.io/Logging_1493/tillsynsmail/A 17272-2023 tillsynsbegäran mail.docx", "A 17272-2023")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46299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7578-2025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46299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Svartvit flugsnappare</t>
        </is>
      </c>
      <c r="W31">
        <f>HYPERLINK("https://klasma.github.io/Logging_1493/artfynd/A 7578-2025 artfynd.xlsx", "A 7578-2025")</f>
        <v/>
      </c>
      <c r="X31">
        <f>HYPERLINK("https://klasma.github.io/Logging_1493/kartor/A 7578-2025 karta.png", "A 7578-2025")</f>
        <v/>
      </c>
      <c r="Y31">
        <f>HYPERLINK("https://klasma.github.io/Logging_1493/kartor_geotiff/A 7578-2025 georefererad karta.tif", "A 7578-2025")</f>
        <v/>
      </c>
      <c r="AA31">
        <f>HYPERLINK("https://klasma.github.io/Logging_1493/klagomål/A 7578-2025 FSC-klagomål.docx", "A 7578-2025")</f>
        <v/>
      </c>
      <c r="AB31">
        <f>HYPERLINK("https://klasma.github.io/Logging_1493/klagomålsmail/A 7578-2025 FSC-klagomål mail.docx", "A 7578-2025")</f>
        <v/>
      </c>
      <c r="AC31">
        <f>HYPERLINK("https://klasma.github.io/Logging_1493/tillsyn/A 7578-2025 tillsynsbegäran.docx", "A 7578-2025")</f>
        <v/>
      </c>
      <c r="AD31">
        <f>HYPERLINK("https://klasma.github.io/Logging_1493/tillsynsmail/A 7578-2025 tillsynsbegäran mail.docx", "A 7578-2025")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46299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46299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46299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46299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38580-2023 artfynd.xlsx", "A 38580-2023")</f>
        <v/>
      </c>
      <c r="X35">
        <f>HYPERLINK("https://klasma.github.io/Logging_1493/kartor/A 38580-2023 karta.png", "A 38580-2023")</f>
        <v/>
      </c>
      <c r="Y35">
        <f>HYPERLINK("https://klasma.github.io/Logging_1493/kartor_geotiff/A 38580-2023 georefererad karta.tif", "A 38580-2023")</f>
        <v/>
      </c>
      <c r="AA35">
        <f>HYPERLINK("https://klasma.github.io/Logging_1493/klagomål/A 38580-2023 FSC-klagomål.docx", "A 38580-2023")</f>
        <v/>
      </c>
      <c r="AB35">
        <f>HYPERLINK("https://klasma.github.io/Logging_1493/klagomålsmail/A 38580-2023 FSC-klagomål mail.docx", "A 38580-2023")</f>
        <v/>
      </c>
      <c r="AC35">
        <f>HYPERLINK("https://klasma.github.io/Logging_1493/tillsyn/A 38580-2023 tillsynsbegäran.docx", "A 38580-2023")</f>
        <v/>
      </c>
      <c r="AD35">
        <f>HYPERLINK("https://klasma.github.io/Logging_1493/tillsynsmail/A 38580-2023 tillsynsbegäran mail.docx", "A 38580-2023")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46299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HYPERLINK("https://klasma.github.io/Logging_1493/artfynd/A 18176-2025 artfynd.xlsx", "A 18176-2025")</f>
        <v/>
      </c>
      <c r="X36">
        <f>HYPERLINK("https://klasma.github.io/Logging_1493/kartor/A 18176-2025 karta.png", "A 18176-2025")</f>
        <v/>
      </c>
      <c r="Y36">
        <f>HYPERLINK("https://klasma.github.io/Logging_1493/kartor_geotiff/A 18176-2025 georefererad karta.tif", "A 18176-2025")</f>
        <v/>
      </c>
      <c r="AA36">
        <f>HYPERLINK("https://klasma.github.io/Logging_1493/klagomål/A 18176-2025 FSC-klagomål.docx", "A 18176-2025")</f>
        <v/>
      </c>
      <c r="AB36">
        <f>HYPERLINK("https://klasma.github.io/Logging_1493/klagomålsmail/A 18176-2025 FSC-klagomål mail.docx", "A 18176-2025")</f>
        <v/>
      </c>
      <c r="AC36">
        <f>HYPERLINK("https://klasma.github.io/Logging_1493/tillsyn/A 18176-2025 tillsynsbegäran.docx", "A 18176-2025")</f>
        <v/>
      </c>
      <c r="AD36">
        <f>HYPERLINK("https://klasma.github.io/Logging_1493/tillsynsmail/A 18176-2025 tillsynsbegäran mail.docx", "A 18176-2025")</f>
        <v/>
      </c>
    </row>
    <row r="37" ht="15" customHeight="1">
      <c r="A37" t="inlineStr">
        <is>
          <t>A 49233-2023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45210</v>
      </c>
      <c r="E37" s="1" t="n">
        <v>46299</v>
      </c>
      <c r="F37" t="inlineStr">
        <is>
          <t>VÄSTRA GÖTALANDS LÄN</t>
        </is>
      </c>
      <c r="G37" t="inlineStr">
        <is>
          <t>MARIESTAD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Lönnlav</t>
        </is>
      </c>
      <c r="W37">
        <f>HYPERLINK("https://klasma.github.io/Logging_1493/artfynd/A 49233-2023 artfynd.xlsx", "A 49233-2023")</f>
        <v/>
      </c>
      <c r="X37">
        <f>HYPERLINK("https://klasma.github.io/Logging_1493/kartor/A 49233-2023 karta.png", "A 49233-2023")</f>
        <v/>
      </c>
      <c r="Y37">
        <f>HYPERLINK("https://klasma.github.io/Logging_1493/kartor_geotiff/A 49233-2023 georefererad karta.tif", "A 49233-2023")</f>
        <v/>
      </c>
      <c r="AA37">
        <f>HYPERLINK("https://klasma.github.io/Logging_1493/klagomål/A 49233-2023 FSC-klagomål.docx", "A 49233-2023")</f>
        <v/>
      </c>
      <c r="AB37">
        <f>HYPERLINK("https://klasma.github.io/Logging_1493/klagomålsmail/A 49233-2023 FSC-klagomål mail.docx", "A 49233-2023")</f>
        <v/>
      </c>
      <c r="AC37">
        <f>HYPERLINK("https://klasma.github.io/Logging_1493/tillsyn/A 49233-2023 tillsynsbegäran.docx", "A 49233-2023")</f>
        <v/>
      </c>
      <c r="AD37">
        <f>HYPERLINK("https://klasma.github.io/Logging_1493/tillsynsmail/A 49233-2023 tillsynsbegäran mail.docx", "A 49233-2023")</f>
        <v/>
      </c>
    </row>
    <row r="38" ht="15" customHeight="1">
      <c r="A38" t="inlineStr">
        <is>
          <t>A 30652-2023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46299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Nattviol</t>
        </is>
      </c>
      <c r="W38">
        <f>HYPERLINK("https://klasma.github.io/Logging_1493/artfynd/A 30652-2023 artfynd.xlsx", "A 30652-2023")</f>
        <v/>
      </c>
      <c r="X38">
        <f>HYPERLINK("https://klasma.github.io/Logging_1493/kartor/A 30652-2023 karta.png", "A 30652-2023")</f>
        <v/>
      </c>
      <c r="Y38">
        <f>HYPERLINK("https://klasma.github.io/Logging_1493/kartor_geotiff/A 30652-2023 georefererad karta.tif", "A 30652-2023")</f>
        <v/>
      </c>
      <c r="AA38">
        <f>HYPERLINK("https://klasma.github.io/Logging_1493/klagomål/A 30652-2023 FSC-klagomål.docx", "A 30652-2023")</f>
        <v/>
      </c>
      <c r="AB38">
        <f>HYPERLINK("https://klasma.github.io/Logging_1493/klagomålsmail/A 30652-2023 FSC-klagomål mail.docx", "A 30652-2023")</f>
        <v/>
      </c>
      <c r="AC38">
        <f>HYPERLINK("https://klasma.github.io/Logging_1493/tillsyn/A 30652-2023 tillsynsbegäran.docx", "A 30652-2023")</f>
        <v/>
      </c>
      <c r="AD38">
        <f>HYPERLINK("https://klasma.github.io/Logging_1493/tillsynsmail/A 30652-2023 tillsynsbegäran mail.docx", "A 30652-2023")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46299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46299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46299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46299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46299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46299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46299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46299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46299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46299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46299</v>
      </c>
      <c r="F49" t="inlineStr">
        <is>
          <t>VÄSTRA GÖTALANDS LÄN</t>
        </is>
      </c>
      <c r="G49" t="inlineStr">
        <is>
          <t>MARIESTAD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46299</v>
      </c>
      <c r="F50" t="inlineStr">
        <is>
          <t>VÄSTRA GÖTALANDS LÄN</t>
        </is>
      </c>
      <c r="G50" t="inlineStr">
        <is>
          <t>MARIESTAD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67146-2021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46299</v>
      </c>
      <c r="F51" t="inlineStr">
        <is>
          <t>VÄSTRA GÖTALANDS LÄN</t>
        </is>
      </c>
      <c r="G51" t="inlineStr">
        <is>
          <t>MARIESTAD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44614</v>
      </c>
      <c r="E52" s="1" t="n">
        <v>46299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Kyrkan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44766</v>
      </c>
      <c r="E53" s="1" t="n">
        <v>46299</v>
      </c>
      <c r="F53" t="inlineStr">
        <is>
          <t>VÄSTRA GÖTALANDS LÄN</t>
        </is>
      </c>
      <c r="G53" t="inlineStr">
        <is>
          <t>MARIESTAD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46299</v>
      </c>
      <c r="F54" t="inlineStr">
        <is>
          <t>VÄSTRA GÖTALANDS LÄN</t>
        </is>
      </c>
      <c r="G54" t="inlineStr">
        <is>
          <t>MARIESTAD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46299</v>
      </c>
      <c r="F55" t="inlineStr">
        <is>
          <t>VÄSTRA GÖTALANDS LÄN</t>
        </is>
      </c>
      <c r="G55" t="inlineStr">
        <is>
          <t>MARIESTAD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44758</v>
      </c>
      <c r="E56" s="1" t="n">
        <v>46299</v>
      </c>
      <c r="F56" t="inlineStr">
        <is>
          <t>VÄSTRA GÖTALANDS LÄN</t>
        </is>
      </c>
      <c r="G56" t="inlineStr">
        <is>
          <t>MARIESTAD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44693</v>
      </c>
      <c r="E57" s="1" t="n">
        <v>46299</v>
      </c>
      <c r="F57" t="inlineStr">
        <is>
          <t>VÄSTRA GÖTALANDS LÄN</t>
        </is>
      </c>
      <c r="G57" t="inlineStr">
        <is>
          <t>MARIESTAD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46299</v>
      </c>
      <c r="F58" t="inlineStr">
        <is>
          <t>VÄSTRA GÖTALANDS LÄN</t>
        </is>
      </c>
      <c r="G58" t="inlineStr">
        <is>
          <t>MARIESTAD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44571</v>
      </c>
      <c r="E59" s="1" t="n">
        <v>46299</v>
      </c>
      <c r="F59" t="inlineStr">
        <is>
          <t>VÄSTRA GÖTALANDS LÄN</t>
        </is>
      </c>
      <c r="G59" t="inlineStr">
        <is>
          <t>MARIESTAD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46299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46299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67142-2021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46299</v>
      </c>
      <c r="F62" t="inlineStr">
        <is>
          <t>VÄSTRA GÖTALANDS LÄN</t>
        </is>
      </c>
      <c r="G62" t="inlineStr">
        <is>
          <t>MARIESTAD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46299</v>
      </c>
      <c r="F63" t="inlineStr">
        <is>
          <t>VÄSTRA GÖTALANDS LÄN</t>
        </is>
      </c>
      <c r="G63" t="inlineStr">
        <is>
          <t>MARIESTAD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46299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46299</v>
      </c>
      <c r="F65" t="inlineStr">
        <is>
          <t>VÄSTRA GÖTALANDS LÄN</t>
        </is>
      </c>
      <c r="G65" t="inlineStr">
        <is>
          <t>MARIESTAD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44630</v>
      </c>
      <c r="E66" s="1" t="n">
        <v>46299</v>
      </c>
      <c r="F66" t="inlineStr">
        <is>
          <t>VÄSTRA GÖTALANDS LÄN</t>
        </is>
      </c>
      <c r="G66" t="inlineStr">
        <is>
          <t>MARIESTAD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46299</v>
      </c>
      <c r="F67" t="inlineStr">
        <is>
          <t>VÄSTRA GÖTALANDS LÄN</t>
        </is>
      </c>
      <c r="G67" t="inlineStr">
        <is>
          <t>MARIESTAD</t>
        </is>
      </c>
      <c r="H67" t="inlineStr">
        <is>
          <t>Kyrkan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44843</v>
      </c>
      <c r="E68" s="1" t="n">
        <v>46299</v>
      </c>
      <c r="F68" t="inlineStr">
        <is>
          <t>VÄSTRA GÖTALANDS LÄN</t>
        </is>
      </c>
      <c r="G68" t="inlineStr">
        <is>
          <t>MARIESTAD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46299</v>
      </c>
      <c r="F69" t="inlineStr">
        <is>
          <t>VÄSTRA GÖTALANDS LÄN</t>
        </is>
      </c>
      <c r="G69" t="inlineStr">
        <is>
          <t>MARIESTAD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46299</v>
      </c>
      <c r="F70" t="inlineStr">
        <is>
          <t>VÄSTRA GÖTALANDS LÄN</t>
        </is>
      </c>
      <c r="G70" t="inlineStr">
        <is>
          <t>MARIESTAD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44574</v>
      </c>
      <c r="E71" s="1" t="n">
        <v>46299</v>
      </c>
      <c r="F71" t="inlineStr">
        <is>
          <t>VÄSTRA GÖTALANDS LÄN</t>
        </is>
      </c>
      <c r="G71" t="inlineStr">
        <is>
          <t>MARIESTAD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46299</v>
      </c>
      <c r="F72" t="inlineStr">
        <is>
          <t>VÄSTRA GÖTALANDS LÄN</t>
        </is>
      </c>
      <c r="G72" t="inlineStr">
        <is>
          <t>MARIESTAD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46299</v>
      </c>
      <c r="F73" t="inlineStr">
        <is>
          <t>VÄSTRA GÖTALANDS LÄN</t>
        </is>
      </c>
      <c r="G73" t="inlineStr">
        <is>
          <t>MARIESTAD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46299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46299</v>
      </c>
      <c r="F75" t="inlineStr">
        <is>
          <t>VÄSTRA GÖTALANDS LÄN</t>
        </is>
      </c>
      <c r="G75" t="inlineStr">
        <is>
          <t>MARIESTAD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46299</v>
      </c>
      <c r="F76" t="inlineStr">
        <is>
          <t>VÄSTRA GÖTALANDS LÄN</t>
        </is>
      </c>
      <c r="G76" t="inlineStr">
        <is>
          <t>MARIESTAD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45516</v>
      </c>
      <c r="E77" s="1" t="n">
        <v>46299</v>
      </c>
      <c r="F77" t="inlineStr">
        <is>
          <t>VÄSTRA GÖTALANDS LÄN</t>
        </is>
      </c>
      <c r="G77" t="inlineStr">
        <is>
          <t>MARIESTAD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45590</v>
      </c>
      <c r="E78" s="1" t="n">
        <v>46299</v>
      </c>
      <c r="F78" t="inlineStr">
        <is>
          <t>VÄSTRA GÖTALANDS LÄN</t>
        </is>
      </c>
      <c r="G78" t="inlineStr">
        <is>
          <t>MARIESTAD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46299</v>
      </c>
      <c r="F79" t="inlineStr">
        <is>
          <t>VÄSTRA GÖTALANDS LÄN</t>
        </is>
      </c>
      <c r="G79" t="inlineStr">
        <is>
          <t>MARIESTAD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46003</v>
      </c>
      <c r="E80" s="1" t="n">
        <v>46299</v>
      </c>
      <c r="F80" t="inlineStr">
        <is>
          <t>VÄSTRA GÖTALANDS LÄN</t>
        </is>
      </c>
      <c r="G80" t="inlineStr">
        <is>
          <t>MARIESTAD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46299</v>
      </c>
      <c r="F81" t="inlineStr">
        <is>
          <t>VÄSTRA GÖTALANDS LÄN</t>
        </is>
      </c>
      <c r="G81" t="inlineStr">
        <is>
          <t>MARIESTAD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46299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66772-2021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44521</v>
      </c>
      <c r="E83" s="1" t="n">
        <v>46299</v>
      </c>
      <c r="F83" t="inlineStr">
        <is>
          <t>VÄSTRA GÖTALANDS LÄN</t>
        </is>
      </c>
      <c r="G83" t="inlineStr">
        <is>
          <t>MARIESTAD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46299</v>
      </c>
      <c r="F84" t="inlineStr">
        <is>
          <t>VÄSTRA GÖTALANDS LÄN</t>
        </is>
      </c>
      <c r="G84" t="inlineStr">
        <is>
          <t>MARIESTAD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45470</v>
      </c>
      <c r="E85" s="1" t="n">
        <v>46299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Kyrkan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46299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45616</v>
      </c>
      <c r="E87" s="1" t="n">
        <v>46299</v>
      </c>
      <c r="F87" t="inlineStr">
        <is>
          <t>VÄSTRA GÖTALANDS LÄN</t>
        </is>
      </c>
      <c r="G87" t="inlineStr">
        <is>
          <t>MARIESTAD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49385-2023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45211</v>
      </c>
      <c r="E88" s="1" t="n">
        <v>46299</v>
      </c>
      <c r="F88" t="inlineStr">
        <is>
          <t>VÄSTRA GÖTALANDS LÄN</t>
        </is>
      </c>
      <c r="G88" t="inlineStr">
        <is>
          <t>MARIESTAD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46299</v>
      </c>
      <c r="F89" t="inlineStr">
        <is>
          <t>VÄSTRA GÖTALANDS LÄN</t>
        </is>
      </c>
      <c r="G89" t="inlineStr">
        <is>
          <t>MARIESTAD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46299</v>
      </c>
      <c r="F90" t="inlineStr">
        <is>
          <t>VÄSTRA GÖTALANDS LÄN</t>
        </is>
      </c>
      <c r="G90" t="inlineStr">
        <is>
          <t>MARIESTAD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46299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45502</v>
      </c>
      <c r="E92" s="1" t="n">
        <v>46299</v>
      </c>
      <c r="F92" t="inlineStr">
        <is>
          <t>VÄSTRA GÖTALANDS LÄN</t>
        </is>
      </c>
      <c r="G92" t="inlineStr">
        <is>
          <t>MARIESTAD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66771-2021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44521</v>
      </c>
      <c r="E93" s="1" t="n">
        <v>46299</v>
      </c>
      <c r="F93" t="inlineStr">
        <is>
          <t>VÄSTRA GÖTALANDS LÄN</t>
        </is>
      </c>
      <c r="G93" t="inlineStr">
        <is>
          <t>MARIESTAD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46299</v>
      </c>
      <c r="F94" t="inlineStr">
        <is>
          <t>VÄSTRA GÖTALANDS LÄN</t>
        </is>
      </c>
      <c r="G94" t="inlineStr">
        <is>
          <t>MARIESTAD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46299</v>
      </c>
      <c r="F95" t="inlineStr">
        <is>
          <t>VÄSTRA GÖTALANDS LÄN</t>
        </is>
      </c>
      <c r="G95" t="inlineStr">
        <is>
          <t>MARIESTAD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46299</v>
      </c>
      <c r="F96" t="inlineStr">
        <is>
          <t>VÄSTRA GÖTALANDS LÄN</t>
        </is>
      </c>
      <c r="G96" t="inlineStr">
        <is>
          <t>MARIESTAD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46299</v>
      </c>
      <c r="F97" t="inlineStr">
        <is>
          <t>VÄSTRA GÖTALANDS LÄN</t>
        </is>
      </c>
      <c r="G97" t="inlineStr">
        <is>
          <t>MARIESTAD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46299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46029</v>
      </c>
      <c r="E99" s="1" t="n">
        <v>46299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45790</v>
      </c>
      <c r="E100" s="1" t="n">
        <v>46299</v>
      </c>
      <c r="F100" t="inlineStr">
        <is>
          <t>VÄSTRA GÖTALANDS LÄN</t>
        </is>
      </c>
      <c r="G100" t="inlineStr">
        <is>
          <t>MARIESTAD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46299</v>
      </c>
      <c r="F101" t="inlineStr">
        <is>
          <t>VÄSTRA GÖTALANDS LÄN</t>
        </is>
      </c>
      <c r="G101" t="inlineStr">
        <is>
          <t>MARIESTAD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46299</v>
      </c>
      <c r="F102" t="inlineStr">
        <is>
          <t>VÄSTRA GÖTALANDS LÄN</t>
        </is>
      </c>
      <c r="G102" t="inlineStr">
        <is>
          <t>MARIESTAD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46299</v>
      </c>
      <c r="F103" t="inlineStr">
        <is>
          <t>VÄSTRA GÖTALANDS LÄN</t>
        </is>
      </c>
      <c r="G103" t="inlineStr">
        <is>
          <t>MARIESTAD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46299</v>
      </c>
      <c r="F104" t="inlineStr">
        <is>
          <t>VÄSTRA GÖTALANDS LÄN</t>
        </is>
      </c>
      <c r="G104" t="inlineStr">
        <is>
          <t>MARIESTAD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70295-2021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46299</v>
      </c>
      <c r="F105" t="inlineStr">
        <is>
          <t>VÄSTRA GÖTALANDS LÄN</t>
        </is>
      </c>
      <c r="G105" t="inlineStr">
        <is>
          <t>MARIESTAD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19553-2022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44693</v>
      </c>
      <c r="E106" s="1" t="n">
        <v>46299</v>
      </c>
      <c r="F106" t="inlineStr">
        <is>
          <t>VÄSTRA GÖTALANDS LÄN</t>
        </is>
      </c>
      <c r="G106" t="inlineStr">
        <is>
          <t>MARIESTAD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44971</v>
      </c>
      <c r="E107" s="1" t="n">
        <v>46299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46299</v>
      </c>
      <c r="F108" t="inlineStr">
        <is>
          <t>VÄSTRA GÖTALANDS LÄN</t>
        </is>
      </c>
      <c r="G108" t="inlineStr">
        <is>
          <t>MARIESTAD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46299</v>
      </c>
      <c r="F109" t="inlineStr">
        <is>
          <t>VÄSTRA GÖTALANDS LÄN</t>
        </is>
      </c>
      <c r="G109" t="inlineStr">
        <is>
          <t>MARIESTAD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44993</v>
      </c>
      <c r="E110" s="1" t="n">
        <v>46299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46299</v>
      </c>
      <c r="F111" t="inlineStr">
        <is>
          <t>VÄSTRA GÖTALANDS LÄN</t>
        </is>
      </c>
      <c r="G111" t="inlineStr">
        <is>
          <t>MARIESTAD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46299</v>
      </c>
      <c r="F112" t="inlineStr">
        <is>
          <t>VÄSTRA GÖTALANDS LÄN</t>
        </is>
      </c>
      <c r="G112" t="inlineStr">
        <is>
          <t>MARIESTAD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46299</v>
      </c>
      <c r="F113" t="inlineStr">
        <is>
          <t>VÄSTRA GÖTALANDS LÄN</t>
        </is>
      </c>
      <c r="G113" t="inlineStr">
        <is>
          <t>MARIESTAD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45331</v>
      </c>
      <c r="E114" s="1" t="n">
        <v>46299</v>
      </c>
      <c r="F114" t="inlineStr">
        <is>
          <t>VÄSTRA GÖTALANDS LÄN</t>
        </is>
      </c>
      <c r="G114" t="inlineStr">
        <is>
          <t>MARIESTAD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46299</v>
      </c>
      <c r="F115" t="inlineStr">
        <is>
          <t>VÄSTRA GÖTALANDS LÄN</t>
        </is>
      </c>
      <c r="G115" t="inlineStr">
        <is>
          <t>MARIESTAD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52869-2024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45610</v>
      </c>
      <c r="E116" s="1" t="n">
        <v>46299</v>
      </c>
      <c r="F116" t="inlineStr">
        <is>
          <t>VÄSTRA GÖTALANDS LÄN</t>
        </is>
      </c>
      <c r="G116" t="inlineStr">
        <is>
          <t>MARIESTAD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46299</v>
      </c>
      <c r="F117" t="inlineStr">
        <is>
          <t>VÄSTRA GÖTALANDS LÄN</t>
        </is>
      </c>
      <c r="G117" t="inlineStr">
        <is>
          <t>MARIESTAD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46299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46299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46299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46299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46299</v>
      </c>
      <c r="F122" t="inlineStr">
        <is>
          <t>VÄSTRA GÖTALANDS LÄN</t>
        </is>
      </c>
      <c r="G122" t="inlineStr">
        <is>
          <t>MARIESTAD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46299</v>
      </c>
      <c r="F123" t="inlineStr">
        <is>
          <t>VÄSTRA GÖTALANDS LÄN</t>
        </is>
      </c>
      <c r="G123" t="inlineStr">
        <is>
          <t>MARIESTAD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46299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Kyrkan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46299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46299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46299</v>
      </c>
      <c r="F127" t="inlineStr">
        <is>
          <t>VÄSTRA GÖTALANDS LÄN</t>
        </is>
      </c>
      <c r="G127" t="inlineStr">
        <is>
          <t>MARIESTAD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46299</v>
      </c>
      <c r="F128" t="inlineStr">
        <is>
          <t>VÄSTRA GÖTALANDS LÄN</t>
        </is>
      </c>
      <c r="G128" t="inlineStr">
        <is>
          <t>MARIESTAD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46299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46299</v>
      </c>
      <c r="F130" t="inlineStr">
        <is>
          <t>VÄSTRA GÖTALANDS LÄN</t>
        </is>
      </c>
      <c r="G130" t="inlineStr">
        <is>
          <t>MARIESTAD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46299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Kyrkan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45265</v>
      </c>
      <c r="E132" s="1" t="n">
        <v>46299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46061</v>
      </c>
      <c r="E133" s="1" t="n">
        <v>46299</v>
      </c>
      <c r="F133" t="inlineStr">
        <is>
          <t>VÄSTRA GÖTALANDS LÄN</t>
        </is>
      </c>
      <c r="G133" t="inlineStr">
        <is>
          <t>MARIESTAD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46299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44746</v>
      </c>
      <c r="E135" s="1" t="n">
        <v>46299</v>
      </c>
      <c r="F135" t="inlineStr">
        <is>
          <t>VÄSTRA GÖTALANDS LÄN</t>
        </is>
      </c>
      <c r="G135" t="inlineStr">
        <is>
          <t>MARIESTAD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44746</v>
      </c>
      <c r="E136" s="1" t="n">
        <v>46299</v>
      </c>
      <c r="F136" t="inlineStr">
        <is>
          <t>VÄSTRA GÖTALANDS LÄN</t>
        </is>
      </c>
      <c r="G136" t="inlineStr">
        <is>
          <t>MARIESTAD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70259-2021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44536</v>
      </c>
      <c r="E137" s="1" t="n">
        <v>46299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46299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9558-2026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46071</v>
      </c>
      <c r="E139" s="1" t="n">
        <v>46299</v>
      </c>
      <c r="F139" t="inlineStr">
        <is>
          <t>VÄSTRA GÖTALANDS LÄN</t>
        </is>
      </c>
      <c r="G139" t="inlineStr">
        <is>
          <t>MARIESTAD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45393</v>
      </c>
      <c r="E140" s="1" t="n">
        <v>46299</v>
      </c>
      <c r="F140" t="inlineStr">
        <is>
          <t>VÄSTRA GÖTALANDS LÄN</t>
        </is>
      </c>
      <c r="G140" t="inlineStr">
        <is>
          <t>MARIESTAD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46299</v>
      </c>
      <c r="F141" t="inlineStr">
        <is>
          <t>VÄSTRA GÖTALANDS LÄN</t>
        </is>
      </c>
      <c r="G141" t="inlineStr">
        <is>
          <t>MARIESTAD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46299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Kyrkan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46299</v>
      </c>
      <c r="F143" t="inlineStr">
        <is>
          <t>VÄSTRA GÖTALANDS LÄN</t>
        </is>
      </c>
      <c r="G143" t="inlineStr">
        <is>
          <t>MARIESTAD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46299</v>
      </c>
      <c r="F144" t="inlineStr">
        <is>
          <t>VÄSTRA GÖTALANDS LÄN</t>
        </is>
      </c>
      <c r="G144" t="inlineStr">
        <is>
          <t>MARIESTAD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46299</v>
      </c>
      <c r="F145" t="inlineStr">
        <is>
          <t>VÄSTRA GÖTALANDS LÄN</t>
        </is>
      </c>
      <c r="G145" t="inlineStr">
        <is>
          <t>MARIESTAD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46080</v>
      </c>
      <c r="E146" s="1" t="n">
        <v>46299</v>
      </c>
      <c r="F146" t="inlineStr">
        <is>
          <t>VÄSTRA GÖTALANDS LÄN</t>
        </is>
      </c>
      <c r="G146" t="inlineStr">
        <is>
          <t>MARIESTAD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44883</v>
      </c>
      <c r="E147" s="1" t="n">
        <v>46299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46299</v>
      </c>
      <c r="F148" t="inlineStr">
        <is>
          <t>VÄSTRA GÖTALANDS LÄN</t>
        </is>
      </c>
      <c r="G148" t="inlineStr">
        <is>
          <t>MARIESTAD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46299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46299</v>
      </c>
      <c r="F150" t="inlineStr">
        <is>
          <t>VÄSTRA GÖTALANDS LÄN</t>
        </is>
      </c>
      <c r="G150" t="inlineStr">
        <is>
          <t>MARIESTAD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46299</v>
      </c>
      <c r="F151" t="inlineStr">
        <is>
          <t>VÄSTRA GÖTALANDS LÄN</t>
        </is>
      </c>
      <c r="G151" t="inlineStr">
        <is>
          <t>MARIESTAD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45199</v>
      </c>
      <c r="E152" s="1" t="n">
        <v>46299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46299</v>
      </c>
      <c r="F153" t="inlineStr">
        <is>
          <t>VÄSTRA GÖTALANDS LÄN</t>
        </is>
      </c>
      <c r="G153" t="inlineStr">
        <is>
          <t>MARIESTAD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46299</v>
      </c>
      <c r="F154" t="inlineStr">
        <is>
          <t>VÄSTRA GÖTALANDS LÄN</t>
        </is>
      </c>
      <c r="G154" t="inlineStr">
        <is>
          <t>MARIESTAD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46299</v>
      </c>
      <c r="F155" t="inlineStr">
        <is>
          <t>VÄSTRA GÖTALANDS LÄN</t>
        </is>
      </c>
      <c r="G155" t="inlineStr">
        <is>
          <t>MARIESTAD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46299</v>
      </c>
      <c r="F156" t="inlineStr">
        <is>
          <t>VÄSTRA GÖTALANDS LÄN</t>
        </is>
      </c>
      <c r="G156" t="inlineStr">
        <is>
          <t>MARIESTAD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46299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46299</v>
      </c>
      <c r="F158" t="inlineStr">
        <is>
          <t>VÄSTRA GÖTALANDS LÄN</t>
        </is>
      </c>
      <c r="G158" t="inlineStr">
        <is>
          <t>MARIESTAD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46299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31384-2022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44774</v>
      </c>
      <c r="E160" s="1" t="n">
        <v>46299</v>
      </c>
      <c r="F160" t="inlineStr">
        <is>
          <t>VÄSTRA GÖTALANDS LÄN</t>
        </is>
      </c>
      <c r="G160" t="inlineStr">
        <is>
          <t>MARIESTAD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46299</v>
      </c>
      <c r="F161" t="inlineStr">
        <is>
          <t>VÄSTRA GÖTALANDS LÄN</t>
        </is>
      </c>
      <c r="G161" t="inlineStr">
        <is>
          <t>MARIESTAD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44937</v>
      </c>
      <c r="E162" s="1" t="n">
        <v>46299</v>
      </c>
      <c r="F162" t="inlineStr">
        <is>
          <t>VÄSTRA GÖTALANDS LÄN</t>
        </is>
      </c>
      <c r="G162" t="inlineStr">
        <is>
          <t>MARIESTAD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46299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46299</v>
      </c>
      <c r="F164" t="inlineStr">
        <is>
          <t>VÄSTRA GÖTALANDS LÄN</t>
        </is>
      </c>
      <c r="G164" t="inlineStr">
        <is>
          <t>MARIESTAD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46299</v>
      </c>
      <c r="F165" t="inlineStr">
        <is>
          <t>VÄSTRA GÖTALANDS LÄN</t>
        </is>
      </c>
      <c r="G165" t="inlineStr">
        <is>
          <t>MARIESTAD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46299</v>
      </c>
      <c r="F166" t="inlineStr">
        <is>
          <t>VÄSTRA GÖTALANDS LÄN</t>
        </is>
      </c>
      <c r="G166" t="inlineStr">
        <is>
          <t>MARIESTAD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46299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46299</v>
      </c>
      <c r="F168" t="inlineStr">
        <is>
          <t>VÄSTRA GÖTALANDS LÄN</t>
        </is>
      </c>
      <c r="G168" t="inlineStr">
        <is>
          <t>MARIESTAD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46299</v>
      </c>
      <c r="F169" t="inlineStr">
        <is>
          <t>VÄSTRA GÖTALANDS LÄN</t>
        </is>
      </c>
      <c r="G169" t="inlineStr">
        <is>
          <t>MARIESTAD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46299</v>
      </c>
      <c r="F170" t="inlineStr">
        <is>
          <t>VÄSTRA GÖTALANDS LÄN</t>
        </is>
      </c>
      <c r="G170" t="inlineStr">
        <is>
          <t>MARIESTAD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44836</v>
      </c>
      <c r="E171" s="1" t="n">
        <v>46299</v>
      </c>
      <c r="F171" t="inlineStr">
        <is>
          <t>VÄSTRA GÖTALANDS LÄN</t>
        </is>
      </c>
      <c r="G171" t="inlineStr">
        <is>
          <t>MARIESTAD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46299</v>
      </c>
      <c r="F172" t="inlineStr">
        <is>
          <t>VÄSTRA GÖTALANDS LÄN</t>
        </is>
      </c>
      <c r="G172" t="inlineStr">
        <is>
          <t>MARIESTAD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46299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46299</v>
      </c>
      <c r="F174" t="inlineStr">
        <is>
          <t>VÄSTRA GÖTALANDS LÄN</t>
        </is>
      </c>
      <c r="G174" t="inlineStr">
        <is>
          <t>MARIESTAD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46299</v>
      </c>
      <c r="F175" t="inlineStr">
        <is>
          <t>VÄSTRA GÖTALANDS LÄN</t>
        </is>
      </c>
      <c r="G175" t="inlineStr">
        <is>
          <t>MARIESTAD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44843</v>
      </c>
      <c r="E176" s="1" t="n">
        <v>46299</v>
      </c>
      <c r="F176" t="inlineStr">
        <is>
          <t>VÄSTRA GÖTALANDS LÄN</t>
        </is>
      </c>
      <c r="G176" t="inlineStr">
        <is>
          <t>MARIESTAD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46299</v>
      </c>
      <c r="F177" t="inlineStr">
        <is>
          <t>VÄSTRA GÖTALANDS LÄN</t>
        </is>
      </c>
      <c r="G177" t="inlineStr">
        <is>
          <t>MARIESTAD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44638</v>
      </c>
      <c r="E178" s="1" t="n">
        <v>46299</v>
      </c>
      <c r="F178" t="inlineStr">
        <is>
          <t>VÄSTRA GÖTALANDS LÄN</t>
        </is>
      </c>
      <c r="G178" t="inlineStr">
        <is>
          <t>MARIESTAD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46299</v>
      </c>
      <c r="F179" t="inlineStr">
        <is>
          <t>VÄSTRA GÖTALANDS LÄN</t>
        </is>
      </c>
      <c r="G179" t="inlineStr">
        <is>
          <t>MARIESTAD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46299</v>
      </c>
      <c r="F180" t="inlineStr">
        <is>
          <t>VÄSTRA GÖTALANDS LÄN</t>
        </is>
      </c>
      <c r="G180" t="inlineStr">
        <is>
          <t>MARIESTAD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46299</v>
      </c>
      <c r="F181" t="inlineStr">
        <is>
          <t>VÄSTRA GÖTALANDS LÄN</t>
        </is>
      </c>
      <c r="G181" t="inlineStr">
        <is>
          <t>MARIESTAD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46299</v>
      </c>
      <c r="F182" t="inlineStr">
        <is>
          <t>VÄSTRA GÖTALANDS LÄN</t>
        </is>
      </c>
      <c r="G182" t="inlineStr">
        <is>
          <t>MARIESTAD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46299</v>
      </c>
      <c r="F183" t="inlineStr">
        <is>
          <t>VÄSTRA GÖTALANDS LÄN</t>
        </is>
      </c>
      <c r="G183" t="inlineStr">
        <is>
          <t>MARIESTAD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44986</v>
      </c>
      <c r="E184" s="1" t="n">
        <v>46299</v>
      </c>
      <c r="F184" t="inlineStr">
        <is>
          <t>VÄSTRA GÖTALANDS LÄN</t>
        </is>
      </c>
      <c r="G184" t="inlineStr">
        <is>
          <t>MARIESTAD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44620</v>
      </c>
      <c r="E185" s="1" t="n">
        <v>46299</v>
      </c>
      <c r="F185" t="inlineStr">
        <is>
          <t>VÄSTRA GÖTALANDS LÄN</t>
        </is>
      </c>
      <c r="G185" t="inlineStr">
        <is>
          <t>MARIESTAD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49389-2023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45211</v>
      </c>
      <c r="E186" s="1" t="n">
        <v>46299</v>
      </c>
      <c r="F186" t="inlineStr">
        <is>
          <t>VÄSTRA GÖTALANDS LÄN</t>
        </is>
      </c>
      <c r="G186" t="inlineStr">
        <is>
          <t>MARIESTAD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45170</v>
      </c>
      <c r="E187" s="1" t="n">
        <v>46299</v>
      </c>
      <c r="F187" t="inlineStr">
        <is>
          <t>VÄSTRA GÖTALANDS LÄN</t>
        </is>
      </c>
      <c r="G187" t="inlineStr">
        <is>
          <t>MARIESTAD</t>
        </is>
      </c>
      <c r="I187" t="n">
        <v>34.9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46299</v>
      </c>
      <c r="F188" t="inlineStr">
        <is>
          <t>VÄSTRA GÖTALANDS LÄN</t>
        </is>
      </c>
      <c r="G188" t="inlineStr">
        <is>
          <t>MARIESTAD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46299</v>
      </c>
      <c r="F189" t="inlineStr">
        <is>
          <t>VÄSTRA GÖTALANDS LÄN</t>
        </is>
      </c>
      <c r="G189" t="inlineStr">
        <is>
          <t>MARIESTAD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45266</v>
      </c>
      <c r="E190" s="1" t="n">
        <v>46299</v>
      </c>
      <c r="F190" t="inlineStr">
        <is>
          <t>VÄSTRA GÖTALANDS LÄN</t>
        </is>
      </c>
      <c r="G190" t="inlineStr">
        <is>
          <t>MARIESTAD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39766-2023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45167</v>
      </c>
      <c r="E191" s="1" t="n">
        <v>46299</v>
      </c>
      <c r="F191" t="inlineStr">
        <is>
          <t>VÄSTRA GÖTALANDS LÄN</t>
        </is>
      </c>
      <c r="G191" t="inlineStr">
        <is>
          <t>MARIESTAD</t>
        </is>
      </c>
      <c r="I191" t="n">
        <v>26.5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46299</v>
      </c>
      <c r="F192" t="inlineStr">
        <is>
          <t>VÄSTRA GÖTALANDS LÄN</t>
        </is>
      </c>
      <c r="G192" t="inlineStr">
        <is>
          <t>MARIESTAD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46299</v>
      </c>
      <c r="F193" t="inlineStr">
        <is>
          <t>VÄSTRA GÖTALANDS LÄN</t>
        </is>
      </c>
      <c r="G193" t="inlineStr">
        <is>
          <t>MARIESTAD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46299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33571-2023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45131</v>
      </c>
      <c r="E195" s="1" t="n">
        <v>46299</v>
      </c>
      <c r="F195" t="inlineStr">
        <is>
          <t>VÄSTRA GÖTALANDS LÄN</t>
        </is>
      </c>
      <c r="G195" t="inlineStr">
        <is>
          <t>MARIESTAD</t>
        </is>
      </c>
      <c r="I195" t="n">
        <v>16.1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46299</v>
      </c>
      <c r="F196" t="inlineStr">
        <is>
          <t>VÄSTRA GÖTALANDS LÄN</t>
        </is>
      </c>
      <c r="G196" t="inlineStr">
        <is>
          <t>MARIESTAD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46299</v>
      </c>
      <c r="F197" t="inlineStr">
        <is>
          <t>VÄSTRA GÖTALANDS LÄN</t>
        </is>
      </c>
      <c r="G197" t="inlineStr">
        <is>
          <t>MARIESTAD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45033</v>
      </c>
      <c r="E198" s="1" t="n">
        <v>46299</v>
      </c>
      <c r="F198" t="inlineStr">
        <is>
          <t>VÄSTRA GÖTALANDS LÄN</t>
        </is>
      </c>
      <c r="G198" t="inlineStr">
        <is>
          <t>MARIESTAD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46299</v>
      </c>
      <c r="F199" t="inlineStr">
        <is>
          <t>VÄSTRA GÖTALANDS LÄN</t>
        </is>
      </c>
      <c r="G199" t="inlineStr">
        <is>
          <t>MARIESTAD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46299</v>
      </c>
      <c r="F200" t="inlineStr">
        <is>
          <t>VÄSTRA GÖTALANDS LÄN</t>
        </is>
      </c>
      <c r="G200" t="inlineStr">
        <is>
          <t>MARIESTAD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46299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46299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46299</v>
      </c>
      <c r="F203" t="inlineStr">
        <is>
          <t>VÄSTRA GÖTALANDS LÄN</t>
        </is>
      </c>
      <c r="G203" t="inlineStr">
        <is>
          <t>MARIESTAD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46299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46299</v>
      </c>
      <c r="F205" t="inlineStr">
        <is>
          <t>VÄSTRA GÖTALANDS LÄN</t>
        </is>
      </c>
      <c r="G205" t="inlineStr">
        <is>
          <t>MARIESTAD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46299</v>
      </c>
      <c r="F206" t="inlineStr">
        <is>
          <t>VÄSTRA GÖTALANDS LÄN</t>
        </is>
      </c>
      <c r="G206" t="inlineStr">
        <is>
          <t>MARIESTAD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45135</v>
      </c>
      <c r="E207" s="1" t="n">
        <v>46299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46299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46299</v>
      </c>
      <c r="F209" t="inlineStr">
        <is>
          <t>VÄSTRA GÖTALANDS LÄN</t>
        </is>
      </c>
      <c r="G209" t="inlineStr">
        <is>
          <t>MARIESTAD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46299</v>
      </c>
      <c r="F210" t="inlineStr">
        <is>
          <t>VÄSTRA GÖTALANDS LÄN</t>
        </is>
      </c>
      <c r="G210" t="inlineStr">
        <is>
          <t>MARIESTAD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46299</v>
      </c>
      <c r="F211" t="inlineStr">
        <is>
          <t>VÄSTRA GÖTALANDS LÄN</t>
        </is>
      </c>
      <c r="G211" t="inlineStr">
        <is>
          <t>MARIESTAD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13655-2023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46299</v>
      </c>
      <c r="F212" t="inlineStr">
        <is>
          <t>VÄSTRA GÖTALANDS LÄN</t>
        </is>
      </c>
      <c r="G212" t="inlineStr">
        <is>
          <t>MARIESTAD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46299</v>
      </c>
      <c r="F213" t="inlineStr">
        <is>
          <t>VÄSTRA GÖTALANDS LÄN</t>
        </is>
      </c>
      <c r="G213" t="inlineStr">
        <is>
          <t>MARIESTAD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46299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46299</v>
      </c>
      <c r="F215" t="inlineStr">
        <is>
          <t>VÄSTRA GÖTALANDS LÄN</t>
        </is>
      </c>
      <c r="G215" t="inlineStr">
        <is>
          <t>MARIESTAD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45873</v>
      </c>
      <c r="E216" s="1" t="n">
        <v>46299</v>
      </c>
      <c r="F216" t="inlineStr">
        <is>
          <t>VÄSTRA GÖTALANDS LÄN</t>
        </is>
      </c>
      <c r="G216" t="inlineStr">
        <is>
          <t>MARIESTAD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26688-2022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44739</v>
      </c>
      <c r="E217" s="1" t="n">
        <v>46299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46299</v>
      </c>
      <c r="F218" t="inlineStr">
        <is>
          <t>VÄSTRA GÖTALANDS LÄN</t>
        </is>
      </c>
      <c r="G218" t="inlineStr">
        <is>
          <t>MARIESTAD</t>
        </is>
      </c>
      <c r="I218" t="n">
        <v>10.7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46299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44756</v>
      </c>
      <c r="E220" s="1" t="n">
        <v>46299</v>
      </c>
      <c r="F220" t="inlineStr">
        <is>
          <t>VÄSTRA GÖTALANDS LÄN</t>
        </is>
      </c>
      <c r="G220" t="inlineStr">
        <is>
          <t>MARIESTAD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45875</v>
      </c>
      <c r="E221" s="1" t="n">
        <v>46299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46299</v>
      </c>
      <c r="F222" t="inlineStr">
        <is>
          <t>VÄSTRA GÖTALANDS LÄN</t>
        </is>
      </c>
      <c r="G222" t="inlineStr">
        <is>
          <t>MARIESTAD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45639</v>
      </c>
      <c r="E223" s="1" t="n">
        <v>46299</v>
      </c>
      <c r="F223" t="inlineStr">
        <is>
          <t>VÄSTRA GÖTALANDS LÄN</t>
        </is>
      </c>
      <c r="G223" t="inlineStr">
        <is>
          <t>MARIESTAD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46299</v>
      </c>
      <c r="F224" t="inlineStr">
        <is>
          <t>VÄSTRA GÖTALANDS LÄN</t>
        </is>
      </c>
      <c r="G224" t="inlineStr">
        <is>
          <t>MARIESTAD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46299</v>
      </c>
      <c r="F225" t="inlineStr">
        <is>
          <t>VÄSTRA GÖTALANDS LÄN</t>
        </is>
      </c>
      <c r="G225" t="inlineStr">
        <is>
          <t>MARIESTAD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36399-2024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45535</v>
      </c>
      <c r="E226" s="1" t="n">
        <v>46299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46299</v>
      </c>
      <c r="F227" t="inlineStr">
        <is>
          <t>VÄSTRA GÖTALANDS LÄN</t>
        </is>
      </c>
      <c r="G227" t="inlineStr">
        <is>
          <t>MARIESTAD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46299</v>
      </c>
      <c r="F228" t="inlineStr">
        <is>
          <t>VÄSTRA GÖTALANDS LÄN</t>
        </is>
      </c>
      <c r="G228" t="inlineStr">
        <is>
          <t>MARIESTAD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46299</v>
      </c>
      <c r="F229" t="inlineStr">
        <is>
          <t>VÄSTRA GÖTALANDS LÄN</t>
        </is>
      </c>
      <c r="G229" t="inlineStr">
        <is>
          <t>MARIESTAD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46142</v>
      </c>
      <c r="E230" s="1" t="n">
        <v>46299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Kyrkan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46299</v>
      </c>
      <c r="F231" t="inlineStr">
        <is>
          <t>VÄSTRA GÖTALANDS LÄN</t>
        </is>
      </c>
      <c r="G231" t="inlineStr">
        <is>
          <t>MARIESTAD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46299</v>
      </c>
      <c r="F232" t="inlineStr">
        <is>
          <t>VÄSTRA GÖTALANDS LÄN</t>
        </is>
      </c>
      <c r="G232" t="inlineStr">
        <is>
          <t>MARIESTAD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46299</v>
      </c>
      <c r="F233" t="inlineStr">
        <is>
          <t>VÄSTRA GÖTALANDS LÄN</t>
        </is>
      </c>
      <c r="G233" t="inlineStr">
        <is>
          <t>MARIESTAD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46299</v>
      </c>
      <c r="F234" t="inlineStr">
        <is>
          <t>VÄSTRA GÖTALANDS LÄN</t>
        </is>
      </c>
      <c r="G234" t="inlineStr">
        <is>
          <t>MARIESTAD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46299</v>
      </c>
      <c r="F235" t="inlineStr">
        <is>
          <t>VÄSTRA GÖTALANDS LÄN</t>
        </is>
      </c>
      <c r="G235" t="inlineStr">
        <is>
          <t>MARIESTAD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46299</v>
      </c>
      <c r="F236" t="inlineStr">
        <is>
          <t>VÄSTRA GÖTALANDS LÄN</t>
        </is>
      </c>
      <c r="G236" t="inlineStr">
        <is>
          <t>MARIESTAD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46299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44572</v>
      </c>
      <c r="E238" s="1" t="n">
        <v>46299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Naturvårdsverket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46299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46299</v>
      </c>
      <c r="F240" t="inlineStr">
        <is>
          <t>VÄSTRA GÖTALANDS LÄN</t>
        </is>
      </c>
      <c r="G240" t="inlineStr">
        <is>
          <t>MARIESTAD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46299</v>
      </c>
      <c r="F241" t="inlineStr">
        <is>
          <t>VÄSTRA GÖTALANDS LÄN</t>
        </is>
      </c>
      <c r="G241" t="inlineStr">
        <is>
          <t>MARIESTAD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46299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46299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46299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46299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46299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46299</v>
      </c>
      <c r="F247" t="inlineStr">
        <is>
          <t>VÄSTRA GÖTALANDS LÄN</t>
        </is>
      </c>
      <c r="G247" t="inlineStr">
        <is>
          <t>MARIESTAD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50579-2023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45217</v>
      </c>
      <c r="E248" s="1" t="n">
        <v>46299</v>
      </c>
      <c r="F248" t="inlineStr">
        <is>
          <t>VÄSTRA GÖTALANDS LÄN</t>
        </is>
      </c>
      <c r="G248" t="inlineStr">
        <is>
          <t>MARIESTAD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44930</v>
      </c>
      <c r="E249" s="1" t="n">
        <v>46299</v>
      </c>
      <c r="F249" t="inlineStr">
        <is>
          <t>VÄSTRA GÖTALANDS LÄN</t>
        </is>
      </c>
      <c r="G249" t="inlineStr">
        <is>
          <t>MARIESTAD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46299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46299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46299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46299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46299</v>
      </c>
      <c r="F254" t="inlineStr">
        <is>
          <t>VÄSTRA GÖTALANDS LÄN</t>
        </is>
      </c>
      <c r="G254" t="inlineStr">
        <is>
          <t>MARIESTAD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26912-2026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46185</v>
      </c>
      <c r="E255" s="1" t="n">
        <v>46299</v>
      </c>
      <c r="F255" t="inlineStr">
        <is>
          <t>VÄSTRA GÖTALANDS LÄN</t>
        </is>
      </c>
      <c r="G255" t="inlineStr">
        <is>
          <t>MARIESTAD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46299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44876</v>
      </c>
      <c r="E257" s="1" t="n">
        <v>46299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Kyrkan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58077-2022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44900</v>
      </c>
      <c r="E258" s="1" t="n">
        <v>46299</v>
      </c>
      <c r="F258" t="inlineStr">
        <is>
          <t>VÄSTRA GÖTALANDS LÄN</t>
        </is>
      </c>
      <c r="G258" t="inlineStr">
        <is>
          <t>MARIESTAD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38108-2022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46299</v>
      </c>
      <c r="F259" t="inlineStr">
        <is>
          <t>VÄSTRA GÖTALANDS LÄN</t>
        </is>
      </c>
      <c r="G259" t="inlineStr">
        <is>
          <t>MARIESTAD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44957</v>
      </c>
      <c r="E260" s="1" t="n">
        <v>46299</v>
      </c>
      <c r="F260" t="inlineStr">
        <is>
          <t>VÄSTRA GÖTALANDS LÄN</t>
        </is>
      </c>
      <c r="G260" t="inlineStr">
        <is>
          <t>MARIESTAD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46299</v>
      </c>
      <c r="F261" t="inlineStr">
        <is>
          <t>VÄSTRA GÖTALANDS LÄN</t>
        </is>
      </c>
      <c r="G261" t="inlineStr">
        <is>
          <t>MARIESTAD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10192-2022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44622</v>
      </c>
      <c r="E262" s="1" t="n">
        <v>46299</v>
      </c>
      <c r="F262" t="inlineStr">
        <is>
          <t>VÄSTRA GÖTALANDS LÄN</t>
        </is>
      </c>
      <c r="G262" t="inlineStr">
        <is>
          <t>MARIESTAD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46299</v>
      </c>
      <c r="F263" t="inlineStr">
        <is>
          <t>VÄSTRA GÖTALANDS LÄN</t>
        </is>
      </c>
      <c r="G263" t="inlineStr">
        <is>
          <t>MARIESTAD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46299</v>
      </c>
      <c r="F264" t="inlineStr">
        <is>
          <t>VÄSTRA GÖTALANDS LÄN</t>
        </is>
      </c>
      <c r="G264" t="inlineStr">
        <is>
          <t>MARIESTAD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62765-2023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45268</v>
      </c>
      <c r="E265" s="1" t="n">
        <v>46299</v>
      </c>
      <c r="F265" t="inlineStr">
        <is>
          <t>VÄSTRA GÖTALANDS LÄN</t>
        </is>
      </c>
      <c r="G265" t="inlineStr">
        <is>
          <t>MARIESTAD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45210</v>
      </c>
      <c r="E266" s="1" t="n">
        <v>46299</v>
      </c>
      <c r="F266" t="inlineStr">
        <is>
          <t>VÄSTRA GÖTALANDS LÄN</t>
        </is>
      </c>
      <c r="G266" t="inlineStr">
        <is>
          <t>MARIESTAD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46299</v>
      </c>
      <c r="F267" t="inlineStr">
        <is>
          <t>VÄSTRA GÖTALANDS LÄN</t>
        </is>
      </c>
      <c r="G267" t="inlineStr">
        <is>
          <t>MARIESTAD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46299</v>
      </c>
      <c r="F268" t="inlineStr">
        <is>
          <t>VÄSTRA GÖTALANDS LÄN</t>
        </is>
      </c>
      <c r="G268" t="inlineStr">
        <is>
          <t>MARIESTAD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46299</v>
      </c>
      <c r="F269" t="inlineStr">
        <is>
          <t>VÄSTRA GÖTALANDS LÄN</t>
        </is>
      </c>
      <c r="G269" t="inlineStr">
        <is>
          <t>MARIESTAD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46299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46299</v>
      </c>
      <c r="F271" t="inlineStr">
        <is>
          <t>VÄSTRA GÖTALANDS LÄN</t>
        </is>
      </c>
      <c r="G271" t="inlineStr">
        <is>
          <t>MARIESTAD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46299</v>
      </c>
      <c r="F272" t="inlineStr">
        <is>
          <t>VÄSTRA GÖTALANDS LÄN</t>
        </is>
      </c>
      <c r="G272" t="inlineStr">
        <is>
          <t>MARIESTAD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46299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46299</v>
      </c>
      <c r="F274" t="inlineStr">
        <is>
          <t>VÄSTRA GÖTALANDS LÄN</t>
        </is>
      </c>
      <c r="G274" t="inlineStr">
        <is>
          <t>MARIESTAD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44993</v>
      </c>
      <c r="E275" s="1" t="n">
        <v>46299</v>
      </c>
      <c r="F275" t="inlineStr">
        <is>
          <t>VÄSTRA GÖTALANDS LÄN</t>
        </is>
      </c>
      <c r="G275" t="inlineStr">
        <is>
          <t>MARIESTAD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46261</v>
      </c>
      <c r="E276" s="1" t="n">
        <v>46299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46261</v>
      </c>
      <c r="E277" s="1" t="n">
        <v>46299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45702</v>
      </c>
      <c r="E278" s="1" t="n">
        <v>46299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46262</v>
      </c>
      <c r="E279" s="1" t="n">
        <v>46299</v>
      </c>
      <c r="F279" t="inlineStr">
        <is>
          <t>VÄSTRA GÖTALANDS LÄN</t>
        </is>
      </c>
      <c r="G279" t="inlineStr">
        <is>
          <t>MARIESTAD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46262</v>
      </c>
      <c r="E280" s="1" t="n">
        <v>46299</v>
      </c>
      <c r="F280" t="inlineStr">
        <is>
          <t>VÄSTRA GÖTALANDS LÄN</t>
        </is>
      </c>
      <c r="G280" t="inlineStr">
        <is>
          <t>MARIESTAD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46299</v>
      </c>
      <c r="F281" t="inlineStr">
        <is>
          <t>VÄSTRA GÖTALANDS LÄN</t>
        </is>
      </c>
      <c r="G281" t="inlineStr">
        <is>
          <t>MARIESTAD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46299</v>
      </c>
      <c r="F282" t="inlineStr">
        <is>
          <t>VÄSTRA GÖTALANDS LÄN</t>
        </is>
      </c>
      <c r="G282" t="inlineStr">
        <is>
          <t>MARIESTAD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44973</v>
      </c>
      <c r="E283" s="1" t="n">
        <v>46299</v>
      </c>
      <c r="F283" t="inlineStr">
        <is>
          <t>VÄSTRA GÖTALANDS LÄN</t>
        </is>
      </c>
      <c r="G283" t="inlineStr">
        <is>
          <t>MARIESTAD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8849-2022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44614</v>
      </c>
      <c r="E284" s="1" t="n">
        <v>46299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38817-2022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44816</v>
      </c>
      <c r="E285" s="1" t="n">
        <v>46299</v>
      </c>
      <c r="F285" t="inlineStr">
        <is>
          <t>VÄSTRA GÖTALANDS LÄN</t>
        </is>
      </c>
      <c r="G285" t="inlineStr">
        <is>
          <t>MARIESTAD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46299</v>
      </c>
      <c r="F286" t="inlineStr">
        <is>
          <t>VÄSTRA GÖTALANDS LÄN</t>
        </is>
      </c>
      <c r="G286" t="inlineStr">
        <is>
          <t>MARIESTAD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46299</v>
      </c>
      <c r="F287" t="inlineStr">
        <is>
          <t>VÄSTRA GÖTALANDS LÄN</t>
        </is>
      </c>
      <c r="G287" t="inlineStr">
        <is>
          <t>MARIESTAD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46299</v>
      </c>
      <c r="F288" t="inlineStr">
        <is>
          <t>VÄSTRA GÖTALANDS LÄN</t>
        </is>
      </c>
      <c r="G288" t="inlineStr">
        <is>
          <t>MARIESTAD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46299</v>
      </c>
      <c r="F289" t="inlineStr">
        <is>
          <t>VÄSTRA GÖTALANDS LÄN</t>
        </is>
      </c>
      <c r="G289" t="inlineStr">
        <is>
          <t>MARIESTAD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44756</v>
      </c>
      <c r="E290" s="1" t="n">
        <v>46299</v>
      </c>
      <c r="F290" t="inlineStr">
        <is>
          <t>VÄSTRA GÖTALANDS LÄN</t>
        </is>
      </c>
      <c r="G290" t="inlineStr">
        <is>
          <t>MARIESTAD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46299</v>
      </c>
      <c r="F291" t="inlineStr">
        <is>
          <t>VÄSTRA GÖTALANDS LÄN</t>
        </is>
      </c>
      <c r="G291" t="inlineStr">
        <is>
          <t>MARIESTAD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45412</v>
      </c>
      <c r="E292" s="1" t="n">
        <v>46299</v>
      </c>
      <c r="F292" t="inlineStr">
        <is>
          <t>VÄSTRA GÖTALANDS LÄN</t>
        </is>
      </c>
      <c r="G292" t="inlineStr">
        <is>
          <t>MARIESTAD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44965</v>
      </c>
      <c r="E293" s="1" t="n">
        <v>46299</v>
      </c>
      <c r="F293" t="inlineStr">
        <is>
          <t>VÄSTRA GÖTALANDS LÄN</t>
        </is>
      </c>
      <c r="G293" t="inlineStr">
        <is>
          <t>MARIESTAD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60376-2021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46299</v>
      </c>
      <c r="F294" t="inlineStr">
        <is>
          <t>VÄSTRA GÖTALANDS LÄN</t>
        </is>
      </c>
      <c r="G294" t="inlineStr">
        <is>
          <t>MARIESTAD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45200</v>
      </c>
      <c r="E295" s="1" t="n">
        <v>46299</v>
      </c>
      <c r="F295" t="inlineStr">
        <is>
          <t>VÄSTRA GÖTALANDS LÄN</t>
        </is>
      </c>
      <c r="G295" t="inlineStr">
        <is>
          <t>MARIESTAD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45590</v>
      </c>
      <c r="E296" s="1" t="n">
        <v>46299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Kyrkan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45709</v>
      </c>
      <c r="E297" s="1" t="n">
        <v>46299</v>
      </c>
      <c r="F297" t="inlineStr">
        <is>
          <t>VÄSTRA GÖTALANDS LÄN</t>
        </is>
      </c>
      <c r="G297" t="inlineStr">
        <is>
          <t>MARIESTAD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46299</v>
      </c>
      <c r="F298" t="inlineStr">
        <is>
          <t>VÄSTRA GÖTALANDS LÄN</t>
        </is>
      </c>
      <c r="G298" t="inlineStr">
        <is>
          <t>MARIESTAD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46299</v>
      </c>
      <c r="F299" t="inlineStr">
        <is>
          <t>VÄSTRA GÖTALANDS LÄN</t>
        </is>
      </c>
      <c r="G299" t="inlineStr">
        <is>
          <t>MARIESTAD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46299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39286-2026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46288</v>
      </c>
      <c r="E301" s="1" t="n">
        <v>46299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65197-2023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45289</v>
      </c>
      <c r="E302" s="1" t="n">
        <v>46299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46299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46299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8.9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46299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45548</v>
      </c>
      <c r="E306" s="1" t="n">
        <v>46299</v>
      </c>
      <c r="F306" t="inlineStr">
        <is>
          <t>VÄSTRA GÖTALANDS LÄN</t>
        </is>
      </c>
      <c r="G306" t="inlineStr">
        <is>
          <t>MARIESTAD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46288</v>
      </c>
      <c r="E307" s="1" t="n">
        <v>46299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46288</v>
      </c>
      <c r="E308" s="1" t="n">
        <v>46299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46299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46288</v>
      </c>
      <c r="E310" s="1" t="n">
        <v>46299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46299</v>
      </c>
      <c r="F311" t="inlineStr">
        <is>
          <t>VÄSTRA GÖTALANDS LÄN</t>
        </is>
      </c>
      <c r="G311" t="inlineStr">
        <is>
          <t>MARIESTAD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44881</v>
      </c>
      <c r="E312" s="1" t="n">
        <v>46299</v>
      </c>
      <c r="F312" t="inlineStr">
        <is>
          <t>VÄSTRA GÖTALANDS LÄN</t>
        </is>
      </c>
      <c r="G312" t="inlineStr">
        <is>
          <t>MARIESTAD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46299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46299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45524</v>
      </c>
      <c r="E315" s="1" t="n">
        <v>46299</v>
      </c>
      <c r="F315" t="inlineStr">
        <is>
          <t>VÄSTRA GÖTALANDS LÄN</t>
        </is>
      </c>
      <c r="G315" t="inlineStr">
        <is>
          <t>MARIESTAD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46299</v>
      </c>
      <c r="F316" t="inlineStr">
        <is>
          <t>VÄSTRA GÖTALANDS LÄN</t>
        </is>
      </c>
      <c r="G316" t="inlineStr">
        <is>
          <t>MARIESTAD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74081-2021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44553</v>
      </c>
      <c r="E317" s="1" t="n">
        <v>46299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46299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13798-2022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44649</v>
      </c>
      <c r="E319" s="1" t="n">
        <v>46299</v>
      </c>
      <c r="F319" t="inlineStr">
        <is>
          <t>VÄSTRA GÖTALANDS LÄN</t>
        </is>
      </c>
      <c r="G319" t="inlineStr">
        <is>
          <t>MARIESTAD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44617</v>
      </c>
      <c r="E320" s="1" t="n">
        <v>46299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Kyrkan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46299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45706</v>
      </c>
      <c r="E322" s="1" t="n">
        <v>46299</v>
      </c>
      <c r="F322" t="inlineStr">
        <is>
          <t>VÄSTRA GÖTALANDS LÄN</t>
        </is>
      </c>
      <c r="G322" t="inlineStr">
        <is>
          <t>MARIESTAD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10842-2025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45722</v>
      </c>
      <c r="E323" s="1" t="n">
        <v>46299</v>
      </c>
      <c r="F323" t="inlineStr">
        <is>
          <t>VÄSTRA GÖTALANDS LÄN</t>
        </is>
      </c>
      <c r="G323" t="inlineStr">
        <is>
          <t>MARIESTAD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44616</v>
      </c>
      <c r="E324" s="1" t="n">
        <v>46299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46299</v>
      </c>
      <c r="F325" t="inlineStr">
        <is>
          <t>VÄSTRA GÖTALANDS LÄN</t>
        </is>
      </c>
      <c r="G325" t="inlineStr">
        <is>
          <t>MARIESTAD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46299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Kyrkan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46299</v>
      </c>
      <c r="F327" t="inlineStr">
        <is>
          <t>VÄSTRA GÖTALANDS LÄN</t>
        </is>
      </c>
      <c r="G327" t="inlineStr">
        <is>
          <t>MARIESTAD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46299</v>
      </c>
      <c r="F328" t="inlineStr">
        <is>
          <t>VÄSTRA GÖTALANDS LÄN</t>
        </is>
      </c>
      <c r="G328" t="inlineStr">
        <is>
          <t>MARIESTAD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12361-2023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44999</v>
      </c>
      <c r="E329" s="1" t="n">
        <v>46299</v>
      </c>
      <c r="F329" t="inlineStr">
        <is>
          <t>VÄSTRA GÖTALANDS LÄN</t>
        </is>
      </c>
      <c r="G329" t="inlineStr">
        <is>
          <t>MARIESTAD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45200</v>
      </c>
      <c r="E330" s="1" t="n">
        <v>46299</v>
      </c>
      <c r="F330" t="inlineStr">
        <is>
          <t>VÄSTRA GÖTALANDS LÄN</t>
        </is>
      </c>
      <c r="G330" t="inlineStr">
        <is>
          <t>MARIESTAD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45528</v>
      </c>
      <c r="E331" s="1" t="n">
        <v>46299</v>
      </c>
      <c r="F331" t="inlineStr">
        <is>
          <t>VÄSTRA GÖTALANDS LÄN</t>
        </is>
      </c>
      <c r="G331" t="inlineStr">
        <is>
          <t>MARIESTAD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46299</v>
      </c>
      <c r="F332" t="inlineStr">
        <is>
          <t>VÄSTRA GÖTALANDS LÄN</t>
        </is>
      </c>
      <c r="G332" t="inlineStr">
        <is>
          <t>MARIESTAD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46555-2022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44848</v>
      </c>
      <c r="E333" s="1" t="n">
        <v>46299</v>
      </c>
      <c r="F333" t="inlineStr">
        <is>
          <t>VÄSTRA GÖTALANDS LÄN</t>
        </is>
      </c>
      <c r="G333" t="inlineStr">
        <is>
          <t>MARIESTAD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60812-2023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45260</v>
      </c>
      <c r="E334" s="1" t="n">
        <v>46299</v>
      </c>
      <c r="F334" t="inlineStr">
        <is>
          <t>VÄSTRA GÖTALANDS LÄN</t>
        </is>
      </c>
      <c r="G334" t="inlineStr">
        <is>
          <t>MARIESTAD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45393</v>
      </c>
      <c r="E335" s="1" t="n">
        <v>46299</v>
      </c>
      <c r="F335" t="inlineStr">
        <is>
          <t>VÄSTRA GÖTALANDS LÄN</t>
        </is>
      </c>
      <c r="G335" t="inlineStr">
        <is>
          <t>MARIESTAD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46299</v>
      </c>
      <c r="F336" t="inlineStr">
        <is>
          <t>VÄSTRA GÖTALANDS LÄN</t>
        </is>
      </c>
      <c r="G336" t="inlineStr">
        <is>
          <t>MARIESTAD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44746</v>
      </c>
      <c r="E337" s="1" t="n">
        <v>46299</v>
      </c>
      <c r="F337" t="inlineStr">
        <is>
          <t>VÄSTRA GÖTALANDS LÄN</t>
        </is>
      </c>
      <c r="G337" t="inlineStr">
        <is>
          <t>MARIESTAD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45516</v>
      </c>
      <c r="E338" s="1" t="n">
        <v>46299</v>
      </c>
      <c r="F338" t="inlineStr">
        <is>
          <t>VÄSTRA GÖTALANDS LÄN</t>
        </is>
      </c>
      <c r="G338" t="inlineStr">
        <is>
          <t>MARIESTAD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45674</v>
      </c>
      <c r="E339" s="1" t="n">
        <v>46299</v>
      </c>
      <c r="F339" t="inlineStr">
        <is>
          <t>VÄSTRA GÖTALANDS LÄN</t>
        </is>
      </c>
      <c r="G339" t="inlineStr">
        <is>
          <t>MARIESTAD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61716-2022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46299</v>
      </c>
      <c r="F340" t="inlineStr">
        <is>
          <t>VÄSTRA GÖTALANDS LÄN</t>
        </is>
      </c>
      <c r="G340" t="inlineStr">
        <is>
          <t>MARIESTAD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46299</v>
      </c>
      <c r="F341" t="inlineStr">
        <is>
          <t>VÄSTRA GÖTALANDS LÄN</t>
        </is>
      </c>
      <c r="G341" t="inlineStr">
        <is>
          <t>MARIESTAD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61603-2023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45265</v>
      </c>
      <c r="E342" s="1" t="n">
        <v>46299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46299</v>
      </c>
      <c r="F343" t="inlineStr">
        <is>
          <t>VÄSTRA GÖTALANDS LÄN</t>
        </is>
      </c>
      <c r="G343" t="inlineStr">
        <is>
          <t>MARIESTAD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46299</v>
      </c>
      <c r="F344" t="inlineStr">
        <is>
          <t>VÄSTRA GÖTALANDS LÄN</t>
        </is>
      </c>
      <c r="G344" t="inlineStr">
        <is>
          <t>MARIESTAD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45299</v>
      </c>
      <c r="E345" s="1" t="n">
        <v>46299</v>
      </c>
      <c r="F345" t="inlineStr">
        <is>
          <t>VÄSTRA GÖTALANDS LÄN</t>
        </is>
      </c>
      <c r="G345" t="inlineStr">
        <is>
          <t>MARIESTAD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46299</v>
      </c>
      <c r="F346" t="inlineStr">
        <is>
          <t>VÄSTRA GÖTALANDS LÄN</t>
        </is>
      </c>
      <c r="G346" t="inlineStr">
        <is>
          <t>MARIESTAD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46299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Kyrkan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45307</v>
      </c>
      <c r="E348" s="1" t="n">
        <v>46299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4868-2024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45618</v>
      </c>
      <c r="E349" s="1" t="n">
        <v>46299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1204-2025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45757</v>
      </c>
      <c r="E350" s="1" t="n">
        <v>46299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>
      <c r="A351" t="inlineStr">
        <is>
          <t>S 359-2026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46064</v>
      </c>
      <c r="E351" s="1" t="n">
        <v>46299</v>
      </c>
      <c r="F351" t="inlineStr">
        <is>
          <t>VÄSTRA GÖTALANDS LÄN</t>
        </is>
      </c>
      <c r="G351" t="inlineStr">
        <is>
          <t>MARIESTAD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2026-10-04T02:00:45Z</dcterms:created>
  <dcterms:modified xmlns:dcterms="http://purl.org/dc/terms/" xmlns:xsi="http://www.w3.org/2001/XMLSchema-instance" xsi:type="dcterms:W3CDTF">2026-10-04T02:00:45Z</dcterms:modified>
</cp:coreProperties>
</file>