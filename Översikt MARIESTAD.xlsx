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46252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57791-2021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46252</v>
      </c>
      <c r="F9" t="inlineStr">
        <is>
          <t>VÄSTRA GÖTALANDS LÄN</t>
        </is>
      </c>
      <c r="G9" t="inlineStr">
        <is>
          <t>MARIESTAD</t>
        </is>
      </c>
      <c r="I9" t="n">
        <v>30.8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Fyrflikig jordstjärna
Blåmossa</t>
        </is>
      </c>
      <c r="W9">
        <f>HYPERLINK("https://klasma.github.io/Logging_1493/artfynd/A 57791-2021 artfynd.xlsx", "A 57791-2021")</f>
        <v/>
      </c>
      <c r="X9">
        <f>HYPERLINK("https://klasma.github.io/Logging_1493/kartor/A 57791-2021 karta.png", "A 57791-2021")</f>
        <v/>
      </c>
      <c r="Y9">
        <f>HYPERLINK("https://klasma.github.io/Logging_1493/kartor_geotiff/A 57791-2021 georefererad karta.tif", "A 57791-2021")</f>
        <v/>
      </c>
      <c r="AA9">
        <f>HYPERLINK("https://klasma.github.io/Logging_1493/klagomål/A 57791-2021 FSC-klagomål.docx", "A 57791-2021")</f>
        <v/>
      </c>
      <c r="AB9">
        <f>HYPERLINK("https://klasma.github.io/Logging_1493/klagomålsmail/A 57791-2021 FSC-klagomål mail.docx", "A 57791-2021")</f>
        <v/>
      </c>
      <c r="AC9">
        <f>HYPERLINK("https://klasma.github.io/Logging_1493/tillsyn/A 57791-2021 tillsynsbegäran.docx", "A 57791-2021")</f>
        <v/>
      </c>
      <c r="AD9">
        <f>HYPERLINK("https://klasma.github.io/Logging_1493/tillsynsmail/A 57791-2021 tillsynsbegäran mail.docx", "A 57791-2021")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46252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67507-2021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44524</v>
      </c>
      <c r="E11" s="1" t="n">
        <v>46252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Sveaskog</t>
        </is>
      </c>
      <c r="I11" t="n">
        <v>23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Brandticka
Vågbandad barkbock</t>
        </is>
      </c>
      <c r="W11">
        <f>HYPERLINK("https://klasma.github.io/Logging_1493/artfynd/A 67507-2021 artfynd.xlsx", "A 67507-2021")</f>
        <v/>
      </c>
      <c r="X11">
        <f>HYPERLINK("https://klasma.github.io/Logging_1493/kartor/A 67507-2021 karta.png", "A 67507-2021")</f>
        <v/>
      </c>
      <c r="Y11">
        <f>HYPERLINK("https://klasma.github.io/Logging_1493/kartor_geotiff/A 67507-2021 georefererad karta.tif", "A 67507-2021")</f>
        <v/>
      </c>
      <c r="AA11">
        <f>HYPERLINK("https://klasma.github.io/Logging_1493/klagomål/A 67507-2021 FSC-klagomål.docx", "A 67507-2021")</f>
        <v/>
      </c>
      <c r="AB11">
        <f>HYPERLINK("https://klasma.github.io/Logging_1493/klagomålsmail/A 67507-2021 FSC-klagomål mail.docx", "A 67507-2021")</f>
        <v/>
      </c>
      <c r="AC11">
        <f>HYPERLINK("https://klasma.github.io/Logging_1493/tillsyn/A 67507-2021 tillsynsbegäran.docx", "A 67507-2021")</f>
        <v/>
      </c>
      <c r="AD11">
        <f>HYPERLINK("https://klasma.github.io/Logging_1493/tillsynsmail/A 67507-2021 tillsynsbegäran mail.docx", "A 67507-2021")</f>
        <v/>
      </c>
    </row>
    <row r="12" ht="15" customHeight="1">
      <c r="A12" t="inlineStr">
        <is>
          <t>A 53880-2022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46252</v>
      </c>
      <c r="F12" t="inlineStr">
        <is>
          <t>VÄSTRA GÖTALANDS LÄN</t>
        </is>
      </c>
      <c r="G12" t="inlineStr">
        <is>
          <t>MARIESTAD</t>
        </is>
      </c>
      <c r="I12" t="n">
        <v>2.2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3</v>
      </c>
      <c r="U12" t="n">
        <v>2</v>
      </c>
      <c r="V12" s="2" t="inlineStr">
        <is>
          <t>Igelkott
Svinrot</t>
        </is>
      </c>
      <c r="W12">
        <f>HYPERLINK("https://klasma.github.io/Logging_1493/artfynd/A 53880-2022 artfynd.xlsx", "A 53880-2022")</f>
        <v/>
      </c>
      <c r="X12">
        <f>HYPERLINK("https://klasma.github.io/Logging_1493/kartor/A 53880-2022 karta.png", "A 53880-2022")</f>
        <v/>
      </c>
      <c r="Y12">
        <f>HYPERLINK("https://klasma.github.io/Logging_1493/kartor_geotiff/A 53880-2022 georefererad karta.tif", "A 53880-2022")</f>
        <v/>
      </c>
      <c r="AA12">
        <f>HYPERLINK("https://klasma.github.io/Logging_1493/klagomål/A 53880-2022 FSC-klagomål.docx", "A 53880-2022")</f>
        <v/>
      </c>
      <c r="AB12">
        <f>HYPERLINK("https://klasma.github.io/Logging_1493/klagomålsmail/A 53880-2022 FSC-klagomål mail.docx", "A 53880-2022")</f>
        <v/>
      </c>
      <c r="AC12">
        <f>HYPERLINK("https://klasma.github.io/Logging_1493/tillsyn/A 53880-2022 tillsynsbegäran.docx", "A 53880-2022")</f>
        <v/>
      </c>
      <c r="AD12">
        <f>HYPERLINK("https://klasma.github.io/Logging_1493/tillsynsmail/A 53880-2022 tillsynsbegäran mail.docx", "A 53880-2022")</f>
        <v/>
      </c>
    </row>
    <row r="13" ht="15" customHeight="1">
      <c r="A13" t="inlineStr">
        <is>
          <t>A 27444-2023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45097</v>
      </c>
      <c r="E13" s="1" t="n">
        <v>46252</v>
      </c>
      <c r="F13" t="inlineStr">
        <is>
          <t>VÄSTRA GÖTALANDS LÄN</t>
        </is>
      </c>
      <c r="G13" t="inlineStr">
        <is>
          <t>MARIESTAD</t>
        </is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Svinrot
Gullviva</t>
        </is>
      </c>
      <c r="W13">
        <f>HYPERLINK("https://klasma.github.io/Logging_1493/artfynd/A 27444-2023 artfynd.xlsx", "A 27444-2023")</f>
        <v/>
      </c>
      <c r="X13">
        <f>HYPERLINK("https://klasma.github.io/Logging_1493/kartor/A 27444-2023 karta.png", "A 27444-2023")</f>
        <v/>
      </c>
      <c r="Y13">
        <f>HYPERLINK("https://klasma.github.io/Logging_1493/kartor_geotiff/A 27444-2023 georefererad karta.tif", "A 27444-2023")</f>
        <v/>
      </c>
      <c r="AA13">
        <f>HYPERLINK("https://klasma.github.io/Logging_1493/klagomål/A 27444-2023 FSC-klagomål.docx", "A 27444-2023")</f>
        <v/>
      </c>
      <c r="AB13">
        <f>HYPERLINK("https://klasma.github.io/Logging_1493/klagomålsmail/A 27444-2023 FSC-klagomål mail.docx", "A 27444-2023")</f>
        <v/>
      </c>
      <c r="AC13">
        <f>HYPERLINK("https://klasma.github.io/Logging_1493/tillsyn/A 27444-2023 tillsynsbegäran.docx", "A 27444-2023")</f>
        <v/>
      </c>
      <c r="AD13">
        <f>HYPERLINK("https://klasma.github.io/Logging_1493/tillsynsmail/A 27444-2023 tillsynsbegäran mail.docx", "A 27444-2023")</f>
        <v/>
      </c>
    </row>
    <row r="14" ht="15" customHeight="1">
      <c r="A14" t="inlineStr">
        <is>
          <t>A 5162-2024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45330</v>
      </c>
      <c r="E14" s="1" t="n">
        <v>46252</v>
      </c>
      <c r="F14" t="inlineStr">
        <is>
          <t>VÄSTRA GÖTALANDS LÄN</t>
        </is>
      </c>
      <c r="G14" t="inlineStr">
        <is>
          <t>MARIESTAD</t>
        </is>
      </c>
      <c r="I14" t="n">
        <v>0.5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Större brunfladdermus
Revlummer</t>
        </is>
      </c>
      <c r="W14">
        <f>HYPERLINK("https://klasma.github.io/Logging_1493/artfynd/A 5162-2024 artfynd.xlsx", "A 5162-2024")</f>
        <v/>
      </c>
      <c r="X14">
        <f>HYPERLINK("https://klasma.github.io/Logging_1493/kartor/A 5162-2024 karta.png", "A 5162-2024")</f>
        <v/>
      </c>
      <c r="Y14">
        <f>HYPERLINK("https://klasma.github.io/Logging_1493/kartor_geotiff/A 5162-2024 georefererad karta.tif", "A 5162-2024")</f>
        <v/>
      </c>
      <c r="AA14">
        <f>HYPERLINK("https://klasma.github.io/Logging_1493/klagomål/A 5162-2024 FSC-klagomål.docx", "A 5162-2024")</f>
        <v/>
      </c>
      <c r="AB14">
        <f>HYPERLINK("https://klasma.github.io/Logging_1493/klagomålsmail/A 5162-2024 FSC-klagomål mail.docx", "A 5162-2024")</f>
        <v/>
      </c>
      <c r="AC14">
        <f>HYPERLINK("https://klasma.github.io/Logging_1493/tillsyn/A 5162-2024 tillsynsbegäran.docx", "A 5162-2024")</f>
        <v/>
      </c>
      <c r="AD14">
        <f>HYPERLINK("https://klasma.github.io/Logging_1493/tillsynsmail/A 5162-2024 tillsynsbegäran mail.docx", "A 5162-2024")</f>
        <v/>
      </c>
    </row>
    <row r="15" ht="15" customHeight="1">
      <c r="A15" t="inlineStr">
        <is>
          <t>A 11073-2022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44628</v>
      </c>
      <c r="E15" s="1" t="n">
        <v>46252</v>
      </c>
      <c r="F15" t="inlineStr">
        <is>
          <t>VÄSTRA GÖTALANDS LÄN</t>
        </is>
      </c>
      <c r="G15" t="inlineStr">
        <is>
          <t>MARIESTAD</t>
        </is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Skogsduva</t>
        </is>
      </c>
      <c r="W15">
        <f>HYPERLINK("https://klasma.github.io/Logging_1493/artfynd/A 11073-2022 artfynd.xlsx", "A 11073-2022")</f>
        <v/>
      </c>
      <c r="X15">
        <f>HYPERLINK("https://klasma.github.io/Logging_1493/kartor/A 11073-2022 karta.png", "A 11073-2022")</f>
        <v/>
      </c>
      <c r="Y15">
        <f>HYPERLINK("https://klasma.github.io/Logging_1493/kartor_geotiff/A 11073-2022 georefererad karta.tif", "A 11073-2022")</f>
        <v/>
      </c>
      <c r="AA15">
        <f>HYPERLINK("https://klasma.github.io/Logging_1493/klagomål/A 11073-2022 FSC-klagomål.docx", "A 11073-2022")</f>
        <v/>
      </c>
      <c r="AB15">
        <f>HYPERLINK("https://klasma.github.io/Logging_1493/klagomålsmail/A 11073-2022 FSC-klagomål mail.docx", "A 11073-2022")</f>
        <v/>
      </c>
      <c r="AC15">
        <f>HYPERLINK("https://klasma.github.io/Logging_1493/tillsyn/A 11073-2022 tillsynsbegäran.docx", "A 11073-2022")</f>
        <v/>
      </c>
      <c r="AD15">
        <f>HYPERLINK("https://klasma.github.io/Logging_1493/tillsynsmail/A 11073-2022 tillsynsbegäran mail.docx", "A 11073-2022")</f>
        <v/>
      </c>
      <c r="AE15">
        <f>HYPERLINK("https://klasma.github.io/Logging_1493/fåglar/A 11073-2022 prioriterade fågelarter.docx", "A 11073-2022")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46252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46252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46252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46252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46252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46252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46252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46252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51265-2021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44461</v>
      </c>
      <c r="E24" s="1" t="n">
        <v>46252</v>
      </c>
      <c r="F24" t="inlineStr">
        <is>
          <t>VÄSTRA GÖTALANDS LÄN</t>
        </is>
      </c>
      <c r="G24" t="inlineStr">
        <is>
          <t>MARIESTAD</t>
        </is>
      </c>
      <c r="I24" t="n">
        <v>30.9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HYPERLINK("https://klasma.github.io/Logging_1493/artfynd/A 51265-2021 artfynd.xlsx", "A 51265-2021")</f>
        <v/>
      </c>
      <c r="X24">
        <f>HYPERLINK("https://klasma.github.io/Logging_1493/kartor/A 51265-2021 karta.png", "A 51265-2021")</f>
        <v/>
      </c>
      <c r="Y24">
        <f>HYPERLINK("https://klasma.github.io/Logging_1493/kartor_geotiff/A 51265-2021 georefererad karta.tif", "A 51265-2021")</f>
        <v/>
      </c>
      <c r="AA24">
        <f>HYPERLINK("https://klasma.github.io/Logging_1493/klagomål/A 51265-2021 FSC-klagomål.docx", "A 51265-2021")</f>
        <v/>
      </c>
      <c r="AB24">
        <f>HYPERLINK("https://klasma.github.io/Logging_1493/klagomålsmail/A 51265-2021 FSC-klagomål mail.docx", "A 51265-2021")</f>
        <v/>
      </c>
      <c r="AC24">
        <f>HYPERLINK("https://klasma.github.io/Logging_1493/tillsyn/A 51265-2021 tillsynsbegäran.docx", "A 51265-2021")</f>
        <v/>
      </c>
      <c r="AD24">
        <f>HYPERLINK("https://klasma.github.io/Logging_1493/tillsynsmail/A 51265-2021 tillsynsbegäran mail.docx", "A 51265-2021")</f>
        <v/>
      </c>
      <c r="AE24">
        <f>HYPERLINK("https://klasma.github.io/Logging_1493/fåglar/A 51265-2021 prioriterade fågelarter.docx", "A 51265-2021")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46252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46252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46252</v>
      </c>
      <c r="F27" t="inlineStr">
        <is>
          <t>VÄSTRA GÖTALANDS LÄN</t>
        </is>
      </c>
      <c r="G27" t="inlineStr">
        <is>
          <t>MARIESTAD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Skogsödla</t>
        </is>
      </c>
      <c r="W27">
        <f>HYPERLINK("https://klasma.github.io/Logging_1493/artfynd/A 7612-2023 artfynd.xlsx", "A 7612-2023")</f>
        <v/>
      </c>
      <c r="X27">
        <f>HYPERLINK("https://klasma.github.io/Logging_1493/kartor/A 7612-2023 karta.png", "A 7612-2023")</f>
        <v/>
      </c>
      <c r="Y27">
        <f>HYPERLINK("https://klasma.github.io/Logging_1493/kartor_geotiff/A 7612-2023 georefererad karta.tif", "A 7612-2023")</f>
        <v/>
      </c>
      <c r="AA27">
        <f>HYPERLINK("https://klasma.github.io/Logging_1493/klagomål/A 7612-2023 FSC-klagomål.docx", "A 7612-2023")</f>
        <v/>
      </c>
      <c r="AB27">
        <f>HYPERLINK("https://klasma.github.io/Logging_1493/klagomålsmail/A 7612-2023 FSC-klagomål mail.docx", "A 7612-2023")</f>
        <v/>
      </c>
      <c r="AC27">
        <f>HYPERLINK("https://klasma.github.io/Logging_1493/tillsyn/A 7612-2023 tillsynsbegäran.docx", "A 7612-2023")</f>
        <v/>
      </c>
      <c r="AD27">
        <f>HYPERLINK("https://klasma.github.io/Logging_1493/tillsynsmail/A 7612-2023 tillsynsbegäran mail.docx", "A 7612-2023")</f>
        <v/>
      </c>
    </row>
    <row r="28" ht="15" customHeight="1">
      <c r="A28" t="inlineStr">
        <is>
          <t>A 20438-2024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45435</v>
      </c>
      <c r="E28" s="1" t="n">
        <v>46252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Griffelblomfluga</t>
        </is>
      </c>
      <c r="W28">
        <f>HYPERLINK("https://klasma.github.io/Logging_1493/artfynd/A 20438-2024 artfynd.xlsx", "A 20438-2024")</f>
        <v/>
      </c>
      <c r="X28">
        <f>HYPERLINK("https://klasma.github.io/Logging_1493/kartor/A 20438-2024 karta.png", "A 20438-2024")</f>
        <v/>
      </c>
      <c r="Y28">
        <f>HYPERLINK("https://klasma.github.io/Logging_1493/kartor_geotiff/A 20438-2024 georefererad karta.tif", "A 20438-2024")</f>
        <v/>
      </c>
      <c r="AA28">
        <f>HYPERLINK("https://klasma.github.io/Logging_1493/klagomål/A 20438-2024 FSC-klagomål.docx", "A 20438-2024")</f>
        <v/>
      </c>
      <c r="AB28">
        <f>HYPERLINK("https://klasma.github.io/Logging_1493/klagomålsmail/A 20438-2024 FSC-klagomål mail.docx", "A 20438-2024")</f>
        <v/>
      </c>
      <c r="AC28">
        <f>HYPERLINK("https://klasma.github.io/Logging_1493/tillsyn/A 20438-2024 tillsynsbegäran.docx", "A 20438-2024")</f>
        <v/>
      </c>
      <c r="AD28">
        <f>HYPERLINK("https://klasma.github.io/Logging_1493/tillsynsmail/A 20438-2024 tillsynsbegäran mail.docx", "A 20438-2024")</f>
        <v/>
      </c>
    </row>
    <row r="29" ht="15" customHeight="1">
      <c r="A29" t="inlineStr">
        <is>
          <t>A 42647-2023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46252</v>
      </c>
      <c r="F29" t="inlineStr">
        <is>
          <t>VÄSTRA GÖTALANDS LÄN</t>
        </is>
      </c>
      <c r="G29" t="inlineStr">
        <is>
          <t>MARIESTAD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Ärtsångare</t>
        </is>
      </c>
      <c r="W29">
        <f>HYPERLINK("https://klasma.github.io/Logging_1493/artfynd/A 42647-2023 artfynd.xlsx", "A 42647-2023")</f>
        <v/>
      </c>
      <c r="X29">
        <f>HYPERLINK("https://klasma.github.io/Logging_1493/kartor/A 42647-2023 karta.png", "A 42647-2023")</f>
        <v/>
      </c>
      <c r="Y29">
        <f>HYPERLINK("https://klasma.github.io/Logging_1493/kartor_geotiff/A 42647-2023 georefererad karta.tif", "A 42647-2023")</f>
        <v/>
      </c>
      <c r="AA29">
        <f>HYPERLINK("https://klasma.github.io/Logging_1493/klagomål/A 42647-2023 FSC-klagomål.docx", "A 42647-2023")</f>
        <v/>
      </c>
      <c r="AB29">
        <f>HYPERLINK("https://klasma.github.io/Logging_1493/klagomålsmail/A 42647-2023 FSC-klagomål mail.docx", "A 42647-2023")</f>
        <v/>
      </c>
      <c r="AC29">
        <f>HYPERLINK("https://klasma.github.io/Logging_1493/tillsyn/A 42647-2023 tillsynsbegäran.docx", "A 42647-2023")</f>
        <v/>
      </c>
      <c r="AD29">
        <f>HYPERLINK("https://klasma.github.io/Logging_1493/tillsynsmail/A 42647-2023 tillsynsbegäran mail.docx", "A 42647-2023")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46252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HYPERLINK("https://klasma.github.io/Logging_1493/artfynd/A 15052-2023 artfynd.xlsx", "A 15052-2023")</f>
        <v/>
      </c>
      <c r="X30">
        <f>HYPERLINK("https://klasma.github.io/Logging_1493/kartor/A 15052-2023 karta.png", "A 15052-2023")</f>
        <v/>
      </c>
      <c r="Y30">
        <f>HYPERLINK("https://klasma.github.io/Logging_1493/kartor_geotiff/A 15052-2023 georefererad karta.tif", "A 15052-2023")</f>
        <v/>
      </c>
      <c r="AA30">
        <f>HYPERLINK("https://klasma.github.io/Logging_1493/klagomål/A 15052-2023 FSC-klagomål.docx", "A 15052-2023")</f>
        <v/>
      </c>
      <c r="AB30">
        <f>HYPERLINK("https://klasma.github.io/Logging_1493/klagomålsmail/A 15052-2023 FSC-klagomål mail.docx", "A 15052-2023")</f>
        <v/>
      </c>
      <c r="AC30">
        <f>HYPERLINK("https://klasma.github.io/Logging_1493/tillsyn/A 15052-2023 tillsynsbegäran.docx", "A 15052-2023")</f>
        <v/>
      </c>
      <c r="AD30">
        <f>HYPERLINK("https://klasma.github.io/Logging_1493/tillsynsmail/A 15052-2023 tillsynsbegäran mail.docx", "A 15052-2023")</f>
        <v/>
      </c>
      <c r="AE30">
        <f>HYPERLINK("https://klasma.github.io/Logging_1493/fåglar/A 15052-2023 prioriterade fågelarter.docx", "A 15052-2023")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46252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46252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46252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17272-2023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46252</v>
      </c>
      <c r="F34" t="inlineStr">
        <is>
          <t>VÄSTRA GÖTALANDS LÄN</t>
        </is>
      </c>
      <c r="G34" t="inlineStr">
        <is>
          <t>MARIESTAD</t>
        </is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HYPERLINK("https://klasma.github.io/Logging_1493/artfynd/A 17272-2023 artfynd.xlsx", "A 17272-2023")</f>
        <v/>
      </c>
      <c r="X34">
        <f>HYPERLINK("https://klasma.github.io/Logging_1493/kartor/A 17272-2023 karta.png", "A 17272-2023")</f>
        <v/>
      </c>
      <c r="Y34">
        <f>HYPERLINK("https://klasma.github.io/Logging_1493/kartor_geotiff/A 17272-2023 georefererad karta.tif", "A 17272-2023")</f>
        <v/>
      </c>
      <c r="AA34">
        <f>HYPERLINK("https://klasma.github.io/Logging_1493/klagomål/A 17272-2023 FSC-klagomål.docx", "A 17272-2023")</f>
        <v/>
      </c>
      <c r="AB34">
        <f>HYPERLINK("https://klasma.github.io/Logging_1493/klagomålsmail/A 17272-2023 FSC-klagomål mail.docx", "A 17272-2023")</f>
        <v/>
      </c>
      <c r="AC34">
        <f>HYPERLINK("https://klasma.github.io/Logging_1493/tillsyn/A 17272-2023 tillsynsbegäran.docx", "A 17272-2023")</f>
        <v/>
      </c>
      <c r="AD34">
        <f>HYPERLINK("https://klasma.github.io/Logging_1493/tillsynsmail/A 17272-2023 tillsynsbegäran mail.docx", "A 17272-2023")</f>
        <v/>
      </c>
    </row>
    <row r="35" ht="15" customHeight="1">
      <c r="A35" t="inlineStr">
        <is>
          <t>A 18176-2025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46252</v>
      </c>
      <c r="F35" t="inlineStr">
        <is>
          <t>VÄSTRA GÖTALANDS LÄN</t>
        </is>
      </c>
      <c r="G35" t="inlineStr">
        <is>
          <t>MARIESTAD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HYPERLINK("https://klasma.github.io/Logging_1493/artfynd/A 18176-2025 artfynd.xlsx", "A 18176-2025")</f>
        <v/>
      </c>
      <c r="X35">
        <f>HYPERLINK("https://klasma.github.io/Logging_1493/kartor/A 18176-2025 karta.png", "A 18176-2025")</f>
        <v/>
      </c>
      <c r="Y35">
        <f>HYPERLINK("https://klasma.github.io/Logging_1493/kartor_geotiff/A 18176-2025 georefererad karta.tif", "A 18176-2025")</f>
        <v/>
      </c>
      <c r="AA35">
        <f>HYPERLINK("https://klasma.github.io/Logging_1493/klagomål/A 18176-2025 FSC-klagomål.docx", "A 18176-2025")</f>
        <v/>
      </c>
      <c r="AB35">
        <f>HYPERLINK("https://klasma.github.io/Logging_1493/klagomålsmail/A 18176-2025 FSC-klagomål mail.docx", "A 18176-2025")</f>
        <v/>
      </c>
      <c r="AC35">
        <f>HYPERLINK("https://klasma.github.io/Logging_1493/tillsyn/A 18176-2025 tillsynsbegäran.docx", "A 18176-2025")</f>
        <v/>
      </c>
      <c r="AD35">
        <f>HYPERLINK("https://klasma.github.io/Logging_1493/tillsynsmail/A 18176-2025 tillsynsbegäran mail.docx", "A 18176-2025")</f>
        <v/>
      </c>
    </row>
    <row r="36" ht="15" customHeight="1">
      <c r="A36" t="inlineStr">
        <is>
          <t>A 7578-2025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45705</v>
      </c>
      <c r="E36" s="1" t="n">
        <v>46252</v>
      </c>
      <c r="F36" t="inlineStr">
        <is>
          <t>VÄSTRA GÖTALANDS LÄN</t>
        </is>
      </c>
      <c r="G36" t="inlineStr">
        <is>
          <t>MARIESTAD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Svartvit flugsnappare</t>
        </is>
      </c>
      <c r="W36">
        <f>HYPERLINK("https://klasma.github.io/Logging_1493/artfynd/A 7578-2025 artfynd.xlsx", "A 7578-2025")</f>
        <v/>
      </c>
      <c r="X36">
        <f>HYPERLINK("https://klasma.github.io/Logging_1493/kartor/A 7578-2025 karta.png", "A 7578-2025")</f>
        <v/>
      </c>
      <c r="Y36">
        <f>HYPERLINK("https://klasma.github.io/Logging_1493/kartor_geotiff/A 7578-2025 georefererad karta.tif", "A 7578-2025")</f>
        <v/>
      </c>
      <c r="AA36">
        <f>HYPERLINK("https://klasma.github.io/Logging_1493/klagomål/A 7578-2025 FSC-klagomål.docx", "A 7578-2025")</f>
        <v/>
      </c>
      <c r="AB36">
        <f>HYPERLINK("https://klasma.github.io/Logging_1493/klagomålsmail/A 7578-2025 FSC-klagomål mail.docx", "A 7578-2025")</f>
        <v/>
      </c>
      <c r="AC36">
        <f>HYPERLINK("https://klasma.github.io/Logging_1493/tillsyn/A 7578-2025 tillsynsbegäran.docx", "A 7578-2025")</f>
        <v/>
      </c>
      <c r="AD36">
        <f>HYPERLINK("https://klasma.github.io/Logging_1493/tillsynsmail/A 7578-2025 tillsynsbegäran mail.docx", "A 7578-2025")</f>
        <v/>
      </c>
    </row>
    <row r="37" ht="15" customHeight="1">
      <c r="A37" t="inlineStr">
        <is>
          <t>A 12379-2026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46252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5.7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HYPERLINK("https://klasma.github.io/Logging_1493/artfynd/A 12379-2026 artfynd.xlsx", "A 12379-2026")</f>
        <v/>
      </c>
      <c r="X37">
        <f>HYPERLINK("https://klasma.github.io/Logging_1493/kartor/A 12379-2026 karta.png", "A 12379-2026")</f>
        <v/>
      </c>
      <c r="Y37">
        <f>HYPERLINK("https://klasma.github.io/Logging_1493/kartor_geotiff/A 12379-2026 georefererad karta.tif", "A 12379-2026")</f>
        <v/>
      </c>
      <c r="AA37">
        <f>HYPERLINK("https://klasma.github.io/Logging_1493/klagomål/A 12379-2026 FSC-klagomål.docx", "A 12379-2026")</f>
        <v/>
      </c>
      <c r="AB37">
        <f>HYPERLINK("https://klasma.github.io/Logging_1493/klagomålsmail/A 12379-2026 FSC-klagomål mail.docx", "A 12379-2026")</f>
        <v/>
      </c>
      <c r="AC37">
        <f>HYPERLINK("https://klasma.github.io/Logging_1493/tillsyn/A 12379-2026 tillsynsbegäran.docx", "A 12379-2026")</f>
        <v/>
      </c>
      <c r="AD37">
        <f>HYPERLINK("https://klasma.github.io/Logging_1493/tillsynsmail/A 12379-2026 tillsynsbegäran mail.docx", "A 12379-2026")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46252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46252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Kommuner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Nattviol</t>
        </is>
      </c>
      <c r="W39">
        <f>HYPERLINK("https://klasma.github.io/Logging_1493/artfynd/A 30652-2023 artfynd.xlsx", "A 30652-2023")</f>
        <v/>
      </c>
      <c r="X39">
        <f>HYPERLINK("https://klasma.github.io/Logging_1493/kartor/A 30652-2023 karta.png", "A 30652-2023")</f>
        <v/>
      </c>
      <c r="Y39">
        <f>HYPERLINK("https://klasma.github.io/Logging_1493/kartor_geotiff/A 30652-2023 georefererad karta.tif", "A 30652-2023")</f>
        <v/>
      </c>
      <c r="AA39">
        <f>HYPERLINK("https://klasma.github.io/Logging_1493/klagomål/A 30652-2023 FSC-klagomål.docx", "A 30652-2023")</f>
        <v/>
      </c>
      <c r="AB39">
        <f>HYPERLINK("https://klasma.github.io/Logging_1493/klagomålsmail/A 30652-2023 FSC-klagomål mail.docx", "A 30652-2023")</f>
        <v/>
      </c>
      <c r="AC39">
        <f>HYPERLINK("https://klasma.github.io/Logging_1493/tillsyn/A 30652-2023 tillsynsbegäran.docx", "A 30652-2023")</f>
        <v/>
      </c>
      <c r="AD39">
        <f>HYPERLINK("https://klasma.github.io/Logging_1493/tillsynsmail/A 30652-2023 tillsynsbegäran mail.docx", "A 30652-2023")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46252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46252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46252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46252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46252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46252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46252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46252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46252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46252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46252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46252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46252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46252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46252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46252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46252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46252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46252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46252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46252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46252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46252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46252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46252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46252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46252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46252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46252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46252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46252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46252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46252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46252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46252</v>
      </c>
      <c r="F76" t="inlineStr">
        <is>
          <t>VÄSTRA GÖTALANDS LÄN</t>
        </is>
      </c>
      <c r="G76" t="inlineStr">
        <is>
          <t>MARIESTAD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46252</v>
      </c>
      <c r="F77" t="inlineStr">
        <is>
          <t>VÄSTRA GÖTALANDS LÄN</t>
        </is>
      </c>
      <c r="G77" t="inlineStr">
        <is>
          <t>MARIESTAD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46252</v>
      </c>
      <c r="F78" t="inlineStr">
        <is>
          <t>VÄSTRA GÖTALANDS LÄN</t>
        </is>
      </c>
      <c r="G78" t="inlineStr">
        <is>
          <t>MARIESTAD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46252</v>
      </c>
      <c r="F79" t="inlineStr">
        <is>
          <t>VÄSTRA GÖTALANDS LÄN</t>
        </is>
      </c>
      <c r="G79" t="inlineStr">
        <is>
          <t>MARIESTAD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28956-2025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45821</v>
      </c>
      <c r="E80" s="1" t="n">
        <v>46252</v>
      </c>
      <c r="F80" t="inlineStr">
        <is>
          <t>VÄSTRA GÖTALANDS LÄN</t>
        </is>
      </c>
      <c r="G80" t="inlineStr">
        <is>
          <t>MARIESTAD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46252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28899-2025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46252</v>
      </c>
      <c r="F82" t="inlineStr">
        <is>
          <t>VÄSTRA GÖTALANDS LÄN</t>
        </is>
      </c>
      <c r="G82" t="inlineStr">
        <is>
          <t>MARIESTAD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46252</v>
      </c>
      <c r="F83" t="inlineStr">
        <is>
          <t>VÄSTRA GÖTALANDS LÄN</t>
        </is>
      </c>
      <c r="G83" t="inlineStr">
        <is>
          <t>MARIESTAD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44620</v>
      </c>
      <c r="E84" s="1" t="n">
        <v>46252</v>
      </c>
      <c r="F84" t="inlineStr">
        <is>
          <t>VÄSTRA GÖTALANDS LÄN</t>
        </is>
      </c>
      <c r="G84" t="inlineStr">
        <is>
          <t>MARIESTAD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45827</v>
      </c>
      <c r="E85" s="1" t="n">
        <v>46252</v>
      </c>
      <c r="F85" t="inlineStr">
        <is>
          <t>VÄSTRA GÖTALANDS LÄN</t>
        </is>
      </c>
      <c r="G85" t="inlineStr">
        <is>
          <t>MARIESTAD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49389-2023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45211</v>
      </c>
      <c r="E86" s="1" t="n">
        <v>46252</v>
      </c>
      <c r="F86" t="inlineStr">
        <is>
          <t>VÄSTRA GÖTALANDS LÄN</t>
        </is>
      </c>
      <c r="G86" t="inlineStr">
        <is>
          <t>MARIESTAD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46252</v>
      </c>
      <c r="F87" t="inlineStr">
        <is>
          <t>VÄSTRA GÖTALANDS LÄN</t>
        </is>
      </c>
      <c r="G87" t="inlineStr">
        <is>
          <t>MARIESTAD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45211</v>
      </c>
      <c r="E88" s="1" t="n">
        <v>46252</v>
      </c>
      <c r="F88" t="inlineStr">
        <is>
          <t>VÄSTRA GÖTALANDS LÄN</t>
        </is>
      </c>
      <c r="G88" t="inlineStr">
        <is>
          <t>MARIESTAD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62089-2023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46252</v>
      </c>
      <c r="F89" t="inlineStr">
        <is>
          <t>VÄSTRA GÖTALANDS LÄN</t>
        </is>
      </c>
      <c r="G89" t="inlineStr">
        <is>
          <t>MARIESTAD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68922-2021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46252</v>
      </c>
      <c r="F90" t="inlineStr">
        <is>
          <t>VÄSTRA GÖTALANDS LÄN</t>
        </is>
      </c>
      <c r="G90" t="inlineStr">
        <is>
          <t>MARIESTAD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46252</v>
      </c>
      <c r="F91" t="inlineStr">
        <is>
          <t>VÄSTRA GÖTALANDS LÄN</t>
        </is>
      </c>
      <c r="G91" t="inlineStr">
        <is>
          <t>MARIESTAD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8146-2023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46252</v>
      </c>
      <c r="F92" t="inlineStr">
        <is>
          <t>VÄSTRA GÖTALANDS LÄN</t>
        </is>
      </c>
      <c r="G92" t="inlineStr">
        <is>
          <t>MARIESTAD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45674</v>
      </c>
      <c r="E93" s="1" t="n">
        <v>46252</v>
      </c>
      <c r="F93" t="inlineStr">
        <is>
          <t>VÄSTRA GÖTALANDS LÄN</t>
        </is>
      </c>
      <c r="G93" t="inlineStr">
        <is>
          <t>MARIESTAD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45070</v>
      </c>
      <c r="E94" s="1" t="n">
        <v>46252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45131</v>
      </c>
      <c r="E95" s="1" t="n">
        <v>46252</v>
      </c>
      <c r="F95" t="inlineStr">
        <is>
          <t>VÄSTRA GÖTALANDS LÄN</t>
        </is>
      </c>
      <c r="G95" t="inlineStr">
        <is>
          <t>MARIESTAD</t>
        </is>
      </c>
      <c r="I95" t="n">
        <v>16.1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46252</v>
      </c>
      <c r="F96" t="inlineStr">
        <is>
          <t>VÄSTRA GÖTALANDS LÄN</t>
        </is>
      </c>
      <c r="G96" t="inlineStr">
        <is>
          <t>MARIESTAD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46252</v>
      </c>
      <c r="F97" t="inlineStr">
        <is>
          <t>VÄSTRA GÖTALANDS LÄN</t>
        </is>
      </c>
      <c r="G97" t="inlineStr">
        <is>
          <t>MARIESTAD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45664</v>
      </c>
      <c r="E98" s="1" t="n">
        <v>46252</v>
      </c>
      <c r="F98" t="inlineStr">
        <is>
          <t>VÄSTRA GÖTALANDS LÄN</t>
        </is>
      </c>
      <c r="G98" t="inlineStr">
        <is>
          <t>MARIESTAD</t>
        </is>
      </c>
      <c r="I98" t="n">
        <v>8.9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46252</v>
      </c>
      <c r="F99" t="inlineStr">
        <is>
          <t>VÄSTRA GÖTALANDS LÄN</t>
        </is>
      </c>
      <c r="G99" t="inlineStr">
        <is>
          <t>MARIESTAD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45033</v>
      </c>
      <c r="E100" s="1" t="n">
        <v>46252</v>
      </c>
      <c r="F100" t="inlineStr">
        <is>
          <t>VÄSTRA GÖTALANDS LÄN</t>
        </is>
      </c>
      <c r="G100" t="inlineStr">
        <is>
          <t>MARIESTAD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46252</v>
      </c>
      <c r="F101" t="inlineStr">
        <is>
          <t>VÄSTRA GÖTALANDS LÄN</t>
        </is>
      </c>
      <c r="G101" t="inlineStr">
        <is>
          <t>MARIESTAD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46252</v>
      </c>
      <c r="F102" t="inlineStr">
        <is>
          <t>VÄSTRA GÖTALANDS LÄN</t>
        </is>
      </c>
      <c r="G102" t="inlineStr">
        <is>
          <t>MARIESTAD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46252</v>
      </c>
      <c r="F103" t="inlineStr">
        <is>
          <t>VÄSTRA GÖTALANDS LÄN</t>
        </is>
      </c>
      <c r="G103" t="inlineStr">
        <is>
          <t>MARIESTAD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44943</v>
      </c>
      <c r="E104" s="1" t="n">
        <v>46252</v>
      </c>
      <c r="F104" t="inlineStr">
        <is>
          <t>VÄSTRA GÖTALANDS LÄN</t>
        </is>
      </c>
      <c r="G104" t="inlineStr">
        <is>
          <t>MARIESTAD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46252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Kyrkan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45909</v>
      </c>
      <c r="E106" s="1" t="n">
        <v>46252</v>
      </c>
      <c r="F106" t="inlineStr">
        <is>
          <t>VÄSTRA GÖTALANDS LÄN</t>
        </is>
      </c>
      <c r="G106" t="inlineStr">
        <is>
          <t>MARIESTAD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46252</v>
      </c>
      <c r="F107" t="inlineStr">
        <is>
          <t>VÄSTRA GÖTALANDS LÄN</t>
        </is>
      </c>
      <c r="G107" t="inlineStr">
        <is>
          <t>MARIESTAD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46252</v>
      </c>
      <c r="F108" t="inlineStr">
        <is>
          <t>VÄSTRA GÖTALANDS LÄN</t>
        </is>
      </c>
      <c r="G108" t="inlineStr">
        <is>
          <t>MARIESTAD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46252</v>
      </c>
      <c r="F109" t="inlineStr">
        <is>
          <t>VÄSTRA GÖTALANDS LÄN</t>
        </is>
      </c>
      <c r="G109" t="inlineStr">
        <is>
          <t>MARIESTAD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46252</v>
      </c>
      <c r="F110" t="inlineStr">
        <is>
          <t>VÄSTRA GÖTALANDS LÄN</t>
        </is>
      </c>
      <c r="G110" t="inlineStr">
        <is>
          <t>MARIESTAD</t>
        </is>
      </c>
      <c r="I110" t="n">
        <v>8.800000000000001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44943</v>
      </c>
      <c r="E111" s="1" t="n">
        <v>46252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46252</v>
      </c>
      <c r="F112" t="inlineStr">
        <is>
          <t>VÄSTRA GÖTALANDS LÄN</t>
        </is>
      </c>
      <c r="G112" t="inlineStr">
        <is>
          <t>MARIESTAD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35581-2023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45135</v>
      </c>
      <c r="E113" s="1" t="n">
        <v>46252</v>
      </c>
      <c r="F113" t="inlineStr">
        <is>
          <t>VÄSTRA GÖTALANDS LÄN</t>
        </is>
      </c>
      <c r="G113" t="inlineStr">
        <is>
          <t>MARIESTAD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46252</v>
      </c>
      <c r="F114" t="inlineStr">
        <is>
          <t>VÄSTRA GÖTALANDS LÄN</t>
        </is>
      </c>
      <c r="G114" t="inlineStr">
        <is>
          <t>MARIESTAD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45384</v>
      </c>
      <c r="E115" s="1" t="n">
        <v>46252</v>
      </c>
      <c r="F115" t="inlineStr">
        <is>
          <t>VÄSTRA GÖTALANDS LÄN</t>
        </is>
      </c>
      <c r="G115" t="inlineStr">
        <is>
          <t>MARIESTAD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46252</v>
      </c>
      <c r="F116" t="inlineStr">
        <is>
          <t>VÄSTRA GÖTALANDS LÄN</t>
        </is>
      </c>
      <c r="G116" t="inlineStr">
        <is>
          <t>MARIESTAD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46252</v>
      </c>
      <c r="F117" t="inlineStr">
        <is>
          <t>VÄSTRA GÖTALANDS LÄN</t>
        </is>
      </c>
      <c r="G117" t="inlineStr">
        <is>
          <t>MARIESTAD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46252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13655-2023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45006</v>
      </c>
      <c r="E119" s="1" t="n">
        <v>46252</v>
      </c>
      <c r="F119" t="inlineStr">
        <is>
          <t>VÄSTRA GÖTALANDS LÄN</t>
        </is>
      </c>
      <c r="G119" t="inlineStr">
        <is>
          <t>MARIESTAD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45590</v>
      </c>
      <c r="E120" s="1" t="n">
        <v>46252</v>
      </c>
      <c r="F120" t="inlineStr">
        <is>
          <t>VÄSTRA GÖTALANDS LÄN</t>
        </is>
      </c>
      <c r="G120" t="inlineStr">
        <is>
          <t>MARIESTAD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45225</v>
      </c>
      <c r="E121" s="1" t="n">
        <v>46252</v>
      </c>
      <c r="F121" t="inlineStr">
        <is>
          <t>VÄSTRA GÖTALANDS LÄN</t>
        </is>
      </c>
      <c r="G121" t="inlineStr">
        <is>
          <t>MARIESTAD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44219-2023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46252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45329</v>
      </c>
      <c r="E123" s="1" t="n">
        <v>46252</v>
      </c>
      <c r="F123" t="inlineStr">
        <is>
          <t>VÄSTRA GÖTALANDS LÄN</t>
        </is>
      </c>
      <c r="G123" t="inlineStr">
        <is>
          <t>MARIESTAD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45397</v>
      </c>
      <c r="E124" s="1" t="n">
        <v>46252</v>
      </c>
      <c r="F124" t="inlineStr">
        <is>
          <t>VÄSTRA GÖTALANDS LÄN</t>
        </is>
      </c>
      <c r="G124" t="inlineStr">
        <is>
          <t>MARIESTAD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45705</v>
      </c>
      <c r="E125" s="1" t="n">
        <v>46252</v>
      </c>
      <c r="F125" t="inlineStr">
        <is>
          <t>VÄSTRA GÖTALANDS LÄN</t>
        </is>
      </c>
      <c r="G125" t="inlineStr">
        <is>
          <t>MARIESTAD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44629</v>
      </c>
      <c r="E126" s="1" t="n">
        <v>46252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Kommuner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46252</v>
      </c>
      <c r="F127" t="inlineStr">
        <is>
          <t>VÄSTRA GÖTALANDS LÄN</t>
        </is>
      </c>
      <c r="G127" t="inlineStr">
        <is>
          <t>MARIESTAD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45324</v>
      </c>
      <c r="E128" s="1" t="n">
        <v>46252</v>
      </c>
      <c r="F128" t="inlineStr">
        <is>
          <t>VÄSTRA GÖTALANDS LÄN</t>
        </is>
      </c>
      <c r="G128" t="inlineStr">
        <is>
          <t>MARIESTAD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26688-2022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44739</v>
      </c>
      <c r="E129" s="1" t="n">
        <v>46252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46252</v>
      </c>
      <c r="F130" t="inlineStr">
        <is>
          <t>VÄSTRA GÖTALANDS LÄN</t>
        </is>
      </c>
      <c r="G130" t="inlineStr">
        <is>
          <t>MARIESTAD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45324</v>
      </c>
      <c r="E131" s="1" t="n">
        <v>46252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44756</v>
      </c>
      <c r="E132" s="1" t="n">
        <v>46252</v>
      </c>
      <c r="F132" t="inlineStr">
        <is>
          <t>VÄSTRA GÖTALANDS LÄN</t>
        </is>
      </c>
      <c r="G132" t="inlineStr">
        <is>
          <t>MARIESTAD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46252</v>
      </c>
      <c r="F133" t="inlineStr">
        <is>
          <t>VÄSTRA GÖTALANDS LÄN</t>
        </is>
      </c>
      <c r="G133" t="inlineStr">
        <is>
          <t>MARIESTAD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46252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46252</v>
      </c>
      <c r="F135" t="inlineStr">
        <is>
          <t>VÄSTRA GÖTALANDS LÄN</t>
        </is>
      </c>
      <c r="G135" t="inlineStr">
        <is>
          <t>MARIESTAD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46252</v>
      </c>
      <c r="F136" t="inlineStr">
        <is>
          <t>VÄSTRA GÖTALANDS LÄN</t>
        </is>
      </c>
      <c r="G136" t="inlineStr">
        <is>
          <t>MARIESTAD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46252</v>
      </c>
      <c r="F137" t="inlineStr">
        <is>
          <t>VÄSTRA GÖTALANDS LÄN</t>
        </is>
      </c>
      <c r="G137" t="inlineStr">
        <is>
          <t>MARIESTAD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36399-2024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45535</v>
      </c>
      <c r="E138" s="1" t="n">
        <v>46252</v>
      </c>
      <c r="F138" t="inlineStr">
        <is>
          <t>VÄSTRA GÖTALANDS LÄN</t>
        </is>
      </c>
      <c r="G138" t="inlineStr">
        <is>
          <t>MARIESTAD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46252</v>
      </c>
      <c r="F139" t="inlineStr">
        <is>
          <t>VÄSTRA GÖTALANDS LÄN</t>
        </is>
      </c>
      <c r="G139" t="inlineStr">
        <is>
          <t>MARIESTAD</t>
        </is>
      </c>
      <c r="I139" t="n">
        <v>9.699999999999999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66771-2021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44521</v>
      </c>
      <c r="E140" s="1" t="n">
        <v>46252</v>
      </c>
      <c r="F140" t="inlineStr">
        <is>
          <t>VÄSTRA GÖTALANDS LÄN</t>
        </is>
      </c>
      <c r="G140" t="inlineStr">
        <is>
          <t>MARIESTAD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46252</v>
      </c>
      <c r="F141" t="inlineStr">
        <is>
          <t>VÄSTRA GÖTALANDS LÄN</t>
        </is>
      </c>
      <c r="G141" t="inlineStr">
        <is>
          <t>MARIESTAD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46252</v>
      </c>
      <c r="F142" t="inlineStr">
        <is>
          <t>VÄSTRA GÖTALANDS LÄN</t>
        </is>
      </c>
      <c r="G142" t="inlineStr">
        <is>
          <t>MARIESTAD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46252</v>
      </c>
      <c r="F143" t="inlineStr">
        <is>
          <t>VÄSTRA GÖTALANDS LÄN</t>
        </is>
      </c>
      <c r="G143" t="inlineStr">
        <is>
          <t>MARIESTAD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46252</v>
      </c>
      <c r="F144" t="inlineStr">
        <is>
          <t>VÄSTRA GÖTALANDS LÄN</t>
        </is>
      </c>
      <c r="G144" t="inlineStr">
        <is>
          <t>MARIESTAD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46252</v>
      </c>
      <c r="F145" t="inlineStr">
        <is>
          <t>VÄSTRA GÖTALANDS LÄN</t>
        </is>
      </c>
      <c r="G145" t="inlineStr">
        <is>
          <t>MARIESTAD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46252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46252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46252</v>
      </c>
      <c r="F148" t="inlineStr">
        <is>
          <t>VÄSTRA GÖTALANDS LÄN</t>
        </is>
      </c>
      <c r="G148" t="inlineStr">
        <is>
          <t>MARIESTAD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46252</v>
      </c>
      <c r="F149" t="inlineStr">
        <is>
          <t>VÄSTRA GÖTALANDS LÄN</t>
        </is>
      </c>
      <c r="G149" t="inlineStr">
        <is>
          <t>MARIESTAD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45210</v>
      </c>
      <c r="E150" s="1" t="n">
        <v>46252</v>
      </c>
      <c r="F150" t="inlineStr">
        <is>
          <t>VÄSTRA GÖTALANDS LÄN</t>
        </is>
      </c>
      <c r="G150" t="inlineStr">
        <is>
          <t>MARIESTAD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45271</v>
      </c>
      <c r="E151" s="1" t="n">
        <v>46252</v>
      </c>
      <c r="F151" t="inlineStr">
        <is>
          <t>VÄSTRA GÖTALANDS LÄN</t>
        </is>
      </c>
      <c r="G151" t="inlineStr">
        <is>
          <t>MARIESTAD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45268</v>
      </c>
      <c r="E152" s="1" t="n">
        <v>46252</v>
      </c>
      <c r="F152" t="inlineStr">
        <is>
          <t>VÄSTRA GÖTALANDS LÄN</t>
        </is>
      </c>
      <c r="G152" t="inlineStr">
        <is>
          <t>MARIESTAD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46252</v>
      </c>
      <c r="F153" t="inlineStr">
        <is>
          <t>VÄSTRA GÖTALANDS LÄN</t>
        </is>
      </c>
      <c r="G153" t="inlineStr">
        <is>
          <t>MARIESTAD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45875</v>
      </c>
      <c r="E154" s="1" t="n">
        <v>46252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46252</v>
      </c>
      <c r="F155" t="inlineStr">
        <is>
          <t>VÄSTRA GÖTALANDS LÄN</t>
        </is>
      </c>
      <c r="G155" t="inlineStr">
        <is>
          <t>MARIESTAD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44572</v>
      </c>
      <c r="E156" s="1" t="n">
        <v>46252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Naturvårdsverket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46252</v>
      </c>
      <c r="F157" t="inlineStr">
        <is>
          <t>VÄSTRA GÖTALANDS LÄN</t>
        </is>
      </c>
      <c r="G157" t="inlineStr">
        <is>
          <t>MARIESTAD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46252</v>
      </c>
      <c r="F158" t="inlineStr">
        <is>
          <t>VÄSTRA GÖTALANDS LÄN</t>
        </is>
      </c>
      <c r="G158" t="inlineStr">
        <is>
          <t>MARIESTAD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70295-2021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46252</v>
      </c>
      <c r="F159" t="inlineStr">
        <is>
          <t>VÄSTRA GÖTALANDS LÄN</t>
        </is>
      </c>
      <c r="G159" t="inlineStr">
        <is>
          <t>MARIESTAD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44693</v>
      </c>
      <c r="E160" s="1" t="n">
        <v>46252</v>
      </c>
      <c r="F160" t="inlineStr">
        <is>
          <t>VÄSTRA GÖTALANDS LÄN</t>
        </is>
      </c>
      <c r="G160" t="inlineStr">
        <is>
          <t>MARIESTAD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46252</v>
      </c>
      <c r="F161" t="inlineStr">
        <is>
          <t>VÄSTRA GÖTALANDS LÄN</t>
        </is>
      </c>
      <c r="G161" t="inlineStr">
        <is>
          <t>MARIESTAD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46252</v>
      </c>
      <c r="F162" t="inlineStr">
        <is>
          <t>VÄSTRA GÖTALANDS LÄN</t>
        </is>
      </c>
      <c r="G162" t="inlineStr">
        <is>
          <t>MARIESTAD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46252</v>
      </c>
      <c r="F163" t="inlineStr">
        <is>
          <t>VÄSTRA GÖTALANDS LÄN</t>
        </is>
      </c>
      <c r="G163" t="inlineStr">
        <is>
          <t>MARIESTAD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46252</v>
      </c>
      <c r="F164" t="inlineStr">
        <is>
          <t>VÄSTRA GÖTALANDS LÄN</t>
        </is>
      </c>
      <c r="G164" t="inlineStr">
        <is>
          <t>MARIESTAD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44993</v>
      </c>
      <c r="E165" s="1" t="n">
        <v>46252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46252</v>
      </c>
      <c r="F166" t="inlineStr">
        <is>
          <t>VÄSTRA GÖTALANDS LÄN</t>
        </is>
      </c>
      <c r="G166" t="inlineStr">
        <is>
          <t>MARIESTAD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35047-2022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44797</v>
      </c>
      <c r="E167" s="1" t="n">
        <v>46252</v>
      </c>
      <c r="F167" t="inlineStr">
        <is>
          <t>VÄSTRA GÖTALANDS LÄN</t>
        </is>
      </c>
      <c r="G167" t="inlineStr">
        <is>
          <t>MARIESTAD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46252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44986</v>
      </c>
      <c r="E169" s="1" t="n">
        <v>46252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50579-2023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45217</v>
      </c>
      <c r="E170" s="1" t="n">
        <v>46252</v>
      </c>
      <c r="F170" t="inlineStr">
        <is>
          <t>VÄSTRA GÖTALANDS LÄN</t>
        </is>
      </c>
      <c r="G170" t="inlineStr">
        <is>
          <t>MARIESTAD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46252</v>
      </c>
      <c r="F171" t="inlineStr">
        <is>
          <t>VÄSTRA GÖTALANDS LÄN</t>
        </is>
      </c>
      <c r="G171" t="inlineStr">
        <is>
          <t>MARIESTAD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46252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44930</v>
      </c>
      <c r="E173" s="1" t="n">
        <v>46252</v>
      </c>
      <c r="F173" t="inlineStr">
        <is>
          <t>VÄSTRA GÖTALANDS LÄN</t>
        </is>
      </c>
      <c r="G173" t="inlineStr">
        <is>
          <t>MARIESTAD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46252</v>
      </c>
      <c r="F174" t="inlineStr">
        <is>
          <t>VÄSTRA GÖTALANDS LÄN</t>
        </is>
      </c>
      <c r="G174" t="inlineStr">
        <is>
          <t>MARIESTAD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45268</v>
      </c>
      <c r="E175" s="1" t="n">
        <v>46252</v>
      </c>
      <c r="F175" t="inlineStr">
        <is>
          <t>VÄSTRA GÖTALANDS LÄN</t>
        </is>
      </c>
      <c r="G175" t="inlineStr">
        <is>
          <t>MARIESTAD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46252</v>
      </c>
      <c r="F176" t="inlineStr">
        <is>
          <t>VÄSTRA GÖTALANDS LÄN</t>
        </is>
      </c>
      <c r="G176" t="inlineStr">
        <is>
          <t>MARIESTAD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45330</v>
      </c>
      <c r="E177" s="1" t="n">
        <v>46252</v>
      </c>
      <c r="F177" t="inlineStr">
        <is>
          <t>VÄSTRA GÖTALANDS LÄN</t>
        </is>
      </c>
      <c r="G177" t="inlineStr">
        <is>
          <t>MARIESTAD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46252</v>
      </c>
      <c r="F178" t="inlineStr">
        <is>
          <t>VÄSTRA GÖTALANDS LÄN</t>
        </is>
      </c>
      <c r="G178" t="inlineStr">
        <is>
          <t>MARIESTAD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46252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Övriga Aktiebolag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46252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61601-2023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45265</v>
      </c>
      <c r="E181" s="1" t="n">
        <v>46252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45015</v>
      </c>
      <c r="E182" s="1" t="n">
        <v>46252</v>
      </c>
      <c r="F182" t="inlineStr">
        <is>
          <t>VÄSTRA GÖTALANDS LÄN</t>
        </is>
      </c>
      <c r="G182" t="inlineStr">
        <is>
          <t>MARIESTAD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46252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Sveaskog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46252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Sveaskog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44876</v>
      </c>
      <c r="E185" s="1" t="n">
        <v>46252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Kyrkan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58077-2022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44900</v>
      </c>
      <c r="E186" s="1" t="n">
        <v>46252</v>
      </c>
      <c r="F186" t="inlineStr">
        <is>
          <t>VÄSTRA GÖTALANDS LÄN</t>
        </is>
      </c>
      <c r="G186" t="inlineStr">
        <is>
          <t>MARIESTAD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45560</v>
      </c>
      <c r="E187" s="1" t="n">
        <v>46252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46252</v>
      </c>
      <c r="F188" t="inlineStr">
        <is>
          <t>VÄSTRA GÖTALANDS LÄN</t>
        </is>
      </c>
      <c r="G188" t="inlineStr">
        <is>
          <t>MARIESTAD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46252</v>
      </c>
      <c r="F189" t="inlineStr">
        <is>
          <t>VÄSTRA GÖTALANDS LÄN</t>
        </is>
      </c>
      <c r="G189" t="inlineStr">
        <is>
          <t>MARIESTAD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46252</v>
      </c>
      <c r="F190" t="inlineStr">
        <is>
          <t>VÄSTRA GÖTALANDS LÄN</t>
        </is>
      </c>
      <c r="G190" t="inlineStr">
        <is>
          <t>MARIESTAD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46252</v>
      </c>
      <c r="F191" t="inlineStr">
        <is>
          <t>VÄSTRA GÖTALANDS LÄN</t>
        </is>
      </c>
      <c r="G191" t="inlineStr">
        <is>
          <t>MARIESTAD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70259-2021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46252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44957</v>
      </c>
      <c r="E193" s="1" t="n">
        <v>46252</v>
      </c>
      <c r="F193" t="inlineStr">
        <is>
          <t>VÄSTRA GÖTALANDS LÄN</t>
        </is>
      </c>
      <c r="G193" t="inlineStr">
        <is>
          <t>MARIESTAD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45393</v>
      </c>
      <c r="E194" s="1" t="n">
        <v>46252</v>
      </c>
      <c r="F194" t="inlineStr">
        <is>
          <t>VÄSTRA GÖTALANDS LÄN</t>
        </is>
      </c>
      <c r="G194" t="inlineStr">
        <is>
          <t>MARIESTAD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45371</v>
      </c>
      <c r="E195" s="1" t="n">
        <v>46252</v>
      </c>
      <c r="F195" t="inlineStr">
        <is>
          <t>VÄSTRA GÖTALANDS LÄN</t>
        </is>
      </c>
      <c r="G195" t="inlineStr">
        <is>
          <t>MARIESTAD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46252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Kyrkan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44622</v>
      </c>
      <c r="E197" s="1" t="n">
        <v>46252</v>
      </c>
      <c r="F197" t="inlineStr">
        <is>
          <t>VÄSTRA GÖTALANDS LÄN</t>
        </is>
      </c>
      <c r="G197" t="inlineStr">
        <is>
          <t>MARIESTAD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45516</v>
      </c>
      <c r="E198" s="1" t="n">
        <v>46252</v>
      </c>
      <c r="F198" t="inlineStr">
        <is>
          <t>VÄSTRA GÖTALANDS LÄN</t>
        </is>
      </c>
      <c r="G198" t="inlineStr">
        <is>
          <t>MARIESTAD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46252</v>
      </c>
      <c r="F199" t="inlineStr">
        <is>
          <t>VÄSTRA GÖTALANDS LÄN</t>
        </is>
      </c>
      <c r="G199" t="inlineStr">
        <is>
          <t>MARIESTAD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46252</v>
      </c>
      <c r="F200" t="inlineStr">
        <is>
          <t>VÄSTRA GÖTALANDS LÄN</t>
        </is>
      </c>
      <c r="G200" t="inlineStr">
        <is>
          <t>MARIESTAD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46252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46252</v>
      </c>
      <c r="F202" t="inlineStr">
        <is>
          <t>VÄSTRA GÖTALANDS LÄN</t>
        </is>
      </c>
      <c r="G202" t="inlineStr">
        <is>
          <t>MARIESTAD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46252</v>
      </c>
      <c r="F203" t="inlineStr">
        <is>
          <t>VÄSTRA GÖTALANDS LÄN</t>
        </is>
      </c>
      <c r="G203" t="inlineStr">
        <is>
          <t>MARIESTAD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46252</v>
      </c>
      <c r="F204" t="inlineStr">
        <is>
          <t>VÄSTRA GÖTALANDS LÄN</t>
        </is>
      </c>
      <c r="G204" t="inlineStr">
        <is>
          <t>MARIESTAD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45199</v>
      </c>
      <c r="E205" s="1" t="n">
        <v>46252</v>
      </c>
      <c r="F205" t="inlineStr">
        <is>
          <t>VÄSTRA GÖTALANDS LÄN</t>
        </is>
      </c>
      <c r="G205" t="inlineStr">
        <is>
          <t>MARIESTAD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44958</v>
      </c>
      <c r="E206" s="1" t="n">
        <v>46252</v>
      </c>
      <c r="F206" t="inlineStr">
        <is>
          <t>VÄSTRA GÖTALANDS LÄN</t>
        </is>
      </c>
      <c r="G206" t="inlineStr">
        <is>
          <t>MARIESTAD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45350</v>
      </c>
      <c r="E207" s="1" t="n">
        <v>46252</v>
      </c>
      <c r="F207" t="inlineStr">
        <is>
          <t>VÄSTRA GÖTALANDS LÄN</t>
        </is>
      </c>
      <c r="G207" t="inlineStr">
        <is>
          <t>MARIESTAD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46252</v>
      </c>
      <c r="F208" t="inlineStr">
        <is>
          <t>VÄSTRA GÖTALANDS LÄN</t>
        </is>
      </c>
      <c r="G208" t="inlineStr">
        <is>
          <t>MARIESTAD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46252</v>
      </c>
      <c r="F209" t="inlineStr">
        <is>
          <t>VÄSTRA GÖTALANDS LÄN</t>
        </is>
      </c>
      <c r="G209" t="inlineStr">
        <is>
          <t>MARIESTAD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46252</v>
      </c>
      <c r="F210" t="inlineStr">
        <is>
          <t>VÄSTRA GÖTALANDS LÄN</t>
        </is>
      </c>
      <c r="G210" t="inlineStr">
        <is>
          <t>MARIESTAD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46252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44774</v>
      </c>
      <c r="E212" s="1" t="n">
        <v>46252</v>
      </c>
      <c r="F212" t="inlineStr">
        <is>
          <t>VÄSTRA GÖTALANDS LÄN</t>
        </is>
      </c>
      <c r="G212" t="inlineStr">
        <is>
          <t>MARIESTAD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46252</v>
      </c>
      <c r="F213" t="inlineStr">
        <is>
          <t>VÄSTRA GÖTALANDS LÄN</t>
        </is>
      </c>
      <c r="G213" t="inlineStr">
        <is>
          <t>MARIESTAD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46252</v>
      </c>
      <c r="F214" t="inlineStr">
        <is>
          <t>VÄSTRA GÖTALANDS LÄN</t>
        </is>
      </c>
      <c r="G214" t="inlineStr">
        <is>
          <t>MARIESTAD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46252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46252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46252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46029</v>
      </c>
      <c r="E218" s="1" t="n">
        <v>46252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46252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44993</v>
      </c>
      <c r="E220" s="1" t="n">
        <v>46252</v>
      </c>
      <c r="F220" t="inlineStr">
        <is>
          <t>VÄSTRA GÖTALANDS LÄN</t>
        </is>
      </c>
      <c r="G220" t="inlineStr">
        <is>
          <t>MARIESTAD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46252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44836</v>
      </c>
      <c r="E222" s="1" t="n">
        <v>46252</v>
      </c>
      <c r="F222" t="inlineStr">
        <is>
          <t>VÄSTRA GÖTALANDS LÄN</t>
        </is>
      </c>
      <c r="G222" t="inlineStr">
        <is>
          <t>MARIESTAD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46252</v>
      </c>
      <c r="F223" t="inlineStr">
        <is>
          <t>VÄSTRA GÖTALANDS LÄN</t>
        </is>
      </c>
      <c r="G223" t="inlineStr">
        <is>
          <t>MARIESTAD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46252</v>
      </c>
      <c r="F224" t="inlineStr">
        <is>
          <t>VÄSTRA GÖTALANDS LÄN</t>
        </is>
      </c>
      <c r="G224" t="inlineStr">
        <is>
          <t>MARIESTAD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44890</v>
      </c>
      <c r="E225" s="1" t="n">
        <v>46252</v>
      </c>
      <c r="F225" t="inlineStr">
        <is>
          <t>VÄSTRA GÖTALANDS LÄN</t>
        </is>
      </c>
      <c r="G225" t="inlineStr">
        <is>
          <t>MARIESTAD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46252</v>
      </c>
      <c r="F226" t="inlineStr">
        <is>
          <t>VÄSTRA GÖTALANDS LÄN</t>
        </is>
      </c>
      <c r="G226" t="inlineStr">
        <is>
          <t>MARIESTAD</t>
        </is>
      </c>
      <c r="I226" t="n">
        <v>11.9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46252</v>
      </c>
      <c r="F227" t="inlineStr">
        <is>
          <t>VÄSTRA GÖTALANDS LÄN</t>
        </is>
      </c>
      <c r="G227" t="inlineStr">
        <is>
          <t>MARIESTAD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46252</v>
      </c>
      <c r="F228" t="inlineStr">
        <is>
          <t>VÄSTRA GÖTALANDS LÄN</t>
        </is>
      </c>
      <c r="G228" t="inlineStr">
        <is>
          <t>MARIESTAD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46252</v>
      </c>
      <c r="F229" t="inlineStr">
        <is>
          <t>VÄSTRA GÖTALANDS LÄN</t>
        </is>
      </c>
      <c r="G229" t="inlineStr">
        <is>
          <t>MARIESTAD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44447</v>
      </c>
      <c r="E230" s="1" t="n">
        <v>46252</v>
      </c>
      <c r="F230" t="inlineStr">
        <is>
          <t>VÄSTRA GÖTALANDS LÄN</t>
        </is>
      </c>
      <c r="G230" t="inlineStr">
        <is>
          <t>MARIESTAD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44843</v>
      </c>
      <c r="E231" s="1" t="n">
        <v>46252</v>
      </c>
      <c r="F231" t="inlineStr">
        <is>
          <t>VÄSTRA GÖTALANDS LÄN</t>
        </is>
      </c>
      <c r="G231" t="inlineStr">
        <is>
          <t>MARIESTAD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46252</v>
      </c>
      <c r="F232" t="inlineStr">
        <is>
          <t>VÄSTRA GÖTALANDS LÄN</t>
        </is>
      </c>
      <c r="G232" t="inlineStr">
        <is>
          <t>MARIESTAD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49932-2022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44865</v>
      </c>
      <c r="E233" s="1" t="n">
        <v>46252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46252</v>
      </c>
      <c r="F234" t="inlineStr">
        <is>
          <t>VÄSTRA GÖTALANDS LÄN</t>
        </is>
      </c>
      <c r="G234" t="inlineStr">
        <is>
          <t>MARIESTAD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44614</v>
      </c>
      <c r="E235" s="1" t="n">
        <v>46252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Kyrkan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46252</v>
      </c>
      <c r="F236" t="inlineStr">
        <is>
          <t>VÄSTRA GÖTALANDS LÄN</t>
        </is>
      </c>
      <c r="G236" t="inlineStr">
        <is>
          <t>MARIESTAD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44638</v>
      </c>
      <c r="E237" s="1" t="n">
        <v>46252</v>
      </c>
      <c r="F237" t="inlineStr">
        <is>
          <t>VÄSTRA GÖTALANDS LÄN</t>
        </is>
      </c>
      <c r="G237" t="inlineStr">
        <is>
          <t>MARIESTAD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46252</v>
      </c>
      <c r="F238" t="inlineStr">
        <is>
          <t>VÄSTRA GÖTALANDS LÄN</t>
        </is>
      </c>
      <c r="G238" t="inlineStr">
        <is>
          <t>MARIESTAD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45583</v>
      </c>
      <c r="E239" s="1" t="n">
        <v>46252</v>
      </c>
      <c r="F239" t="inlineStr">
        <is>
          <t>VÄSTRA GÖTALANDS LÄN</t>
        </is>
      </c>
      <c r="G239" t="inlineStr">
        <is>
          <t>MARIESTAD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46252</v>
      </c>
      <c r="F240" t="inlineStr">
        <is>
          <t>VÄSTRA GÖTALANDS LÄN</t>
        </is>
      </c>
      <c r="G240" t="inlineStr">
        <is>
          <t>MARIESTAD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46252</v>
      </c>
      <c r="F241" t="inlineStr">
        <is>
          <t>VÄSTRA GÖTALANDS LÄN</t>
        </is>
      </c>
      <c r="G241" t="inlineStr">
        <is>
          <t>MARIESTAD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46252</v>
      </c>
      <c r="F242" t="inlineStr">
        <is>
          <t>VÄSTRA GÖTALANDS LÄN</t>
        </is>
      </c>
      <c r="G242" t="inlineStr">
        <is>
          <t>MARIESTAD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46252</v>
      </c>
      <c r="F243" t="inlineStr">
        <is>
          <t>VÄSTRA GÖTALANDS LÄN</t>
        </is>
      </c>
      <c r="G243" t="inlineStr">
        <is>
          <t>MARIESTAD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46252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Kyrkan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44981</v>
      </c>
      <c r="E245" s="1" t="n">
        <v>46252</v>
      </c>
      <c r="F245" t="inlineStr">
        <is>
          <t>VÄSTRA GÖTALANDS LÄN</t>
        </is>
      </c>
      <c r="G245" t="inlineStr">
        <is>
          <t>MARIESTAD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45201</v>
      </c>
      <c r="E246" s="1" t="n">
        <v>46252</v>
      </c>
      <c r="F246" t="inlineStr">
        <is>
          <t>VÄSTRA GÖTALANDS LÄN</t>
        </is>
      </c>
      <c r="G246" t="inlineStr">
        <is>
          <t>MARIESTAD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45203</v>
      </c>
      <c r="E247" s="1" t="n">
        <v>46252</v>
      </c>
      <c r="F247" t="inlineStr">
        <is>
          <t>VÄSTRA GÖTALANDS LÄN</t>
        </is>
      </c>
      <c r="G247" t="inlineStr">
        <is>
          <t>MARIESTAD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46252</v>
      </c>
      <c r="F248" t="inlineStr">
        <is>
          <t>VÄSTRA GÖTALANDS LÄN</t>
        </is>
      </c>
      <c r="G248" t="inlineStr">
        <is>
          <t>MARIESTAD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44756</v>
      </c>
      <c r="E249" s="1" t="n">
        <v>46252</v>
      </c>
      <c r="F249" t="inlineStr">
        <is>
          <t>VÄSTRA GÖTALANDS LÄN</t>
        </is>
      </c>
      <c r="G249" t="inlineStr">
        <is>
          <t>MARIESTAD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46252</v>
      </c>
      <c r="F250" t="inlineStr">
        <is>
          <t>VÄSTRA GÖTALANDS LÄN</t>
        </is>
      </c>
      <c r="G250" t="inlineStr">
        <is>
          <t>MARIESTAD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46252</v>
      </c>
      <c r="F251" t="inlineStr">
        <is>
          <t>VÄSTRA GÖTALANDS LÄN</t>
        </is>
      </c>
      <c r="G251" t="inlineStr">
        <is>
          <t>MARIESTAD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46252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Kyrkan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46061</v>
      </c>
      <c r="E253" s="1" t="n">
        <v>46252</v>
      </c>
      <c r="F253" t="inlineStr">
        <is>
          <t>VÄSTRA GÖTALANDS LÄN</t>
        </is>
      </c>
      <c r="G253" t="inlineStr">
        <is>
          <t>MARIESTAD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46252</v>
      </c>
      <c r="F254" t="inlineStr">
        <is>
          <t>VÄSTRA GÖTALANDS LÄN</t>
        </is>
      </c>
      <c r="G254" t="inlineStr">
        <is>
          <t>MARIESTAD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46252</v>
      </c>
      <c r="F255" t="inlineStr">
        <is>
          <t>VÄSTRA GÖTALANDS LÄN</t>
        </is>
      </c>
      <c r="G255" t="inlineStr">
        <is>
          <t>MARIESTAD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46252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60376-2021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46252</v>
      </c>
      <c r="F257" t="inlineStr">
        <is>
          <t>VÄSTRA GÖTALANDS LÄN</t>
        </is>
      </c>
      <c r="G257" t="inlineStr">
        <is>
          <t>MARIESTAD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45200</v>
      </c>
      <c r="E258" s="1" t="n">
        <v>46252</v>
      </c>
      <c r="F258" t="inlineStr">
        <is>
          <t>VÄSTRA GÖTALANDS LÄN</t>
        </is>
      </c>
      <c r="G258" t="inlineStr">
        <is>
          <t>MARIESTAD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46252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Kyrkan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46252</v>
      </c>
      <c r="F260" t="inlineStr">
        <is>
          <t>VÄSTRA GÖTALANDS LÄN</t>
        </is>
      </c>
      <c r="G260" t="inlineStr">
        <is>
          <t>MARIESTAD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9558-2026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46071</v>
      </c>
      <c r="E261" s="1" t="n">
        <v>46252</v>
      </c>
      <c r="F261" t="inlineStr">
        <is>
          <t>VÄSTRA GÖTALANDS LÄN</t>
        </is>
      </c>
      <c r="G261" t="inlineStr">
        <is>
          <t>MARIESTAD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46252</v>
      </c>
      <c r="F262" t="inlineStr">
        <is>
          <t>VÄSTRA GÖTALANDS LÄN</t>
        </is>
      </c>
      <c r="G262" t="inlineStr">
        <is>
          <t>MARIESTAD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46252</v>
      </c>
      <c r="F263" t="inlineStr">
        <is>
          <t>VÄSTRA GÖTALANDS LÄN</t>
        </is>
      </c>
      <c r="G263" t="inlineStr">
        <is>
          <t>MARIESTAD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46077</v>
      </c>
      <c r="E264" s="1" t="n">
        <v>46252</v>
      </c>
      <c r="F264" t="inlineStr">
        <is>
          <t>VÄSTRA GÖTALANDS LÄN</t>
        </is>
      </c>
      <c r="G264" t="inlineStr">
        <is>
          <t>MARIESTAD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11216-2026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46080</v>
      </c>
      <c r="E265" s="1" t="n">
        <v>46252</v>
      </c>
      <c r="F265" t="inlineStr">
        <is>
          <t>VÄSTRA GÖTALANDS LÄN</t>
        </is>
      </c>
      <c r="G265" t="inlineStr">
        <is>
          <t>MARIESTAD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46252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46252</v>
      </c>
      <c r="F267" t="inlineStr">
        <is>
          <t>VÄSTRA GÖTALANDS LÄN</t>
        </is>
      </c>
      <c r="G267" t="inlineStr">
        <is>
          <t>MARIESTAD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12381-2026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46252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31230-2023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45114</v>
      </c>
      <c r="E269" s="1" t="n">
        <v>46252</v>
      </c>
      <c r="F269" t="inlineStr">
        <is>
          <t>VÄSTRA GÖTALANDS LÄN</t>
        </is>
      </c>
      <c r="G269" t="inlineStr">
        <is>
          <t>MARIESTAD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58598-2021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44489</v>
      </c>
      <c r="E270" s="1" t="n">
        <v>46252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65197-2023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45289</v>
      </c>
      <c r="E271" s="1" t="n">
        <v>46252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45548</v>
      </c>
      <c r="E272" s="1" t="n">
        <v>46252</v>
      </c>
      <c r="F272" t="inlineStr">
        <is>
          <t>VÄSTRA GÖTALANDS LÄN</t>
        </is>
      </c>
      <c r="G272" t="inlineStr">
        <is>
          <t>MARIESTAD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46252</v>
      </c>
      <c r="F273" t="inlineStr">
        <is>
          <t>VÄSTRA GÖTALANDS LÄN</t>
        </is>
      </c>
      <c r="G273" t="inlineStr">
        <is>
          <t>MARIESTAD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46252</v>
      </c>
      <c r="F274" t="inlineStr">
        <is>
          <t>VÄSTRA GÖTALANDS LÄN</t>
        </is>
      </c>
      <c r="G274" t="inlineStr">
        <is>
          <t>MARIESTAD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44881</v>
      </c>
      <c r="E275" s="1" t="n">
        <v>46252</v>
      </c>
      <c r="F275" t="inlineStr">
        <is>
          <t>VÄSTRA GÖTALANDS LÄN</t>
        </is>
      </c>
      <c r="G275" t="inlineStr">
        <is>
          <t>MARIESTAD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46252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46252</v>
      </c>
      <c r="F277" t="inlineStr">
        <is>
          <t>VÄSTRA GÖTALANDS LÄN</t>
        </is>
      </c>
      <c r="G277" t="inlineStr">
        <is>
          <t>MARIESTAD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74081-2021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44553</v>
      </c>
      <c r="E278" s="1" t="n">
        <v>46252</v>
      </c>
      <c r="F278" t="inlineStr">
        <is>
          <t>VÄSTRA GÖTALANDS LÄN</t>
        </is>
      </c>
      <c r="G278" t="inlineStr">
        <is>
          <t>MARIESTAD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46252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46252</v>
      </c>
      <c r="F280" t="inlineStr">
        <is>
          <t>VÄSTRA GÖTALANDS LÄN</t>
        </is>
      </c>
      <c r="G280" t="inlineStr">
        <is>
          <t>MARIESTAD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13798-2022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44649</v>
      </c>
      <c r="E281" s="1" t="n">
        <v>46252</v>
      </c>
      <c r="F281" t="inlineStr">
        <is>
          <t>VÄSTRA GÖTALANDS LÄN</t>
        </is>
      </c>
      <c r="G281" t="inlineStr">
        <is>
          <t>MARIESTAD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44617</v>
      </c>
      <c r="E282" s="1" t="n">
        <v>46252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Kyrkan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46252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45706</v>
      </c>
      <c r="E284" s="1" t="n">
        <v>46252</v>
      </c>
      <c r="F284" t="inlineStr">
        <is>
          <t>VÄSTRA GÖTALANDS LÄN</t>
        </is>
      </c>
      <c r="G284" t="inlineStr">
        <is>
          <t>MARIESTAD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45722</v>
      </c>
      <c r="E285" s="1" t="n">
        <v>46252</v>
      </c>
      <c r="F285" t="inlineStr">
        <is>
          <t>VÄSTRA GÖTALANDS LÄN</t>
        </is>
      </c>
      <c r="G285" t="inlineStr">
        <is>
          <t>MARIESTAD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44616</v>
      </c>
      <c r="E286" s="1" t="n">
        <v>46252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48273-2024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45590</v>
      </c>
      <c r="E287" s="1" t="n">
        <v>46252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Kyrkan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46252</v>
      </c>
      <c r="F288" t="inlineStr">
        <is>
          <t>VÄSTRA GÖTALANDS LÄN</t>
        </is>
      </c>
      <c r="G288" t="inlineStr">
        <is>
          <t>MARIESTAD</t>
        </is>
      </c>
      <c r="I288" t="n">
        <v>10.3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45751</v>
      </c>
      <c r="E289" s="1" t="n">
        <v>46252</v>
      </c>
      <c r="F289" t="inlineStr">
        <is>
          <t>VÄSTRA GÖTALANDS LÄN</t>
        </is>
      </c>
      <c r="G289" t="inlineStr">
        <is>
          <t>MARIESTAD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44999</v>
      </c>
      <c r="E290" s="1" t="n">
        <v>46252</v>
      </c>
      <c r="F290" t="inlineStr">
        <is>
          <t>VÄSTRA GÖTALANDS LÄN</t>
        </is>
      </c>
      <c r="G290" t="inlineStr">
        <is>
          <t>MARIESTAD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45200</v>
      </c>
      <c r="E291" s="1" t="n">
        <v>46252</v>
      </c>
      <c r="F291" t="inlineStr">
        <is>
          <t>VÄSTRA GÖTALANDS LÄN</t>
        </is>
      </c>
      <c r="G291" t="inlineStr">
        <is>
          <t>MARIESTAD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35097-2024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45528</v>
      </c>
      <c r="E292" s="1" t="n">
        <v>46252</v>
      </c>
      <c r="F292" t="inlineStr">
        <is>
          <t>VÄSTRA GÖTALANDS LÄN</t>
        </is>
      </c>
      <c r="G292" t="inlineStr">
        <is>
          <t>MARIESTAD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40455-2023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45170</v>
      </c>
      <c r="E293" s="1" t="n">
        <v>46252</v>
      </c>
      <c r="F293" t="inlineStr">
        <is>
          <t>VÄSTRA GÖTALANDS LÄN</t>
        </is>
      </c>
      <c r="G293" t="inlineStr">
        <is>
          <t>MARIESTAD</t>
        </is>
      </c>
      <c r="I293" t="n">
        <v>34.9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46252</v>
      </c>
      <c r="F294" t="inlineStr">
        <is>
          <t>VÄSTRA GÖTALANDS LÄN</t>
        </is>
      </c>
      <c r="G294" t="inlineStr">
        <is>
          <t>MARIESTAD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46555-2022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44848</v>
      </c>
      <c r="E295" s="1" t="n">
        <v>46252</v>
      </c>
      <c r="F295" t="inlineStr">
        <is>
          <t>VÄSTRA GÖTALANDS LÄN</t>
        </is>
      </c>
      <c r="G295" t="inlineStr">
        <is>
          <t>MARIESTAD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39766-2023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45167</v>
      </c>
      <c r="E296" s="1" t="n">
        <v>46252</v>
      </c>
      <c r="F296" t="inlineStr">
        <is>
          <t>VÄSTRA GÖTALANDS LÄN</t>
        </is>
      </c>
      <c r="G296" t="inlineStr">
        <is>
          <t>MARIESTAD</t>
        </is>
      </c>
      <c r="I296" t="n">
        <v>26.5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60812-2023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45260</v>
      </c>
      <c r="E297" s="1" t="n">
        <v>46252</v>
      </c>
      <c r="F297" t="inlineStr">
        <is>
          <t>VÄSTRA GÖTALANDS LÄN</t>
        </is>
      </c>
      <c r="G297" t="inlineStr">
        <is>
          <t>MARIESTAD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46252</v>
      </c>
      <c r="F298" t="inlineStr">
        <is>
          <t>VÄSTRA GÖTALANDS LÄN</t>
        </is>
      </c>
      <c r="G298" t="inlineStr">
        <is>
          <t>MARIESTAD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45875</v>
      </c>
      <c r="E299" s="1" t="n">
        <v>46252</v>
      </c>
      <c r="F299" t="inlineStr">
        <is>
          <t>VÄSTRA GÖTALANDS LÄN</t>
        </is>
      </c>
      <c r="G299" t="inlineStr">
        <is>
          <t>MARIESTAD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45516</v>
      </c>
      <c r="E300" s="1" t="n">
        <v>46252</v>
      </c>
      <c r="F300" t="inlineStr">
        <is>
          <t>VÄSTRA GÖTALANDS LÄN</t>
        </is>
      </c>
      <c r="G300" t="inlineStr">
        <is>
          <t>MARIESTAD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45560</v>
      </c>
      <c r="E301" s="1" t="n">
        <v>46252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44746</v>
      </c>
      <c r="E302" s="1" t="n">
        <v>46252</v>
      </c>
      <c r="F302" t="inlineStr">
        <is>
          <t>VÄSTRA GÖTALANDS LÄN</t>
        </is>
      </c>
      <c r="G302" t="inlineStr">
        <is>
          <t>MARIESTAD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46252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32799-2024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45516</v>
      </c>
      <c r="E304" s="1" t="n">
        <v>46252</v>
      </c>
      <c r="F304" t="inlineStr">
        <is>
          <t>VÄSTRA GÖTALANDS LÄN</t>
        </is>
      </c>
      <c r="G304" t="inlineStr">
        <is>
          <t>MARIESTAD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45674</v>
      </c>
      <c r="E305" s="1" t="n">
        <v>46252</v>
      </c>
      <c r="F305" t="inlineStr">
        <is>
          <t>VÄSTRA GÖTALANDS LÄN</t>
        </is>
      </c>
      <c r="G305" t="inlineStr">
        <is>
          <t>MARIESTAD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46252</v>
      </c>
      <c r="F306" t="inlineStr">
        <is>
          <t>VÄSTRA GÖTALANDS LÄN</t>
        </is>
      </c>
      <c r="G306" t="inlineStr">
        <is>
          <t>MARIESTAD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46252</v>
      </c>
      <c r="F307" t="inlineStr">
        <is>
          <t>VÄSTRA GÖTALANDS LÄN</t>
        </is>
      </c>
      <c r="G307" t="inlineStr">
        <is>
          <t>MARIESTAD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61716-2022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46252</v>
      </c>
      <c r="F308" t="inlineStr">
        <is>
          <t>VÄSTRA GÖTALANDS LÄN</t>
        </is>
      </c>
      <c r="G308" t="inlineStr">
        <is>
          <t>MARIESTAD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46252</v>
      </c>
      <c r="F309" t="inlineStr">
        <is>
          <t>VÄSTRA GÖTALANDS LÄN</t>
        </is>
      </c>
      <c r="G309" t="inlineStr">
        <is>
          <t>MARIESTAD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46252</v>
      </c>
      <c r="F310" t="inlineStr">
        <is>
          <t>VÄSTRA GÖTALANDS LÄN</t>
        </is>
      </c>
      <c r="G310" t="inlineStr">
        <is>
          <t>MARIESTAD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45691</v>
      </c>
      <c r="E311" s="1" t="n">
        <v>46252</v>
      </c>
      <c r="F311" t="inlineStr">
        <is>
          <t>VÄSTRA GÖTALANDS LÄN</t>
        </is>
      </c>
      <c r="G311" t="inlineStr">
        <is>
          <t>MARIESTAD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61603-2023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45265</v>
      </c>
      <c r="E312" s="1" t="n">
        <v>46252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46252</v>
      </c>
      <c r="F313" t="inlineStr">
        <is>
          <t>VÄSTRA GÖTALANDS LÄN</t>
        </is>
      </c>
      <c r="G313" t="inlineStr">
        <is>
          <t>MARIESTAD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45720</v>
      </c>
      <c r="E314" s="1" t="n">
        <v>46252</v>
      </c>
      <c r="F314" t="inlineStr">
        <is>
          <t>VÄSTRA GÖTALANDS LÄN</t>
        </is>
      </c>
      <c r="G314" t="inlineStr">
        <is>
          <t>MARIESTAD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45299</v>
      </c>
      <c r="E315" s="1" t="n">
        <v>46252</v>
      </c>
      <c r="F315" t="inlineStr">
        <is>
          <t>VÄSTRA GÖTALANDS LÄN</t>
        </is>
      </c>
      <c r="G315" t="inlineStr">
        <is>
          <t>MARIESTAD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46252</v>
      </c>
      <c r="F316" t="inlineStr">
        <is>
          <t>VÄSTRA GÖTALANDS LÄN</t>
        </is>
      </c>
      <c r="G316" t="inlineStr">
        <is>
          <t>MARIESTAD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46252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45783</v>
      </c>
      <c r="E318" s="1" t="n">
        <v>46252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45783</v>
      </c>
      <c r="E319" s="1" t="n">
        <v>46252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45783</v>
      </c>
      <c r="E320" s="1" t="n">
        <v>46252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46252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46655-2021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44445</v>
      </c>
      <c r="E322" s="1" t="n">
        <v>46252</v>
      </c>
      <c r="F322" t="inlineStr">
        <is>
          <t>VÄSTRA GÖTALANDS LÄN</t>
        </is>
      </c>
      <c r="G322" t="inlineStr">
        <is>
          <t>MARIESTAD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46252</v>
      </c>
      <c r="F323" t="inlineStr">
        <is>
          <t>VÄSTRA GÖTALANDS LÄN</t>
        </is>
      </c>
      <c r="G323" t="inlineStr">
        <is>
          <t>MARIESTAD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30192-2026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46252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45307</v>
      </c>
      <c r="E325" s="1" t="n">
        <v>46252</v>
      </c>
      <c r="F325" t="inlineStr">
        <is>
          <t>VÄSTRA GÖTALANDS LÄN</t>
        </is>
      </c>
      <c r="G325" t="inlineStr">
        <is>
          <t>MARIESTAD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46157</v>
      </c>
      <c r="E326" s="1" t="n">
        <v>46252</v>
      </c>
      <c r="F326" t="inlineStr">
        <is>
          <t>VÄSTRA GÖTALANDS LÄN</t>
        </is>
      </c>
      <c r="G326" t="inlineStr">
        <is>
          <t>MARIESTAD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46252</v>
      </c>
      <c r="F327" t="inlineStr">
        <is>
          <t>VÄSTRA GÖTALANDS LÄN</t>
        </is>
      </c>
      <c r="G327" t="inlineStr">
        <is>
          <t>MARIESTAD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46252</v>
      </c>
      <c r="F328" t="inlineStr">
        <is>
          <t>VÄSTRA GÖTALANDS LÄN</t>
        </is>
      </c>
      <c r="G328" t="inlineStr">
        <is>
          <t>MARIESTAD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21361-2026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46142</v>
      </c>
      <c r="E329" s="1" t="n">
        <v>46252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Kyrkan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48324-2024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45590</v>
      </c>
      <c r="E330" s="1" t="n">
        <v>46252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38376-2024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46252</v>
      </c>
      <c r="F331" t="inlineStr">
        <is>
          <t>VÄSTRA GÖTALANDS LÄN</t>
        </is>
      </c>
      <c r="G331" t="inlineStr">
        <is>
          <t>MARIESTAD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66772-2021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44521</v>
      </c>
      <c r="E332" s="1" t="n">
        <v>46252</v>
      </c>
      <c r="F332" t="inlineStr">
        <is>
          <t>VÄSTRA GÖTALANDS LÄN</t>
        </is>
      </c>
      <c r="G332" t="inlineStr">
        <is>
          <t>MARIESTAD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45705</v>
      </c>
      <c r="E333" s="1" t="n">
        <v>46252</v>
      </c>
      <c r="F333" t="inlineStr">
        <is>
          <t>VÄSTRA GÖTALANDS LÄN</t>
        </is>
      </c>
      <c r="G333" t="inlineStr">
        <is>
          <t>MARIESTAD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46252</v>
      </c>
      <c r="F334" t="inlineStr">
        <is>
          <t>VÄSTRA GÖTALANDS LÄN</t>
        </is>
      </c>
      <c r="G334" t="inlineStr">
        <is>
          <t>MARIESTAD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45211</v>
      </c>
      <c r="E335" s="1" t="n">
        <v>46252</v>
      </c>
      <c r="F335" t="inlineStr">
        <is>
          <t>VÄSTRA GÖTALANDS LÄN</t>
        </is>
      </c>
      <c r="G335" t="inlineStr">
        <is>
          <t>MARIESTAD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45728</v>
      </c>
      <c r="E336" s="1" t="n">
        <v>46252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46252</v>
      </c>
      <c r="F337" t="inlineStr">
        <is>
          <t>VÄSTRA GÖTALANDS LÄN</t>
        </is>
      </c>
      <c r="G337" t="inlineStr">
        <is>
          <t>MARIESTAD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46252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46252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45502</v>
      </c>
      <c r="E340" s="1" t="n">
        <v>46252</v>
      </c>
      <c r="F340" t="inlineStr">
        <is>
          <t>VÄSTRA GÖTALANDS LÄN</t>
        </is>
      </c>
      <c r="G340" t="inlineStr">
        <is>
          <t>MARIESTAD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46252</v>
      </c>
      <c r="F341" t="inlineStr">
        <is>
          <t>VÄSTRA GÖTALANDS LÄN</t>
        </is>
      </c>
      <c r="G341" t="inlineStr">
        <is>
          <t>MARIESTAD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46252</v>
      </c>
      <c r="F342" t="inlineStr">
        <is>
          <t>VÄSTRA GÖTALANDS LÄN</t>
        </is>
      </c>
      <c r="G342" t="inlineStr">
        <is>
          <t>MARIESTAD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46252</v>
      </c>
      <c r="F343" t="inlineStr">
        <is>
          <t>VÄSTRA GÖTALANDS LÄN</t>
        </is>
      </c>
      <c r="G343" t="inlineStr">
        <is>
          <t>MARIESTAD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45331</v>
      </c>
      <c r="E344" s="1" t="n">
        <v>46252</v>
      </c>
      <c r="F344" t="inlineStr">
        <is>
          <t>VÄSTRA GÖTALANDS LÄN</t>
        </is>
      </c>
      <c r="G344" t="inlineStr">
        <is>
          <t>MARIESTAD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52869-2024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45610</v>
      </c>
      <c r="E345" s="1" t="n">
        <v>46252</v>
      </c>
      <c r="F345" t="inlineStr">
        <is>
          <t>VÄSTRA GÖTALANDS LÄN</t>
        </is>
      </c>
      <c r="G345" t="inlineStr">
        <is>
          <t>MARIESTAD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46252</v>
      </c>
      <c r="F346" t="inlineStr">
        <is>
          <t>VÄSTRA GÖTALANDS LÄN</t>
        </is>
      </c>
      <c r="G346" t="inlineStr">
        <is>
          <t>MARIESTAD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46252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46252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58154-2025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45982</v>
      </c>
      <c r="E349" s="1" t="n">
        <v>46252</v>
      </c>
      <c r="F349" t="inlineStr">
        <is>
          <t>VÄSTRA GÖTALANDS LÄN</t>
        </is>
      </c>
      <c r="G349" t="inlineStr">
        <is>
          <t>MARIESTAD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46169</v>
      </c>
      <c r="E350" s="1" t="n">
        <v>46252</v>
      </c>
      <c r="F350" t="inlineStr">
        <is>
          <t>VÄSTRA GÖTALANDS LÄN</t>
        </is>
      </c>
      <c r="G350" t="inlineStr">
        <is>
          <t>MARIESTAD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46252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46252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46252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46252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46252</v>
      </c>
      <c r="F355" t="inlineStr">
        <is>
          <t>VÄSTRA GÖTALANDS LÄN</t>
        </is>
      </c>
      <c r="G355" t="inlineStr">
        <is>
          <t>MARIESTAD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46171</v>
      </c>
      <c r="E356" s="1" t="n">
        <v>46252</v>
      </c>
      <c r="F356" t="inlineStr">
        <is>
          <t>VÄSTRA GÖTALANDS LÄN</t>
        </is>
      </c>
      <c r="G356" t="inlineStr">
        <is>
          <t>MARIESTAD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45804</v>
      </c>
      <c r="E357" s="1" t="n">
        <v>46252</v>
      </c>
      <c r="F357" t="inlineStr">
        <is>
          <t>VÄSTRA GÖTALANDS LÄN</t>
        </is>
      </c>
      <c r="G357" t="inlineStr">
        <is>
          <t>MARIESTAD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46171</v>
      </c>
      <c r="E358" s="1" t="n">
        <v>46252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45754</v>
      </c>
      <c r="E359" s="1" t="n">
        <v>46252</v>
      </c>
      <c r="F359" t="inlineStr">
        <is>
          <t>VÄSTRA GÖTALANDS LÄN</t>
        </is>
      </c>
      <c r="G359" t="inlineStr">
        <is>
          <t>MARIESTAD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4868-2024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45618</v>
      </c>
      <c r="E360" s="1" t="n">
        <v>46252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1204-2025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45757</v>
      </c>
      <c r="E361" s="1" t="n">
        <v>46252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359-2026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46064</v>
      </c>
      <c r="E362" s="1" t="n">
        <v>46252</v>
      </c>
      <c r="F362" t="inlineStr">
        <is>
          <t>VÄSTRA GÖTALANDS LÄN</t>
        </is>
      </c>
      <c r="G362" t="inlineStr">
        <is>
          <t>MARIESTAD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2026-08-18T01:45:48Z</dcterms:created>
  <dcterms:modified xmlns:dcterms="http://purl.org/dc/terms/" xmlns:xsi="http://www.w3.org/2001/XMLSchema-instance" xsi:type="dcterms:W3CDTF">2026-08-18T01:45:48Z</dcterms:modified>
</cp:coreProperties>
</file>