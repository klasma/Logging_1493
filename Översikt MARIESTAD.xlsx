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45723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45723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45723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45723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45723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8319-2025</t>
        </is>
      </c>
      <c r="B7" s="1" t="n">
        <v>45708</v>
      </c>
      <c r="C7" s="1" t="n">
        <v>45723</v>
      </c>
      <c r="D7" t="inlineStr">
        <is>
          <t>VÄSTRA GÖTALANDS LÄN</t>
        </is>
      </c>
      <c r="E7" t="inlineStr">
        <is>
          <t>MARIESTAD</t>
        </is>
      </c>
      <c r="G7" t="n">
        <v>4.5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Igelkott
Talltita
Järnsparv
Kungsfågel</t>
        </is>
      </c>
      <c r="S7">
        <f>HYPERLINK("https://klasma.github.io/Logging_1493/artfynd/A 8319-2025 artfynd.xlsx", "A 8319-2025")</f>
        <v/>
      </c>
      <c r="T7">
        <f>HYPERLINK("https://klasma.github.io/Logging_1493/kartor/A 8319-2025 karta.png", "A 8319-2025")</f>
        <v/>
      </c>
      <c r="V7">
        <f>HYPERLINK("https://klasma.github.io/Logging_1493/klagomål/A 8319-2025 FSC-klagomål.docx", "A 8319-2025")</f>
        <v/>
      </c>
      <c r="W7">
        <f>HYPERLINK("https://klasma.github.io/Logging_1493/klagomålsmail/A 8319-2025 FSC-klagomål mail.docx", "A 8319-2025")</f>
        <v/>
      </c>
      <c r="X7">
        <f>HYPERLINK("https://klasma.github.io/Logging_1493/tillsyn/A 8319-2025 tillsynsbegäran.docx", "A 8319-2025")</f>
        <v/>
      </c>
      <c r="Y7">
        <f>HYPERLINK("https://klasma.github.io/Logging_1493/tillsynsmail/A 8319-2025 tillsynsbegäran mail.docx", "A 8319-2025")</f>
        <v/>
      </c>
      <c r="Z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s="1" t="n">
        <v>44648</v>
      </c>
      <c r="C8" s="1" t="n">
        <v>45723</v>
      </c>
      <c r="D8" t="inlineStr">
        <is>
          <t>VÄSTRA GÖTALANDS LÄN</t>
        </is>
      </c>
      <c r="E8" t="inlineStr">
        <is>
          <t>MARIESTAD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padda</t>
        </is>
      </c>
      <c r="S8">
        <f>HYPERLINK("https://klasma.github.io/Logging_1493/artfynd/A 13606-2022 artfynd.xlsx", "A 13606-2022")</f>
        <v/>
      </c>
      <c r="T8">
        <f>HYPERLINK("https://klasma.github.io/Logging_1493/kartor/A 13606-2022 karta.png", "A 13606-2022")</f>
        <v/>
      </c>
      <c r="V8">
        <f>HYPERLINK("https://klasma.github.io/Logging_1493/klagomål/A 13606-2022 FSC-klagomål.docx", "A 13606-2022")</f>
        <v/>
      </c>
      <c r="W8">
        <f>HYPERLINK("https://klasma.github.io/Logging_1493/klagomålsmail/A 13606-2022 FSC-klagomål mail.docx", "A 13606-2022")</f>
        <v/>
      </c>
      <c r="X8">
        <f>HYPERLINK("https://klasma.github.io/Logging_1493/tillsyn/A 13606-2022 tillsynsbegäran.docx", "A 13606-2022")</f>
        <v/>
      </c>
      <c r="Y8">
        <f>HYPERLINK("https://klasma.github.io/Logging_1493/tillsynsmail/A 13606-2022 tillsynsbegäran mail.docx", "A 13606-2022")</f>
        <v/>
      </c>
    </row>
    <row r="9" ht="15" customHeight="1">
      <c r="A9" t="inlineStr">
        <is>
          <t>A 68630-2020</t>
        </is>
      </c>
      <c r="B9" s="1" t="n">
        <v>44186</v>
      </c>
      <c r="C9" s="1" t="n">
        <v>45723</v>
      </c>
      <c r="D9" t="inlineStr">
        <is>
          <t>VÄSTRA GÖTALANDS LÄN</t>
        </is>
      </c>
      <c r="E9" t="inlineStr">
        <is>
          <t>MARIESTAD</t>
        </is>
      </c>
      <c r="G9" t="n">
        <v>6.5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Färgginst
Västlig hakmossa</t>
        </is>
      </c>
      <c r="S9">
        <f>HYPERLINK("https://klasma.github.io/Logging_1493/artfynd/A 68630-2020 artfynd.xlsx", "A 68630-2020")</f>
        <v/>
      </c>
      <c r="T9">
        <f>HYPERLINK("https://klasma.github.io/Logging_1493/kartor/A 68630-2020 karta.png", "A 68630-2020")</f>
        <v/>
      </c>
      <c r="U9">
        <f>HYPERLINK("https://klasma.github.io/Logging_1493/knärot/A 68630-2020 karta knärot.png", "A 68630-2020")</f>
        <v/>
      </c>
      <c r="V9">
        <f>HYPERLINK("https://klasma.github.io/Logging_1493/klagomål/A 68630-2020 FSC-klagomål.docx", "A 68630-2020")</f>
        <v/>
      </c>
      <c r="W9">
        <f>HYPERLINK("https://klasma.github.io/Logging_1493/klagomålsmail/A 68630-2020 FSC-klagomål mail.docx", "A 68630-2020")</f>
        <v/>
      </c>
      <c r="X9">
        <f>HYPERLINK("https://klasma.github.io/Logging_1493/tillsyn/A 68630-2020 tillsynsbegäran.docx", "A 68630-2020")</f>
        <v/>
      </c>
      <c r="Y9">
        <f>HYPERLINK("https://klasma.github.io/Logging_1493/tillsynsmail/A 68630-2020 tillsynsbegäran mail.docx", "A 68630-2020")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45723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45723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14947-2023</t>
        </is>
      </c>
      <c r="B12" s="1" t="n">
        <v>45015</v>
      </c>
      <c r="C12" s="1" t="n">
        <v>45723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46886-2023</t>
        </is>
      </c>
      <c r="B13" s="1" t="n">
        <v>45201</v>
      </c>
      <c r="C13" s="1" t="n">
        <v>45723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47764-2023</t>
        </is>
      </c>
      <c r="B14" s="1" t="n">
        <v>45203</v>
      </c>
      <c r="C14" s="1" t="n">
        <v>45723</v>
      </c>
      <c r="D14" t="inlineStr">
        <is>
          <t>VÄSTRA GÖTALANDS LÄN</t>
        </is>
      </c>
      <c r="E14" t="inlineStr">
        <is>
          <t>MARIESTAD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HYPERLINK("https://klasma.github.io/Logging_1493/artfynd/A 47764-2023 artfynd.xlsx", "A 47764-2023")</f>
        <v/>
      </c>
      <c r="T14">
        <f>HYPERLINK("https://klasma.github.io/Logging_1493/kartor/A 47764-2023 karta.png", "A 47764-2023")</f>
        <v/>
      </c>
      <c r="V14">
        <f>HYPERLINK("https://klasma.github.io/Logging_1493/klagomål/A 47764-2023 FSC-klagomål.docx", "A 47764-2023")</f>
        <v/>
      </c>
      <c r="W14">
        <f>HYPERLINK("https://klasma.github.io/Logging_1493/klagomålsmail/A 47764-2023 FSC-klagomål mail.docx", "A 47764-2023")</f>
        <v/>
      </c>
      <c r="X14">
        <f>HYPERLINK("https://klasma.github.io/Logging_1493/tillsyn/A 47764-2023 tillsynsbegäran.docx", "A 47764-2023")</f>
        <v/>
      </c>
      <c r="Y14">
        <f>HYPERLINK("https://klasma.github.io/Logging_1493/tillsynsmail/A 47764-2023 tillsynsbegäran mail.docx", "A 47764-2023")</f>
        <v/>
      </c>
    </row>
    <row r="15" ht="15" customHeight="1">
      <c r="A15" t="inlineStr">
        <is>
          <t>A 8030-2024</t>
        </is>
      </c>
      <c r="B15" s="1" t="n">
        <v>45350</v>
      </c>
      <c r="C15" s="1" t="n">
        <v>45723</v>
      </c>
      <c r="D15" t="inlineStr">
        <is>
          <t>VÄSTRA GÖTALANDS LÄN</t>
        </is>
      </c>
      <c r="E15" t="inlineStr">
        <is>
          <t>MARIESTAD</t>
        </is>
      </c>
      <c r="G15" t="n">
        <v>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Åkergroda
Vanlig groda</t>
        </is>
      </c>
      <c r="S15">
        <f>HYPERLINK("https://klasma.github.io/Logging_1493/artfynd/A 8030-2024 artfynd.xlsx", "A 8030-2024")</f>
        <v/>
      </c>
      <c r="T15">
        <f>HYPERLINK("https://klasma.github.io/Logging_1493/kartor/A 8030-2024 karta.png", "A 8030-2024")</f>
        <v/>
      </c>
      <c r="V15">
        <f>HYPERLINK("https://klasma.github.io/Logging_1493/klagomål/A 8030-2024 FSC-klagomål.docx", "A 8030-2024")</f>
        <v/>
      </c>
      <c r="W15">
        <f>HYPERLINK("https://klasma.github.io/Logging_1493/klagomålsmail/A 8030-2024 FSC-klagomål mail.docx", "A 8030-2024")</f>
        <v/>
      </c>
      <c r="X15">
        <f>HYPERLINK("https://klasma.github.io/Logging_1493/tillsyn/A 8030-2024 tillsynsbegäran.docx", "A 8030-2024")</f>
        <v/>
      </c>
      <c r="Y15">
        <f>HYPERLINK("https://klasma.github.io/Logging_1493/tillsynsmail/A 8030-2024 tillsynsbegäran mail.docx", "A 8030-2024")</f>
        <v/>
      </c>
    </row>
    <row r="16" ht="15" customHeight="1">
      <c r="A16" t="inlineStr">
        <is>
          <t>A 18498-2019</t>
        </is>
      </c>
      <c r="B16" s="1" t="n">
        <v>43559</v>
      </c>
      <c r="C16" s="1" t="n">
        <v>45723</v>
      </c>
      <c r="D16" t="inlineStr">
        <is>
          <t>VÄSTRA GÖTALANDS LÄN</t>
        </is>
      </c>
      <c r="E16" t="inlineStr">
        <is>
          <t>MARIESTAD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Backmåra</t>
        </is>
      </c>
      <c r="S16">
        <f>HYPERLINK("https://klasma.github.io/Logging_1493/artfynd/A 18498-2019 artfynd.xlsx", "A 18498-2019")</f>
        <v/>
      </c>
      <c r="T16">
        <f>HYPERLINK("https://klasma.github.io/Logging_1493/kartor/A 18498-2019 karta.png", "A 18498-2019")</f>
        <v/>
      </c>
      <c r="V16">
        <f>HYPERLINK("https://klasma.github.io/Logging_1493/klagomål/A 18498-2019 FSC-klagomål.docx", "A 18498-2019")</f>
        <v/>
      </c>
      <c r="W16">
        <f>HYPERLINK("https://klasma.github.io/Logging_1493/klagomålsmail/A 18498-2019 FSC-klagomål mail.docx", "A 18498-2019")</f>
        <v/>
      </c>
      <c r="X16">
        <f>HYPERLINK("https://klasma.github.io/Logging_1493/tillsyn/A 18498-2019 tillsynsbegäran.docx", "A 18498-2019")</f>
        <v/>
      </c>
      <c r="Y16">
        <f>HYPERLINK("https://klasma.github.io/Logging_1493/tillsynsmail/A 18498-2019 tillsynsbegäran mail.docx", "A 18498-2019")</f>
        <v/>
      </c>
    </row>
    <row r="17" ht="15" customHeight="1">
      <c r="A17" t="inlineStr">
        <is>
          <t>A 33716-2019</t>
        </is>
      </c>
      <c r="B17" s="1" t="n">
        <v>43651</v>
      </c>
      <c r="C17" s="1" t="n">
        <v>45723</v>
      </c>
      <c r="D17" t="inlineStr">
        <is>
          <t>VÄSTRA GÖTALANDS LÄN</t>
        </is>
      </c>
      <c r="E17" t="inlineStr">
        <is>
          <t>MARIESTAD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33716-2019 artfynd.xlsx", "A 33716-2019")</f>
        <v/>
      </c>
      <c r="T17">
        <f>HYPERLINK("https://klasma.github.io/Logging_1493/kartor/A 33716-2019 karta.png", "A 33716-2019")</f>
        <v/>
      </c>
      <c r="V17">
        <f>HYPERLINK("https://klasma.github.io/Logging_1493/klagomål/A 33716-2019 FSC-klagomål.docx", "A 33716-2019")</f>
        <v/>
      </c>
      <c r="W17">
        <f>HYPERLINK("https://klasma.github.io/Logging_1493/klagomålsmail/A 33716-2019 FSC-klagomål mail.docx", "A 33716-2019")</f>
        <v/>
      </c>
      <c r="X17">
        <f>HYPERLINK("https://klasma.github.io/Logging_1493/tillsyn/A 33716-2019 tillsynsbegäran.docx", "A 33716-2019")</f>
        <v/>
      </c>
      <c r="Y17">
        <f>HYPERLINK("https://klasma.github.io/Logging_1493/tillsynsmail/A 33716-2019 tillsynsbegäran mail.docx", "A 33716-2019")</f>
        <v/>
      </c>
    </row>
    <row r="18" ht="15" customHeight="1">
      <c r="A18" t="inlineStr">
        <is>
          <t>A 63818-2019</t>
        </is>
      </c>
      <c r="B18" s="1" t="n">
        <v>43795</v>
      </c>
      <c r="C18" s="1" t="n">
        <v>45723</v>
      </c>
      <c r="D18" t="inlineStr">
        <is>
          <t>VÄSTRA GÖTALANDS LÄN</t>
        </is>
      </c>
      <c r="E18" t="inlineStr">
        <is>
          <t>MARIESTAD</t>
        </is>
      </c>
      <c r="G18" t="n">
        <v>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63818-2019 artfynd.xlsx", "A 63818-2019")</f>
        <v/>
      </c>
      <c r="T18">
        <f>HYPERLINK("https://klasma.github.io/Logging_1493/kartor/A 63818-2019 karta.png", "A 63818-2019")</f>
        <v/>
      </c>
      <c r="V18">
        <f>HYPERLINK("https://klasma.github.io/Logging_1493/klagomål/A 63818-2019 FSC-klagomål.docx", "A 63818-2019")</f>
        <v/>
      </c>
      <c r="W18">
        <f>HYPERLINK("https://klasma.github.io/Logging_1493/klagomålsmail/A 63818-2019 FSC-klagomål mail.docx", "A 63818-2019")</f>
        <v/>
      </c>
      <c r="X18">
        <f>HYPERLINK("https://klasma.github.io/Logging_1493/tillsyn/A 63818-2019 tillsynsbegäran.docx", "A 63818-2019")</f>
        <v/>
      </c>
      <c r="Y18">
        <f>HYPERLINK("https://klasma.github.io/Logging_1493/tillsynsmail/A 63818-2019 tillsynsbegäran mail.docx", "A 63818-2019")</f>
        <v/>
      </c>
    </row>
    <row r="19" ht="15" customHeight="1">
      <c r="A19" t="inlineStr">
        <is>
          <t>A 37323-2020</t>
        </is>
      </c>
      <c r="B19" s="1" t="n">
        <v>44055</v>
      </c>
      <c r="C19" s="1" t="n">
        <v>45723</v>
      </c>
      <c r="D19" t="inlineStr">
        <is>
          <t>VÄSTRA GÖTALANDS LÄN</t>
        </is>
      </c>
      <c r="E19" t="inlineStr">
        <is>
          <t>MARIESTAD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HYPERLINK("https://klasma.github.io/Logging_1493/artfynd/A 37323-2020 artfynd.xlsx", "A 37323-2020")</f>
        <v/>
      </c>
      <c r="T19">
        <f>HYPERLINK("https://klasma.github.io/Logging_1493/kartor/A 37323-2020 karta.png", "A 37323-2020")</f>
        <v/>
      </c>
      <c r="V19">
        <f>HYPERLINK("https://klasma.github.io/Logging_1493/klagomål/A 37323-2020 FSC-klagomål.docx", "A 37323-2020")</f>
        <v/>
      </c>
      <c r="W19">
        <f>HYPERLINK("https://klasma.github.io/Logging_1493/klagomålsmail/A 37323-2020 FSC-klagomål mail.docx", "A 37323-2020")</f>
        <v/>
      </c>
      <c r="X19">
        <f>HYPERLINK("https://klasma.github.io/Logging_1493/tillsyn/A 37323-2020 tillsynsbegäran.docx", "A 37323-2020")</f>
        <v/>
      </c>
      <c r="Y19">
        <f>HYPERLINK("https://klasma.github.io/Logging_1493/tillsynsmail/A 37323-2020 tillsynsbegäran mail.docx", "A 37323-2020")</f>
        <v/>
      </c>
    </row>
    <row r="20" ht="15" customHeight="1">
      <c r="A20" t="inlineStr">
        <is>
          <t>A 50811-2020</t>
        </is>
      </c>
      <c r="B20" s="1" t="n">
        <v>44111</v>
      </c>
      <c r="C20" s="1" t="n">
        <v>45723</v>
      </c>
      <c r="D20" t="inlineStr">
        <is>
          <t>VÄSTRA GÖTALANDS LÄN</t>
        </is>
      </c>
      <c r="E20" t="inlineStr">
        <is>
          <t>MARIESTAD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50811-2020 artfynd.xlsx", "A 50811-2020")</f>
        <v/>
      </c>
      <c r="T20">
        <f>HYPERLINK("https://klasma.github.io/Logging_1493/kartor/A 50811-2020 karta.png", "A 50811-2020")</f>
        <v/>
      </c>
      <c r="V20">
        <f>HYPERLINK("https://klasma.github.io/Logging_1493/klagomål/A 50811-2020 FSC-klagomål.docx", "A 50811-2020")</f>
        <v/>
      </c>
      <c r="W20">
        <f>HYPERLINK("https://klasma.github.io/Logging_1493/klagomålsmail/A 50811-2020 FSC-klagomål mail.docx", "A 50811-2020")</f>
        <v/>
      </c>
      <c r="X20">
        <f>HYPERLINK("https://klasma.github.io/Logging_1493/tillsyn/A 50811-2020 tillsynsbegäran.docx", "A 50811-2020")</f>
        <v/>
      </c>
      <c r="Y20">
        <f>HYPERLINK("https://klasma.github.io/Logging_1493/tillsynsmail/A 50811-2020 tillsynsbegäran mail.docx", "A 50811-2020")</f>
        <v/>
      </c>
    </row>
    <row r="21" ht="15" customHeight="1">
      <c r="A21" t="inlineStr">
        <is>
          <t>A 56400-2020</t>
        </is>
      </c>
      <c r="B21" s="1" t="n">
        <v>44137</v>
      </c>
      <c r="C21" s="1" t="n">
        <v>45723</v>
      </c>
      <c r="D21" t="inlineStr">
        <is>
          <t>VÄSTRA GÖTALANDS LÄN</t>
        </is>
      </c>
      <c r="E21" t="inlineStr">
        <is>
          <t>MARIESTAD</t>
        </is>
      </c>
      <c r="G21" t="n">
        <v>3.9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56400-2020 artfynd.xlsx", "A 56400-2020")</f>
        <v/>
      </c>
      <c r="T21">
        <f>HYPERLINK("https://klasma.github.io/Logging_1493/kartor/A 56400-2020 karta.png", "A 56400-2020")</f>
        <v/>
      </c>
      <c r="V21">
        <f>HYPERLINK("https://klasma.github.io/Logging_1493/klagomål/A 56400-2020 FSC-klagomål.docx", "A 56400-2020")</f>
        <v/>
      </c>
      <c r="W21">
        <f>HYPERLINK("https://klasma.github.io/Logging_1493/klagomålsmail/A 56400-2020 FSC-klagomål mail.docx", "A 56400-2020")</f>
        <v/>
      </c>
      <c r="X21">
        <f>HYPERLINK("https://klasma.github.io/Logging_1493/tillsyn/A 56400-2020 tillsynsbegäran.docx", "A 56400-2020")</f>
        <v/>
      </c>
      <c r="Y21">
        <f>HYPERLINK("https://klasma.github.io/Logging_1493/tillsynsmail/A 56400-2020 tillsynsbegäran mail.docx", "A 56400-2020")</f>
        <v/>
      </c>
    </row>
    <row r="22" ht="15" customHeight="1">
      <c r="A22" t="inlineStr">
        <is>
          <t>A 64046-2020</t>
        </is>
      </c>
      <c r="B22" s="1" t="n">
        <v>44167</v>
      </c>
      <c r="C22" s="1" t="n">
        <v>45723</v>
      </c>
      <c r="D22" t="inlineStr">
        <is>
          <t>VÄSTRA GÖTALANDS LÄN</t>
        </is>
      </c>
      <c r="E22" t="inlineStr">
        <is>
          <t>MARIESTAD</t>
        </is>
      </c>
      <c r="G22" t="n">
        <v>12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HYPERLINK("https://klasma.github.io/Logging_1493/artfynd/A 64046-2020 artfynd.xlsx", "A 64046-2020")</f>
        <v/>
      </c>
      <c r="T22">
        <f>HYPERLINK("https://klasma.github.io/Logging_1493/kartor/A 64046-2020 karta.png", "A 64046-2020")</f>
        <v/>
      </c>
      <c r="V22">
        <f>HYPERLINK("https://klasma.github.io/Logging_1493/klagomål/A 64046-2020 FSC-klagomål.docx", "A 64046-2020")</f>
        <v/>
      </c>
      <c r="W22">
        <f>HYPERLINK("https://klasma.github.io/Logging_1493/klagomålsmail/A 64046-2020 FSC-klagomål mail.docx", "A 64046-2020")</f>
        <v/>
      </c>
      <c r="X22">
        <f>HYPERLINK("https://klasma.github.io/Logging_1493/tillsyn/A 64046-2020 tillsynsbegäran.docx", "A 64046-2020")</f>
        <v/>
      </c>
      <c r="Y22">
        <f>HYPERLINK("https://klasma.github.io/Logging_1493/tillsynsmail/A 64046-2020 tillsynsbegäran mail.docx", "A 64046-2020")</f>
        <v/>
      </c>
    </row>
    <row r="23" ht="15" customHeight="1">
      <c r="A23" t="inlineStr">
        <is>
          <t>A 51265-2021</t>
        </is>
      </c>
      <c r="B23" s="1" t="n">
        <v>44461</v>
      </c>
      <c r="C23" s="1" t="n">
        <v>45723</v>
      </c>
      <c r="D23" t="inlineStr">
        <is>
          <t>VÄSTRA GÖTALANDS LÄN</t>
        </is>
      </c>
      <c r="E23" t="inlineStr">
        <is>
          <t>MARIESTAD</t>
        </is>
      </c>
      <c r="G23" t="n">
        <v>30.9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HYPERLINK("https://klasma.github.io/Logging_1493/artfynd/A 51265-2021 artfynd.xlsx", "A 51265-2021")</f>
        <v/>
      </c>
      <c r="T23">
        <f>HYPERLINK("https://klasma.github.io/Logging_1493/kartor/A 51265-2021 karta.png", "A 51265-2021")</f>
        <v/>
      </c>
      <c r="V23">
        <f>HYPERLINK("https://klasma.github.io/Logging_1493/klagomål/A 51265-2021 FSC-klagomål.docx", "A 51265-2021")</f>
        <v/>
      </c>
      <c r="W23">
        <f>HYPERLINK("https://klasma.github.io/Logging_1493/klagomålsmail/A 51265-2021 FSC-klagomål mail.docx", "A 51265-2021")</f>
        <v/>
      </c>
      <c r="X23">
        <f>HYPERLINK("https://klasma.github.io/Logging_1493/tillsyn/A 51265-2021 tillsynsbegäran.docx", "A 51265-2021")</f>
        <v/>
      </c>
      <c r="Y23">
        <f>HYPERLINK("https://klasma.github.io/Logging_1493/tillsynsmail/A 51265-2021 tillsynsbegäran mail.docx", "A 51265-2021")</f>
        <v/>
      </c>
      <c r="Z23">
        <f>HYPERLINK("https://klasma.github.io/Logging_1493/fåglar/A 51265-2021 prioriterade fågelarter.docx", "A 51265-2021")</f>
        <v/>
      </c>
    </row>
    <row r="24" ht="15" customHeight="1">
      <c r="A24" t="inlineStr">
        <is>
          <t>A 8262-2022</t>
        </is>
      </c>
      <c r="B24" s="1" t="n">
        <v>44610</v>
      </c>
      <c r="C24" s="1" t="n">
        <v>45723</v>
      </c>
      <c r="D24" t="inlineStr">
        <is>
          <t>VÄSTRA GÖTALANDS LÄN</t>
        </is>
      </c>
      <c r="E24" t="inlineStr">
        <is>
          <t>MARIESTAD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HYPERLINK("https://klasma.github.io/Logging_1493/artfynd/A 8262-2022 artfynd.xlsx", "A 8262-2022")</f>
        <v/>
      </c>
      <c r="T24">
        <f>HYPERLINK("https://klasma.github.io/Logging_1493/kartor/A 8262-2022 karta.png", "A 8262-2022")</f>
        <v/>
      </c>
      <c r="V24">
        <f>HYPERLINK("https://klasma.github.io/Logging_1493/klagomål/A 8262-2022 FSC-klagomål.docx", "A 8262-2022")</f>
        <v/>
      </c>
      <c r="W24">
        <f>HYPERLINK("https://klasma.github.io/Logging_1493/klagomålsmail/A 8262-2022 FSC-klagomål mail.docx", "A 8262-2022")</f>
        <v/>
      </c>
      <c r="X24">
        <f>HYPERLINK("https://klasma.github.io/Logging_1493/tillsyn/A 8262-2022 tillsynsbegäran.docx", "A 8262-2022")</f>
        <v/>
      </c>
      <c r="Y24">
        <f>HYPERLINK("https://klasma.github.io/Logging_1493/tillsynsmail/A 8262-2022 tillsynsbegäran mail.docx", "A 8262-2022")</f>
        <v/>
      </c>
      <c r="Z24">
        <f>HYPERLINK("https://klasma.github.io/Logging_1493/fåglar/A 8262-2022 prioriterade fågelarter.docx", "A 8262-2022")</f>
        <v/>
      </c>
    </row>
    <row r="25" ht="15" customHeight="1">
      <c r="A25" t="inlineStr">
        <is>
          <t>A 28160-2022</t>
        </is>
      </c>
      <c r="B25" s="1" t="n">
        <v>44746</v>
      </c>
      <c r="C25" s="1" t="n">
        <v>45723</v>
      </c>
      <c r="D25" t="inlineStr">
        <is>
          <t>VÄSTRA GÖTALANDS LÄN</t>
        </is>
      </c>
      <c r="E25" t="inlineStr">
        <is>
          <t>MARIESTAD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HYPERLINK("https://klasma.github.io/Logging_1493/artfynd/A 28160-2022 artfynd.xlsx", "A 28160-2022")</f>
        <v/>
      </c>
      <c r="T25">
        <f>HYPERLINK("https://klasma.github.io/Logging_1493/kartor/A 28160-2022 karta.png", "A 28160-2022")</f>
        <v/>
      </c>
      <c r="V25">
        <f>HYPERLINK("https://klasma.github.io/Logging_1493/klagomål/A 28160-2022 FSC-klagomål.docx", "A 28160-2022")</f>
        <v/>
      </c>
      <c r="W25">
        <f>HYPERLINK("https://klasma.github.io/Logging_1493/klagomålsmail/A 28160-2022 FSC-klagomål mail.docx", "A 28160-2022")</f>
        <v/>
      </c>
      <c r="X25">
        <f>HYPERLINK("https://klasma.github.io/Logging_1493/tillsyn/A 28160-2022 tillsynsbegäran.docx", "A 28160-2022")</f>
        <v/>
      </c>
      <c r="Y25">
        <f>HYPERLINK("https://klasma.github.io/Logging_1493/tillsynsmail/A 28160-2022 tillsynsbegäran mail.docx", "A 28160-2022")</f>
        <v/>
      </c>
    </row>
    <row r="26" ht="15" customHeight="1">
      <c r="A26" t="inlineStr">
        <is>
          <t>A 53880-2022</t>
        </is>
      </c>
      <c r="B26" s="1" t="n">
        <v>44880</v>
      </c>
      <c r="C26" s="1" t="n">
        <v>45723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53880-2022 artfynd.xlsx", "A 53880-2022")</f>
        <v/>
      </c>
      <c r="T26">
        <f>HYPERLINK("https://klasma.github.io/Logging_1493/kartor/A 53880-2022 karta.png", "A 53880-2022")</f>
        <v/>
      </c>
      <c r="V26">
        <f>HYPERLINK("https://klasma.github.io/Logging_1493/klagomål/A 53880-2022 FSC-klagomål.docx", "A 53880-2022")</f>
        <v/>
      </c>
      <c r="W26">
        <f>HYPERLINK("https://klasma.github.io/Logging_1493/klagomålsmail/A 53880-2022 FSC-klagomål mail.docx", "A 53880-2022")</f>
        <v/>
      </c>
      <c r="X26">
        <f>HYPERLINK("https://klasma.github.io/Logging_1493/tillsyn/A 53880-2022 tillsynsbegäran.docx", "A 53880-2022")</f>
        <v/>
      </c>
      <c r="Y26">
        <f>HYPERLINK("https://klasma.github.io/Logging_1493/tillsynsmail/A 53880-2022 tillsynsbegäran mail.docx", "A 53880-2022")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45723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17272-2023</t>
        </is>
      </c>
      <c r="B28" s="1" t="n">
        <v>45035</v>
      </c>
      <c r="C28" s="1" t="n">
        <v>45723</v>
      </c>
      <c r="D28" t="inlineStr">
        <is>
          <t>VÄSTRA GÖTALANDS LÄN</t>
        </is>
      </c>
      <c r="E28" t="inlineStr">
        <is>
          <t>MARIESTAD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HYPERLINK("https://klasma.github.io/Logging_1493/artfynd/A 17272-2023 artfynd.xlsx", "A 17272-2023")</f>
        <v/>
      </c>
      <c r="T28">
        <f>HYPERLINK("https://klasma.github.io/Logging_1493/kartor/A 17272-2023 karta.png", "A 17272-2023")</f>
        <v/>
      </c>
      <c r="V28">
        <f>HYPERLINK("https://klasma.github.io/Logging_1493/klagomål/A 17272-2023 FSC-klagomål.docx", "A 17272-2023")</f>
        <v/>
      </c>
      <c r="W28">
        <f>HYPERLINK("https://klasma.github.io/Logging_1493/klagomålsmail/A 17272-2023 FSC-klagomål mail.docx", "A 17272-2023")</f>
        <v/>
      </c>
      <c r="X28">
        <f>HYPERLINK("https://klasma.github.io/Logging_1493/tillsyn/A 17272-2023 tillsynsbegäran.docx", "A 17272-2023")</f>
        <v/>
      </c>
      <c r="Y28">
        <f>HYPERLINK("https://klasma.github.io/Logging_1493/tillsynsmail/A 17272-2023 tillsynsbegäran mail.docx", "A 17272-2023")</f>
        <v/>
      </c>
    </row>
    <row r="29" ht="15" customHeight="1">
      <c r="A29" t="inlineStr">
        <is>
          <t>A 49233-2023</t>
        </is>
      </c>
      <c r="B29" s="1" t="n">
        <v>45210</v>
      </c>
      <c r="C29" s="1" t="n">
        <v>45723</v>
      </c>
      <c r="D29" t="inlineStr">
        <is>
          <t>VÄSTRA GÖTALANDS LÄN</t>
        </is>
      </c>
      <c r="E29" t="inlineStr">
        <is>
          <t>MARIESTAD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HYPERLINK("https://klasma.github.io/Logging_1493/artfynd/A 49233-2023 artfynd.xlsx", "A 49233-2023")</f>
        <v/>
      </c>
      <c r="T29">
        <f>HYPERLINK("https://klasma.github.io/Logging_1493/kartor/A 49233-2023 karta.png", "A 49233-2023")</f>
        <v/>
      </c>
      <c r="V29">
        <f>HYPERLINK("https://klasma.github.io/Logging_1493/klagomål/A 49233-2023 FSC-klagomål.docx", "A 49233-2023")</f>
        <v/>
      </c>
      <c r="W29">
        <f>HYPERLINK("https://klasma.github.io/Logging_1493/klagomålsmail/A 49233-2023 FSC-klagomål mail.docx", "A 49233-2023")</f>
        <v/>
      </c>
      <c r="X29">
        <f>HYPERLINK("https://klasma.github.io/Logging_1493/tillsyn/A 49233-2023 tillsynsbegäran.docx", "A 49233-2023")</f>
        <v/>
      </c>
      <c r="Y29">
        <f>HYPERLINK("https://klasma.github.io/Logging_1493/tillsynsmail/A 49233-2023 tillsynsbegäran mail.docx", "A 49233-2023")</f>
        <v/>
      </c>
    </row>
    <row r="30" ht="15" customHeight="1">
      <c r="A30" t="inlineStr">
        <is>
          <t>A 5162-2024</t>
        </is>
      </c>
      <c r="B30" s="1" t="n">
        <v>45330</v>
      </c>
      <c r="C30" s="1" t="n">
        <v>45723</v>
      </c>
      <c r="D30" t="inlineStr">
        <is>
          <t>VÄSTRA GÖTALANDS LÄN</t>
        </is>
      </c>
      <c r="E30" t="inlineStr">
        <is>
          <t>MARIESTAD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brunfladdermus</t>
        </is>
      </c>
      <c r="S30">
        <f>HYPERLINK("https://klasma.github.io/Logging_1493/artfynd/A 5162-2024 artfynd.xlsx", "A 5162-2024")</f>
        <v/>
      </c>
      <c r="T30">
        <f>HYPERLINK("https://klasma.github.io/Logging_1493/kartor/A 5162-2024 karta.png", "A 5162-2024")</f>
        <v/>
      </c>
      <c r="V30">
        <f>HYPERLINK("https://klasma.github.io/Logging_1493/klagomål/A 5162-2024 FSC-klagomål.docx", "A 5162-2024")</f>
        <v/>
      </c>
      <c r="W30">
        <f>HYPERLINK("https://klasma.github.io/Logging_1493/klagomålsmail/A 5162-2024 FSC-klagomål mail.docx", "A 5162-2024")</f>
        <v/>
      </c>
      <c r="X30">
        <f>HYPERLINK("https://klasma.github.io/Logging_1493/tillsyn/A 5162-2024 tillsynsbegäran.docx", "A 5162-2024")</f>
        <v/>
      </c>
      <c r="Y30">
        <f>HYPERLINK("https://klasma.github.io/Logging_1493/tillsynsmail/A 5162-2024 tillsynsbegäran mail.docx", "A 5162-2024")</f>
        <v/>
      </c>
    </row>
    <row r="31" ht="15" customHeight="1">
      <c r="A31" t="inlineStr">
        <is>
          <t>A 9650-2025</t>
        </is>
      </c>
      <c r="B31" s="1" t="n">
        <v>45716</v>
      </c>
      <c r="C31" s="1" t="n">
        <v>45723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Sveaskog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HYPERLINK("https://klasma.github.io/Logging_1493/artfynd/A 9650-2025 artfynd.xlsx", "A 9650-2025")</f>
        <v/>
      </c>
      <c r="T31">
        <f>HYPERLINK("https://klasma.github.io/Logging_1493/kartor/A 9650-2025 karta.png", "A 9650-2025")</f>
        <v/>
      </c>
      <c r="V31">
        <f>HYPERLINK("https://klasma.github.io/Logging_1493/klagomål/A 9650-2025 FSC-klagomål.docx", "A 9650-2025")</f>
        <v/>
      </c>
      <c r="W31">
        <f>HYPERLINK("https://klasma.github.io/Logging_1493/klagomålsmail/A 9650-2025 FSC-klagomål mail.docx", "A 9650-2025")</f>
        <v/>
      </c>
      <c r="X31">
        <f>HYPERLINK("https://klasma.github.io/Logging_1493/tillsyn/A 9650-2025 tillsynsbegäran.docx", "A 9650-2025")</f>
        <v/>
      </c>
      <c r="Y31">
        <f>HYPERLINK("https://klasma.github.io/Logging_1493/tillsynsmail/A 9650-2025 tillsynsbegäran mail.docx", "A 9650-2025")</f>
        <v/>
      </c>
    </row>
    <row r="32" ht="15" customHeight="1">
      <c r="A32" t="inlineStr">
        <is>
          <t>A 17687-2019</t>
        </is>
      </c>
      <c r="B32" s="1" t="n">
        <v>43556</v>
      </c>
      <c r="C32" s="1" t="n">
        <v>45723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20108-2019</t>
        </is>
      </c>
      <c r="B33" s="1" t="n">
        <v>43570</v>
      </c>
      <c r="C33" s="1" t="n">
        <v>45723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Kyrkan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20160-2019</t>
        </is>
      </c>
      <c r="B34" s="1" t="n">
        <v>43570</v>
      </c>
      <c r="C34" s="1" t="n">
        <v>45723</v>
      </c>
      <c r="D34" t="inlineStr">
        <is>
          <t>VÄSTRA GÖTALANDS LÄN</t>
        </is>
      </c>
      <c r="E34" t="inlineStr">
        <is>
          <t>MARIESTAD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20552-2019</t>
        </is>
      </c>
      <c r="B35" s="1" t="n">
        <v>43572</v>
      </c>
      <c r="C35" s="1" t="n">
        <v>45723</v>
      </c>
      <c r="D35" t="inlineStr">
        <is>
          <t>VÄSTRA GÖTALANDS LÄN</t>
        </is>
      </c>
      <c r="E35" t="inlineStr">
        <is>
          <t>MARIESTAD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22225-2019</t>
        </is>
      </c>
      <c r="B36" s="1" t="n">
        <v>43585</v>
      </c>
      <c r="C36" s="1" t="n">
        <v>45723</v>
      </c>
      <c r="D36" t="inlineStr">
        <is>
          <t>VÄSTRA GÖTALANDS LÄN</t>
        </is>
      </c>
      <c r="E36" t="inlineStr">
        <is>
          <t>MARIESTAD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22981-2019</t>
        </is>
      </c>
      <c r="B37" s="1" t="n">
        <v>43591</v>
      </c>
      <c r="C37" s="1" t="n">
        <v>45723</v>
      </c>
      <c r="D37" t="inlineStr">
        <is>
          <t>VÄSTRA GÖTALANDS LÄN</t>
        </is>
      </c>
      <c r="E37" t="inlineStr">
        <is>
          <t>MARIESTAD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23190-2019</t>
        </is>
      </c>
      <c r="B38" s="1" t="n">
        <v>43592</v>
      </c>
      <c r="C38" s="1" t="n">
        <v>45723</v>
      </c>
      <c r="D38" t="inlineStr">
        <is>
          <t>VÄSTRA GÖTALANDS LÄN</t>
        </is>
      </c>
      <c r="E38" t="inlineStr">
        <is>
          <t>MARIESTAD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23401-2019</t>
        </is>
      </c>
      <c r="B39" s="1" t="n">
        <v>43593</v>
      </c>
      <c r="C39" s="1" t="n">
        <v>45723</v>
      </c>
      <c r="D39" t="inlineStr">
        <is>
          <t>VÄSTRA GÖTALANDS LÄN</t>
        </is>
      </c>
      <c r="E39" t="inlineStr">
        <is>
          <t>MARIESTAD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23413-2019</t>
        </is>
      </c>
      <c r="B40" s="1" t="n">
        <v>43593</v>
      </c>
      <c r="C40" s="1" t="n">
        <v>45723</v>
      </c>
      <c r="D40" t="inlineStr">
        <is>
          <t>VÄSTRA GÖTALANDS LÄN</t>
        </is>
      </c>
      <c r="E40" t="inlineStr">
        <is>
          <t>MARIESTAD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23404-2019</t>
        </is>
      </c>
      <c r="B41" s="1" t="n">
        <v>43593</v>
      </c>
      <c r="C41" s="1" t="n">
        <v>45723</v>
      </c>
      <c r="D41" t="inlineStr">
        <is>
          <t>VÄSTRA GÖTALANDS LÄN</t>
        </is>
      </c>
      <c r="E41" t="inlineStr">
        <is>
          <t>MARIESTAD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24121-2019</t>
        </is>
      </c>
      <c r="B42" s="1" t="n">
        <v>43598</v>
      </c>
      <c r="C42" s="1" t="n">
        <v>45723</v>
      </c>
      <c r="D42" t="inlineStr">
        <is>
          <t>VÄSTRA GÖTALANDS LÄN</t>
        </is>
      </c>
      <c r="E42" t="inlineStr">
        <is>
          <t>MARIESTAD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25161-2019</t>
        </is>
      </c>
      <c r="B43" s="1" t="n">
        <v>43605</v>
      </c>
      <c r="C43" s="1" t="n">
        <v>45723</v>
      </c>
      <c r="D43" t="inlineStr">
        <is>
          <t>VÄSTRA GÖTALANDS LÄN</t>
        </is>
      </c>
      <c r="E43" t="inlineStr">
        <is>
          <t>MARIESTAD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26801-2019</t>
        </is>
      </c>
      <c r="B44" s="1" t="n">
        <v>43613</v>
      </c>
      <c r="C44" s="1" t="n">
        <v>45723</v>
      </c>
      <c r="D44" t="inlineStr">
        <is>
          <t>VÄSTRA GÖTALANDS LÄN</t>
        </is>
      </c>
      <c r="E44" t="inlineStr">
        <is>
          <t>MARIESTAD</t>
        </is>
      </c>
      <c r="G44" t="n">
        <v>12.1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26803-2019</t>
        </is>
      </c>
      <c r="B45" s="1" t="n">
        <v>43613</v>
      </c>
      <c r="C45" s="1" t="n">
        <v>45723</v>
      </c>
      <c r="D45" t="inlineStr">
        <is>
          <t>VÄSTRA GÖTALANDS LÄN</t>
        </is>
      </c>
      <c r="E45" t="inlineStr">
        <is>
          <t>MARIESTAD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26799-2019</t>
        </is>
      </c>
      <c r="B46" s="1" t="n">
        <v>43613</v>
      </c>
      <c r="C46" s="1" t="n">
        <v>45723</v>
      </c>
      <c r="D46" t="inlineStr">
        <is>
          <t>VÄSTRA GÖTALANDS LÄN</t>
        </is>
      </c>
      <c r="E46" t="inlineStr">
        <is>
          <t>MARIESTAD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28847-2019</t>
        </is>
      </c>
      <c r="B47" s="1" t="n">
        <v>43627</v>
      </c>
      <c r="C47" s="1" t="n">
        <v>45723</v>
      </c>
      <c r="D47" t="inlineStr">
        <is>
          <t>VÄSTRA GÖTALANDS LÄN</t>
        </is>
      </c>
      <c r="E47" t="inlineStr">
        <is>
          <t>MARIESTAD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31065-2019</t>
        </is>
      </c>
      <c r="B48" s="1" t="n">
        <v>43640</v>
      </c>
      <c r="C48" s="1" t="n">
        <v>45723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31073-2019</t>
        </is>
      </c>
      <c r="B49" s="1" t="n">
        <v>43640</v>
      </c>
      <c r="C49" s="1" t="n">
        <v>45723</v>
      </c>
      <c r="D49" t="inlineStr">
        <is>
          <t>VÄSTRA GÖTALANDS LÄN</t>
        </is>
      </c>
      <c r="E49" t="inlineStr">
        <is>
          <t>MARIESTAD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31682-2019</t>
        </is>
      </c>
      <c r="B50" s="1" t="n">
        <v>43642</v>
      </c>
      <c r="C50" s="1" t="n">
        <v>45723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Kyrkan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32333-2019</t>
        </is>
      </c>
      <c r="B51" s="1" t="n">
        <v>43644</v>
      </c>
      <c r="C51" s="1" t="n">
        <v>45723</v>
      </c>
      <c r="D51" t="inlineStr">
        <is>
          <t>VÄSTRA GÖTALANDS LÄN</t>
        </is>
      </c>
      <c r="E51" t="inlineStr">
        <is>
          <t>MARIESTAD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32334-2019</t>
        </is>
      </c>
      <c r="B52" s="1" t="n">
        <v>43644</v>
      </c>
      <c r="C52" s="1" t="n">
        <v>45723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32462-2019</t>
        </is>
      </c>
      <c r="B53" s="1" t="n">
        <v>43644</v>
      </c>
      <c r="C53" s="1" t="n">
        <v>45723</v>
      </c>
      <c r="D53" t="inlineStr">
        <is>
          <t>VÄSTRA GÖTALANDS LÄN</t>
        </is>
      </c>
      <c r="E53" t="inlineStr">
        <is>
          <t>MARIESTAD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32377-2019</t>
        </is>
      </c>
      <c r="B54" s="1" t="n">
        <v>43644</v>
      </c>
      <c r="C54" s="1" t="n">
        <v>45723</v>
      </c>
      <c r="D54" t="inlineStr">
        <is>
          <t>VÄSTRA GÖTALANDS LÄN</t>
        </is>
      </c>
      <c r="E54" t="inlineStr">
        <is>
          <t>MARIESTAD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32464-2019</t>
        </is>
      </c>
      <c r="B55" s="1" t="n">
        <v>43644</v>
      </c>
      <c r="C55" s="1" t="n">
        <v>45723</v>
      </c>
      <c r="D55" t="inlineStr">
        <is>
          <t>VÄSTRA GÖTALANDS LÄN</t>
        </is>
      </c>
      <c r="E55" t="inlineStr">
        <is>
          <t>MARIESTAD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32332-2019</t>
        </is>
      </c>
      <c r="B56" s="1" t="n">
        <v>43644</v>
      </c>
      <c r="C56" s="1" t="n">
        <v>45723</v>
      </c>
      <c r="D56" t="inlineStr">
        <is>
          <t>VÄSTRA GÖTALANDS LÄN</t>
        </is>
      </c>
      <c r="E56" t="inlineStr">
        <is>
          <t>MARIESTAD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32601-2019</t>
        </is>
      </c>
      <c r="B57" s="1" t="n">
        <v>43647</v>
      </c>
      <c r="C57" s="1" t="n">
        <v>45723</v>
      </c>
      <c r="D57" t="inlineStr">
        <is>
          <t>VÄSTRA GÖTALANDS LÄN</t>
        </is>
      </c>
      <c r="E57" t="inlineStr">
        <is>
          <t>MARIESTAD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32649-2019</t>
        </is>
      </c>
      <c r="B58" s="1" t="n">
        <v>43647</v>
      </c>
      <c r="C58" s="1" t="n">
        <v>45723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33030-2019</t>
        </is>
      </c>
      <c r="B59" s="1" t="n">
        <v>43649</v>
      </c>
      <c r="C59" s="1" t="n">
        <v>45723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33027-2019</t>
        </is>
      </c>
      <c r="B60" s="1" t="n">
        <v>43649</v>
      </c>
      <c r="C60" s="1" t="n">
        <v>45723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33713-2019</t>
        </is>
      </c>
      <c r="B61" s="1" t="n">
        <v>43651</v>
      </c>
      <c r="C61" s="1" t="n">
        <v>45723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34342-2019</t>
        </is>
      </c>
      <c r="B62" s="1" t="n">
        <v>43656</v>
      </c>
      <c r="C62" s="1" t="n">
        <v>45723</v>
      </c>
      <c r="D62" t="inlineStr">
        <is>
          <t>VÄSTRA GÖTALANDS LÄN</t>
        </is>
      </c>
      <c r="E62" t="inlineStr">
        <is>
          <t>MARIESTAD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36764-2019</t>
        </is>
      </c>
      <c r="B63" s="1" t="n">
        <v>43672</v>
      </c>
      <c r="C63" s="1" t="n">
        <v>45723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36762-2019</t>
        </is>
      </c>
      <c r="B64" s="1" t="n">
        <v>43672</v>
      </c>
      <c r="C64" s="1" t="n">
        <v>45723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36769-2019</t>
        </is>
      </c>
      <c r="B65" s="1" t="n">
        <v>43672</v>
      </c>
      <c r="C65" s="1" t="n">
        <v>45723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36768-2019</t>
        </is>
      </c>
      <c r="B66" s="1" t="n">
        <v>43672</v>
      </c>
      <c r="C66" s="1" t="n">
        <v>45723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37217-2019</t>
        </is>
      </c>
      <c r="B67" s="1" t="n">
        <v>43677</v>
      </c>
      <c r="C67" s="1" t="n">
        <v>45723</v>
      </c>
      <c r="D67" t="inlineStr">
        <is>
          <t>VÄSTRA GÖTALANDS LÄN</t>
        </is>
      </c>
      <c r="E67" t="inlineStr">
        <is>
          <t>MARIESTAD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37238-2019</t>
        </is>
      </c>
      <c r="B68" s="1" t="n">
        <v>43677</v>
      </c>
      <c r="C68" s="1" t="n">
        <v>45723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37242-2019</t>
        </is>
      </c>
      <c r="B69" s="1" t="n">
        <v>43677</v>
      </c>
      <c r="C69" s="1" t="n">
        <v>45723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37336-2019</t>
        </is>
      </c>
      <c r="B70" s="1" t="n">
        <v>43678</v>
      </c>
      <c r="C70" s="1" t="n">
        <v>45723</v>
      </c>
      <c r="D70" t="inlineStr">
        <is>
          <t>VÄSTRA GÖTALANDS LÄN</t>
        </is>
      </c>
      <c r="E70" t="inlineStr">
        <is>
          <t>MARIESTAD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39041-2019</t>
        </is>
      </c>
      <c r="B71" s="1" t="n">
        <v>43689</v>
      </c>
      <c r="C71" s="1" t="n">
        <v>45723</v>
      </c>
      <c r="D71" t="inlineStr">
        <is>
          <t>VÄSTRA GÖTALANDS LÄN</t>
        </is>
      </c>
      <c r="E71" t="inlineStr">
        <is>
          <t>MARIESTAD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43437-2019</t>
        </is>
      </c>
      <c r="B72" s="1" t="n">
        <v>43704</v>
      </c>
      <c r="C72" s="1" t="n">
        <v>45723</v>
      </c>
      <c r="D72" t="inlineStr">
        <is>
          <t>VÄSTRA GÖTALANDS LÄN</t>
        </is>
      </c>
      <c r="E72" t="inlineStr">
        <is>
          <t>MARIESTAD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43278-2019</t>
        </is>
      </c>
      <c r="B73" s="1" t="n">
        <v>43706</v>
      </c>
      <c r="C73" s="1" t="n">
        <v>45723</v>
      </c>
      <c r="D73" t="inlineStr">
        <is>
          <t>VÄSTRA GÖTALANDS LÄN</t>
        </is>
      </c>
      <c r="E73" t="inlineStr">
        <is>
          <t>MARIESTAD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43341-2019</t>
        </is>
      </c>
      <c r="B74" s="1" t="n">
        <v>43706</v>
      </c>
      <c r="C74" s="1" t="n">
        <v>45723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HYPERLINK("https://klasma.github.io/Logging_1493/knärot/A 43341-2019 karta knärot.png", "A 43341-2019")</f>
        <v/>
      </c>
      <c r="V74">
        <f>HYPERLINK("https://klasma.github.io/Logging_1493/klagomål/A 43341-2019 FSC-klagomål.docx", "A 43341-2019")</f>
        <v/>
      </c>
      <c r="W74">
        <f>HYPERLINK("https://klasma.github.io/Logging_1493/klagomålsmail/A 43341-2019 FSC-klagomål mail.docx", "A 43341-2019")</f>
        <v/>
      </c>
      <c r="X74">
        <f>HYPERLINK("https://klasma.github.io/Logging_1493/tillsyn/A 43341-2019 tillsynsbegäran.docx", "A 43341-2019")</f>
        <v/>
      </c>
      <c r="Y74">
        <f>HYPERLINK("https://klasma.github.io/Logging_1493/tillsynsmail/A 43341-2019 tillsynsbegäran mail.docx", "A 43341-2019")</f>
        <v/>
      </c>
    </row>
    <row r="75" ht="15" customHeight="1">
      <c r="A75" t="inlineStr">
        <is>
          <t>A 44748-2019</t>
        </is>
      </c>
      <c r="B75" s="1" t="n">
        <v>43712</v>
      </c>
      <c r="C75" s="1" t="n">
        <v>45723</v>
      </c>
      <c r="D75" t="inlineStr">
        <is>
          <t>VÄSTRA GÖTALANDS LÄN</t>
        </is>
      </c>
      <c r="E75" t="inlineStr">
        <is>
          <t>MARIESTAD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45177-2019</t>
        </is>
      </c>
      <c r="B76" s="1" t="n">
        <v>43713</v>
      </c>
      <c r="C76" s="1" t="n">
        <v>45723</v>
      </c>
      <c r="D76" t="inlineStr">
        <is>
          <t>VÄSTRA GÖTALANDS LÄN</t>
        </is>
      </c>
      <c r="E76" t="inlineStr">
        <is>
          <t>MARIESTAD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45710-2019</t>
        </is>
      </c>
      <c r="B77" s="1" t="n">
        <v>43717</v>
      </c>
      <c r="C77" s="1" t="n">
        <v>45723</v>
      </c>
      <c r="D77" t="inlineStr">
        <is>
          <t>VÄSTRA GÖTALANDS LÄN</t>
        </is>
      </c>
      <c r="E77" t="inlineStr">
        <is>
          <t>MARIESTAD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47231-2019</t>
        </is>
      </c>
      <c r="B78" s="1" t="n">
        <v>43721</v>
      </c>
      <c r="C78" s="1" t="n">
        <v>45723</v>
      </c>
      <c r="D78" t="inlineStr">
        <is>
          <t>VÄSTRA GÖTALANDS LÄN</t>
        </is>
      </c>
      <c r="E78" t="inlineStr">
        <is>
          <t>MARIESTAD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49176-2019</t>
        </is>
      </c>
      <c r="B79" s="1" t="n">
        <v>43727</v>
      </c>
      <c r="C79" s="1" t="n">
        <v>45723</v>
      </c>
      <c r="D79" t="inlineStr">
        <is>
          <t>VÄSTRA GÖTALANDS LÄN</t>
        </is>
      </c>
      <c r="E79" t="inlineStr">
        <is>
          <t>MARIESTAD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48870-2019</t>
        </is>
      </c>
      <c r="B80" s="1" t="n">
        <v>43728</v>
      </c>
      <c r="C80" s="1" t="n">
        <v>45723</v>
      </c>
      <c r="D80" t="inlineStr">
        <is>
          <t>VÄSTRA GÖTALANDS LÄN</t>
        </is>
      </c>
      <c r="E80" t="inlineStr">
        <is>
          <t>MARIESTAD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49544-2019</t>
        </is>
      </c>
      <c r="B81" s="1" t="n">
        <v>43732</v>
      </c>
      <c r="C81" s="1" t="n">
        <v>45723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51063-2019</t>
        </is>
      </c>
      <c r="B82" s="1" t="n">
        <v>43739</v>
      </c>
      <c r="C82" s="1" t="n">
        <v>45723</v>
      </c>
      <c r="D82" t="inlineStr">
        <is>
          <t>VÄSTRA GÖTALANDS LÄN</t>
        </is>
      </c>
      <c r="E82" t="inlineStr">
        <is>
          <t>MARIESTAD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51462-2019</t>
        </is>
      </c>
      <c r="B83" s="1" t="n">
        <v>43740</v>
      </c>
      <c r="C83" s="1" t="n">
        <v>45723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51477-2019</t>
        </is>
      </c>
      <c r="B84" s="1" t="n">
        <v>43740</v>
      </c>
      <c r="C84" s="1" t="n">
        <v>45723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Kommuner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51418-2019</t>
        </is>
      </c>
      <c r="B85" s="1" t="n">
        <v>43740</v>
      </c>
      <c r="C85" s="1" t="n">
        <v>45723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51472-2019</t>
        </is>
      </c>
      <c r="B86" s="1" t="n">
        <v>43740</v>
      </c>
      <c r="C86" s="1" t="n">
        <v>45723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51920-2019</t>
        </is>
      </c>
      <c r="B87" s="1" t="n">
        <v>43741</v>
      </c>
      <c r="C87" s="1" t="n">
        <v>45723</v>
      </c>
      <c r="D87" t="inlineStr">
        <is>
          <t>VÄSTRA GÖTALANDS LÄN</t>
        </is>
      </c>
      <c r="E87" t="inlineStr">
        <is>
          <t>MARIESTAD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51919-2019</t>
        </is>
      </c>
      <c r="B88" s="1" t="n">
        <v>43741</v>
      </c>
      <c r="C88" s="1" t="n">
        <v>45723</v>
      </c>
      <c r="D88" t="inlineStr">
        <is>
          <t>VÄSTRA GÖTALANDS LÄN</t>
        </is>
      </c>
      <c r="E88" t="inlineStr">
        <is>
          <t>MARIESTAD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58207-2019</t>
        </is>
      </c>
      <c r="B89" s="1" t="n">
        <v>43770</v>
      </c>
      <c r="C89" s="1" t="n">
        <v>45723</v>
      </c>
      <c r="D89" t="inlineStr">
        <is>
          <t>VÄSTRA GÖTALANDS LÄN</t>
        </is>
      </c>
      <c r="E89" t="inlineStr">
        <is>
          <t>MARIESTAD</t>
        </is>
      </c>
      <c r="G89" t="n">
        <v>14.6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58223-2019</t>
        </is>
      </c>
      <c r="B90" s="1" t="n">
        <v>43770</v>
      </c>
      <c r="C90" s="1" t="n">
        <v>45723</v>
      </c>
      <c r="D90" t="inlineStr">
        <is>
          <t>VÄSTRA GÖTALANDS LÄN</t>
        </is>
      </c>
      <c r="E90" t="inlineStr">
        <is>
          <t>MARIESTAD</t>
        </is>
      </c>
      <c r="G90" t="n">
        <v>21.2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58213-2019</t>
        </is>
      </c>
      <c r="B91" s="1" t="n">
        <v>43770</v>
      </c>
      <c r="C91" s="1" t="n">
        <v>45723</v>
      </c>
      <c r="D91" t="inlineStr">
        <is>
          <t>VÄSTRA GÖTALANDS LÄN</t>
        </is>
      </c>
      <c r="E91" t="inlineStr">
        <is>
          <t>MARIESTAD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58211-2019</t>
        </is>
      </c>
      <c r="B92" s="1" t="n">
        <v>43770</v>
      </c>
      <c r="C92" s="1" t="n">
        <v>45723</v>
      </c>
      <c r="D92" t="inlineStr">
        <is>
          <t>VÄSTRA GÖTALANDS LÄN</t>
        </is>
      </c>
      <c r="E92" t="inlineStr">
        <is>
          <t>MARIESTAD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59802-2019</t>
        </is>
      </c>
      <c r="B93" s="1" t="n">
        <v>43777</v>
      </c>
      <c r="C93" s="1" t="n">
        <v>45723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63598-2019</t>
        </is>
      </c>
      <c r="B94" s="1" t="n">
        <v>43789</v>
      </c>
      <c r="C94" s="1" t="n">
        <v>45723</v>
      </c>
      <c r="D94" t="inlineStr">
        <is>
          <t>VÄSTRA GÖTALANDS LÄN</t>
        </is>
      </c>
      <c r="E94" t="inlineStr">
        <is>
          <t>MARIESTAD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63694-2019</t>
        </is>
      </c>
      <c r="B95" s="1" t="n">
        <v>43789</v>
      </c>
      <c r="C95" s="1" t="n">
        <v>45723</v>
      </c>
      <c r="D95" t="inlineStr">
        <is>
          <t>VÄSTRA GÖTALANDS LÄN</t>
        </is>
      </c>
      <c r="E95" t="inlineStr">
        <is>
          <t>MARIESTAD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65115-2019</t>
        </is>
      </c>
      <c r="B96" s="1" t="n">
        <v>43802</v>
      </c>
      <c r="C96" s="1" t="n">
        <v>45723</v>
      </c>
      <c r="D96" t="inlineStr">
        <is>
          <t>VÄSTRA GÖTALANDS LÄN</t>
        </is>
      </c>
      <c r="E96" t="inlineStr">
        <is>
          <t>MARIESTAD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881-2020</t>
        </is>
      </c>
      <c r="B97" s="1" t="n">
        <v>43839</v>
      </c>
      <c r="C97" s="1" t="n">
        <v>45723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1029-2020</t>
        </is>
      </c>
      <c r="B98" s="1" t="n">
        <v>43839</v>
      </c>
      <c r="C98" s="1" t="n">
        <v>45723</v>
      </c>
      <c r="D98" t="inlineStr">
        <is>
          <t>VÄSTRA GÖTALANDS LÄN</t>
        </is>
      </c>
      <c r="E98" t="inlineStr">
        <is>
          <t>MARIESTAD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865-2020</t>
        </is>
      </c>
      <c r="B99" s="1" t="n">
        <v>43839</v>
      </c>
      <c r="C99" s="1" t="n">
        <v>45723</v>
      </c>
      <c r="D99" t="inlineStr">
        <is>
          <t>VÄSTRA GÖTALANDS LÄN</t>
        </is>
      </c>
      <c r="E99" t="inlineStr">
        <is>
          <t>MARIESTAD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1472-2020</t>
        </is>
      </c>
      <c r="B100" s="1" t="n">
        <v>43843</v>
      </c>
      <c r="C100" s="1" t="n">
        <v>45723</v>
      </c>
      <c r="D100" t="inlineStr">
        <is>
          <t>VÄSTRA GÖTALANDS LÄN</t>
        </is>
      </c>
      <c r="E100" t="inlineStr">
        <is>
          <t>MARIESTAD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2242-2020</t>
        </is>
      </c>
      <c r="B101" s="1" t="n">
        <v>43846</v>
      </c>
      <c r="C101" s="1" t="n">
        <v>45723</v>
      </c>
      <c r="D101" t="inlineStr">
        <is>
          <t>VÄSTRA GÖTALANDS LÄN</t>
        </is>
      </c>
      <c r="E101" t="inlineStr">
        <is>
          <t>MARIESTAD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2252-2020</t>
        </is>
      </c>
      <c r="B102" s="1" t="n">
        <v>43846</v>
      </c>
      <c r="C102" s="1" t="n">
        <v>45723</v>
      </c>
      <c r="D102" t="inlineStr">
        <is>
          <t>VÄSTRA GÖTALANDS LÄN</t>
        </is>
      </c>
      <c r="E102" t="inlineStr">
        <is>
          <t>MARIESTAD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2249-2020</t>
        </is>
      </c>
      <c r="B103" s="1" t="n">
        <v>43846</v>
      </c>
      <c r="C103" s="1" t="n">
        <v>45723</v>
      </c>
      <c r="D103" t="inlineStr">
        <is>
          <t>VÄSTRA GÖTALANDS LÄN</t>
        </is>
      </c>
      <c r="E103" t="inlineStr">
        <is>
          <t>MARIESTAD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2322-2020</t>
        </is>
      </c>
      <c r="B104" s="1" t="n">
        <v>43846</v>
      </c>
      <c r="C104" s="1" t="n">
        <v>45723</v>
      </c>
      <c r="D104" t="inlineStr">
        <is>
          <t>VÄSTRA GÖTALANDS LÄN</t>
        </is>
      </c>
      <c r="E104" t="inlineStr">
        <is>
          <t>MARIESTAD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3275-2020</t>
        </is>
      </c>
      <c r="B105" s="1" t="n">
        <v>43852</v>
      </c>
      <c r="C105" s="1" t="n">
        <v>45723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3823-2020</t>
        </is>
      </c>
      <c r="B106" s="1" t="n">
        <v>43854</v>
      </c>
      <c r="C106" s="1" t="n">
        <v>45723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4571-2020</t>
        </is>
      </c>
      <c r="B107" s="1" t="n">
        <v>43858</v>
      </c>
      <c r="C107" s="1" t="n">
        <v>45723</v>
      </c>
      <c r="D107" t="inlineStr">
        <is>
          <t>VÄSTRA GÖTALANDS LÄN</t>
        </is>
      </c>
      <c r="E107" t="inlineStr">
        <is>
          <t>MARIESTAD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5978-2020</t>
        </is>
      </c>
      <c r="B108" s="1" t="n">
        <v>43865</v>
      </c>
      <c r="C108" s="1" t="n">
        <v>45723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6070-2020</t>
        </is>
      </c>
      <c r="B109" s="1" t="n">
        <v>43865</v>
      </c>
      <c r="C109" s="1" t="n">
        <v>45723</v>
      </c>
      <c r="D109" t="inlineStr">
        <is>
          <t>VÄSTRA GÖTALANDS LÄN</t>
        </is>
      </c>
      <c r="E109" t="inlineStr">
        <is>
          <t>MARIESTAD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6382-2020</t>
        </is>
      </c>
      <c r="B110" s="1" t="n">
        <v>43866</v>
      </c>
      <c r="C110" s="1" t="n">
        <v>45723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6352-2020</t>
        </is>
      </c>
      <c r="B111" s="1" t="n">
        <v>43866</v>
      </c>
      <c r="C111" s="1" t="n">
        <v>45723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7043-2020</t>
        </is>
      </c>
      <c r="B112" s="1" t="n">
        <v>43868</v>
      </c>
      <c r="C112" s="1" t="n">
        <v>45723</v>
      </c>
      <c r="D112" t="inlineStr">
        <is>
          <t>VÄSTRA GÖTALANDS LÄN</t>
        </is>
      </c>
      <c r="E112" t="inlineStr">
        <is>
          <t>MARIESTAD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7381-2020</t>
        </is>
      </c>
      <c r="B113" s="1" t="n">
        <v>43871</v>
      </c>
      <c r="C113" s="1" t="n">
        <v>45723</v>
      </c>
      <c r="D113" t="inlineStr">
        <is>
          <t>VÄSTRA GÖTALANDS LÄN</t>
        </is>
      </c>
      <c r="E113" t="inlineStr">
        <is>
          <t>MARIESTAD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7665-2020</t>
        </is>
      </c>
      <c r="B114" s="1" t="n">
        <v>43872</v>
      </c>
      <c r="C114" s="1" t="n">
        <v>45723</v>
      </c>
      <c r="D114" t="inlineStr">
        <is>
          <t>VÄSTRA GÖTALANDS LÄN</t>
        </is>
      </c>
      <c r="E114" t="inlineStr">
        <is>
          <t>MARIESTAD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12966-2020</t>
        </is>
      </c>
      <c r="B115" s="1" t="n">
        <v>43900</v>
      </c>
      <c r="C115" s="1" t="n">
        <v>45723</v>
      </c>
      <c r="D115" t="inlineStr">
        <is>
          <t>VÄSTRA GÖTALANDS LÄN</t>
        </is>
      </c>
      <c r="E115" t="inlineStr">
        <is>
          <t>MARIESTAD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13343-2020</t>
        </is>
      </c>
      <c r="B116" s="1" t="n">
        <v>43902</v>
      </c>
      <c r="C116" s="1" t="n">
        <v>45723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13873-2020</t>
        </is>
      </c>
      <c r="B117" s="1" t="n">
        <v>43906</v>
      </c>
      <c r="C117" s="1" t="n">
        <v>45723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14412-2020</t>
        </is>
      </c>
      <c r="B118" s="1" t="n">
        <v>43908</v>
      </c>
      <c r="C118" s="1" t="n">
        <v>45723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14435-2020</t>
        </is>
      </c>
      <c r="B119" s="1" t="n">
        <v>43908</v>
      </c>
      <c r="C119" s="1" t="n">
        <v>45723</v>
      </c>
      <c r="D119" t="inlineStr">
        <is>
          <t>VÄSTRA GÖTALANDS LÄN</t>
        </is>
      </c>
      <c r="E119" t="inlineStr">
        <is>
          <t>MARIESTAD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16551-2020</t>
        </is>
      </c>
      <c r="B120" s="1" t="n">
        <v>43909</v>
      </c>
      <c r="C120" s="1" t="n">
        <v>45723</v>
      </c>
      <c r="D120" t="inlineStr">
        <is>
          <t>VÄSTRA GÖTALANDS LÄN</t>
        </is>
      </c>
      <c r="E120" t="inlineStr">
        <is>
          <t>MARIESTAD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15614-2020</t>
        </is>
      </c>
      <c r="B121" s="1" t="n">
        <v>43914</v>
      </c>
      <c r="C121" s="1" t="n">
        <v>45723</v>
      </c>
      <c r="D121" t="inlineStr">
        <is>
          <t>VÄSTRA GÖTALANDS LÄN</t>
        </is>
      </c>
      <c r="E121" t="inlineStr">
        <is>
          <t>MARIESTAD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15619-2020</t>
        </is>
      </c>
      <c r="B122" s="1" t="n">
        <v>43914</v>
      </c>
      <c r="C122" s="1" t="n">
        <v>45723</v>
      </c>
      <c r="D122" t="inlineStr">
        <is>
          <t>VÄSTRA GÖTALANDS LÄN</t>
        </is>
      </c>
      <c r="E122" t="inlineStr">
        <is>
          <t>MARIESTAD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15621-2020</t>
        </is>
      </c>
      <c r="B123" s="1" t="n">
        <v>43914</v>
      </c>
      <c r="C123" s="1" t="n">
        <v>45723</v>
      </c>
      <c r="D123" t="inlineStr">
        <is>
          <t>VÄSTRA GÖTALANDS LÄN</t>
        </is>
      </c>
      <c r="E123" t="inlineStr">
        <is>
          <t>MARIESTAD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15623-2020</t>
        </is>
      </c>
      <c r="B124" s="1" t="n">
        <v>43914</v>
      </c>
      <c r="C124" s="1" t="n">
        <v>45723</v>
      </c>
      <c r="D124" t="inlineStr">
        <is>
          <t>VÄSTRA GÖTALANDS LÄN</t>
        </is>
      </c>
      <c r="E124" t="inlineStr">
        <is>
          <t>MARIESTAD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16626-2020</t>
        </is>
      </c>
      <c r="B125" s="1" t="n">
        <v>43920</v>
      </c>
      <c r="C125" s="1" t="n">
        <v>45723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16837-2020</t>
        </is>
      </c>
      <c r="B126" s="1" t="n">
        <v>43921</v>
      </c>
      <c r="C126" s="1" t="n">
        <v>45723</v>
      </c>
      <c r="D126" t="inlineStr">
        <is>
          <t>VÄSTRA GÖTALANDS LÄN</t>
        </is>
      </c>
      <c r="E126" t="inlineStr">
        <is>
          <t>MARIESTAD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18951-2020</t>
        </is>
      </c>
      <c r="B127" s="1" t="n">
        <v>43935</v>
      </c>
      <c r="C127" s="1" t="n">
        <v>45723</v>
      </c>
      <c r="D127" t="inlineStr">
        <is>
          <t>VÄSTRA GÖTALANDS LÄN</t>
        </is>
      </c>
      <c r="E127" t="inlineStr">
        <is>
          <t>MARIESTAD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19800-2020</t>
        </is>
      </c>
      <c r="B128" s="1" t="n">
        <v>43942</v>
      </c>
      <c r="C128" s="1" t="n">
        <v>45723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21445-2020</t>
        </is>
      </c>
      <c r="B129" s="1" t="n">
        <v>43956</v>
      </c>
      <c r="C129" s="1" t="n">
        <v>45723</v>
      </c>
      <c r="D129" t="inlineStr">
        <is>
          <t>VÄSTRA GÖTALANDS LÄN</t>
        </is>
      </c>
      <c r="E129" t="inlineStr">
        <is>
          <t>MARIESTAD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22146-2020</t>
        </is>
      </c>
      <c r="B130" s="1" t="n">
        <v>43961</v>
      </c>
      <c r="C130" s="1" t="n">
        <v>45723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22744-2020</t>
        </is>
      </c>
      <c r="B131" s="1" t="n">
        <v>43964</v>
      </c>
      <c r="C131" s="1" t="n">
        <v>45723</v>
      </c>
      <c r="D131" t="inlineStr">
        <is>
          <t>VÄSTRA GÖTALANDS LÄN</t>
        </is>
      </c>
      <c r="E131" t="inlineStr">
        <is>
          <t>MARIESTAD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23139-2020</t>
        </is>
      </c>
      <c r="B132" s="1" t="n">
        <v>43966</v>
      </c>
      <c r="C132" s="1" t="n">
        <v>45723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23739-2020</t>
        </is>
      </c>
      <c r="B133" s="1" t="n">
        <v>43970</v>
      </c>
      <c r="C133" s="1" t="n">
        <v>45723</v>
      </c>
      <c r="D133" t="inlineStr">
        <is>
          <t>VÄSTRA GÖTALANDS LÄN</t>
        </is>
      </c>
      <c r="E133" t="inlineStr">
        <is>
          <t>MARIESTAD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24111-2020</t>
        </is>
      </c>
      <c r="B134" s="1" t="n">
        <v>43973</v>
      </c>
      <c r="C134" s="1" t="n">
        <v>45723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24768-2020</t>
        </is>
      </c>
      <c r="B135" s="1" t="n">
        <v>43978</v>
      </c>
      <c r="C135" s="1" t="n">
        <v>45723</v>
      </c>
      <c r="D135" t="inlineStr">
        <is>
          <t>VÄSTRA GÖTALANDS LÄN</t>
        </is>
      </c>
      <c r="E135" t="inlineStr">
        <is>
          <t>MARIESTAD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24938-2020</t>
        </is>
      </c>
      <c r="B136" s="1" t="n">
        <v>43979</v>
      </c>
      <c r="C136" s="1" t="n">
        <v>45723</v>
      </c>
      <c r="D136" t="inlineStr">
        <is>
          <t>VÄSTRA GÖTALANDS LÄN</t>
        </is>
      </c>
      <c r="E136" t="inlineStr">
        <is>
          <t>MARIESTAD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24895-2020</t>
        </is>
      </c>
      <c r="B137" s="1" t="n">
        <v>43979</v>
      </c>
      <c r="C137" s="1" t="n">
        <v>45723</v>
      </c>
      <c r="D137" t="inlineStr">
        <is>
          <t>VÄSTRA GÖTALANDS LÄN</t>
        </is>
      </c>
      <c r="E137" t="inlineStr">
        <is>
          <t>MARIESTAD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26481-2020</t>
        </is>
      </c>
      <c r="B138" s="1" t="n">
        <v>43987</v>
      </c>
      <c r="C138" s="1" t="n">
        <v>45723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27089-2020</t>
        </is>
      </c>
      <c r="B139" s="1" t="n">
        <v>43990</v>
      </c>
      <c r="C139" s="1" t="n">
        <v>45723</v>
      </c>
      <c r="D139" t="inlineStr">
        <is>
          <t>VÄSTRA GÖTALANDS LÄN</t>
        </is>
      </c>
      <c r="E139" t="inlineStr">
        <is>
          <t>MARIESTAD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27482-2020</t>
        </is>
      </c>
      <c r="B140" s="1" t="n">
        <v>43993</v>
      </c>
      <c r="C140" s="1" t="n">
        <v>45723</v>
      </c>
      <c r="D140" t="inlineStr">
        <is>
          <t>VÄSTRA GÖTALANDS LÄN</t>
        </is>
      </c>
      <c r="E140" t="inlineStr">
        <is>
          <t>MARIESTAD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28605-2020</t>
        </is>
      </c>
      <c r="B141" s="1" t="n">
        <v>43999</v>
      </c>
      <c r="C141" s="1" t="n">
        <v>45723</v>
      </c>
      <c r="D141" t="inlineStr">
        <is>
          <t>VÄSTRA GÖTALANDS LÄN</t>
        </is>
      </c>
      <c r="E141" t="inlineStr">
        <is>
          <t>MARIESTAD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28608-2020</t>
        </is>
      </c>
      <c r="B142" s="1" t="n">
        <v>43999</v>
      </c>
      <c r="C142" s="1" t="n">
        <v>45723</v>
      </c>
      <c r="D142" t="inlineStr">
        <is>
          <t>VÄSTRA GÖTALANDS LÄN</t>
        </is>
      </c>
      <c r="E142" t="inlineStr">
        <is>
          <t>MARIESTAD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32021-2020</t>
        </is>
      </c>
      <c r="B143" s="1" t="n">
        <v>44015</v>
      </c>
      <c r="C143" s="1" t="n">
        <v>45723</v>
      </c>
      <c r="D143" t="inlineStr">
        <is>
          <t>VÄSTRA GÖTALANDS LÄN</t>
        </is>
      </c>
      <c r="E143" t="inlineStr">
        <is>
          <t>MARIESTAD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33483-2020</t>
        </is>
      </c>
      <c r="B144" s="1" t="n">
        <v>44024</v>
      </c>
      <c r="C144" s="1" t="n">
        <v>45723</v>
      </c>
      <c r="D144" t="inlineStr">
        <is>
          <t>VÄSTRA GÖTALANDS LÄN</t>
        </is>
      </c>
      <c r="E144" t="inlineStr">
        <is>
          <t>MARIESTAD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34222-2020</t>
        </is>
      </c>
      <c r="B145" s="1" t="n">
        <v>44029</v>
      </c>
      <c r="C145" s="1" t="n">
        <v>45723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35108-2020</t>
        </is>
      </c>
      <c r="B146" s="1" t="n">
        <v>44040</v>
      </c>
      <c r="C146" s="1" t="n">
        <v>45723</v>
      </c>
      <c r="D146" t="inlineStr">
        <is>
          <t>VÄSTRA GÖTALANDS LÄN</t>
        </is>
      </c>
      <c r="E146" t="inlineStr">
        <is>
          <t>MARIESTAD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36714-2020</t>
        </is>
      </c>
      <c r="B147" s="1" t="n">
        <v>44052</v>
      </c>
      <c r="C147" s="1" t="n">
        <v>45723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37550-2020</t>
        </is>
      </c>
      <c r="B148" s="1" t="n">
        <v>44056</v>
      </c>
      <c r="C148" s="1" t="n">
        <v>45723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39211-2020</t>
        </is>
      </c>
      <c r="B149" s="1" t="n">
        <v>44063</v>
      </c>
      <c r="C149" s="1" t="n">
        <v>45723</v>
      </c>
      <c r="D149" t="inlineStr">
        <is>
          <t>VÄSTRA GÖTALANDS LÄN</t>
        </is>
      </c>
      <c r="E149" t="inlineStr">
        <is>
          <t>MARIESTAD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39179-2020</t>
        </is>
      </c>
      <c r="B150" s="1" t="n">
        <v>44063</v>
      </c>
      <c r="C150" s="1" t="n">
        <v>45723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39276-2020</t>
        </is>
      </c>
      <c r="B151" s="1" t="n">
        <v>44063</v>
      </c>
      <c r="C151" s="1" t="n">
        <v>45723</v>
      </c>
      <c r="D151" t="inlineStr">
        <is>
          <t>VÄSTRA GÖTALANDS LÄN</t>
        </is>
      </c>
      <c r="E151" t="inlineStr">
        <is>
          <t>MARIESTAD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39182-2020</t>
        </is>
      </c>
      <c r="B152" s="1" t="n">
        <v>44063</v>
      </c>
      <c r="C152" s="1" t="n">
        <v>45723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39457-2020</t>
        </is>
      </c>
      <c r="B153" s="1" t="n">
        <v>44064</v>
      </c>
      <c r="C153" s="1" t="n">
        <v>45723</v>
      </c>
      <c r="D153" t="inlineStr">
        <is>
          <t>VÄSTRA GÖTALANDS LÄN</t>
        </is>
      </c>
      <c r="E153" t="inlineStr">
        <is>
          <t>MARIESTAD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39722-2020</t>
        </is>
      </c>
      <c r="B154" s="1" t="n">
        <v>44067</v>
      </c>
      <c r="C154" s="1" t="n">
        <v>45723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40232-2020</t>
        </is>
      </c>
      <c r="B155" s="1" t="n">
        <v>44068</v>
      </c>
      <c r="C155" s="1" t="n">
        <v>45723</v>
      </c>
      <c r="D155" t="inlineStr">
        <is>
          <t>VÄSTRA GÖTALANDS LÄN</t>
        </is>
      </c>
      <c r="E155" t="inlineStr">
        <is>
          <t>MARIESTAD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40236-2020</t>
        </is>
      </c>
      <c r="B156" s="1" t="n">
        <v>44068</v>
      </c>
      <c r="C156" s="1" t="n">
        <v>45723</v>
      </c>
      <c r="D156" t="inlineStr">
        <is>
          <t>VÄSTRA GÖTALANDS LÄN</t>
        </is>
      </c>
      <c r="E156" t="inlineStr">
        <is>
          <t>MARIESTAD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43293-2020</t>
        </is>
      </c>
      <c r="B157" s="1" t="n">
        <v>44081</v>
      </c>
      <c r="C157" s="1" t="n">
        <v>45723</v>
      </c>
      <c r="D157" t="inlineStr">
        <is>
          <t>VÄSTRA GÖTALANDS LÄN</t>
        </is>
      </c>
      <c r="E157" t="inlineStr">
        <is>
          <t>MARIESTAD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45072-2020</t>
        </is>
      </c>
      <c r="B158" s="1" t="n">
        <v>44088</v>
      </c>
      <c r="C158" s="1" t="n">
        <v>45723</v>
      </c>
      <c r="D158" t="inlineStr">
        <is>
          <t>VÄSTRA GÖTALANDS LÄN</t>
        </is>
      </c>
      <c r="E158" t="inlineStr">
        <is>
          <t>MARIESTAD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45039-2020</t>
        </is>
      </c>
      <c r="B159" s="1" t="n">
        <v>44088</v>
      </c>
      <c r="C159" s="1" t="n">
        <v>45723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45679-2020</t>
        </is>
      </c>
      <c r="B160" s="1" t="n">
        <v>44090</v>
      </c>
      <c r="C160" s="1" t="n">
        <v>45723</v>
      </c>
      <c r="D160" t="inlineStr">
        <is>
          <t>VÄSTRA GÖTALANDS LÄN</t>
        </is>
      </c>
      <c r="E160" t="inlineStr">
        <is>
          <t>MARIESTAD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46932-2020</t>
        </is>
      </c>
      <c r="B161" s="1" t="n">
        <v>44096</v>
      </c>
      <c r="C161" s="1" t="n">
        <v>45723</v>
      </c>
      <c r="D161" t="inlineStr">
        <is>
          <t>VÄSTRA GÖTALANDS LÄN</t>
        </is>
      </c>
      <c r="E161" t="inlineStr">
        <is>
          <t>MARIESTAD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50024-2020</t>
        </is>
      </c>
      <c r="B162" s="1" t="n">
        <v>44104</v>
      </c>
      <c r="C162" s="1" t="n">
        <v>45723</v>
      </c>
      <c r="D162" t="inlineStr">
        <is>
          <t>VÄSTRA GÖTALANDS LÄN</t>
        </is>
      </c>
      <c r="E162" t="inlineStr">
        <is>
          <t>MARIESTAD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49237-2020</t>
        </is>
      </c>
      <c r="B163" s="1" t="n">
        <v>44105</v>
      </c>
      <c r="C163" s="1" t="n">
        <v>45723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49644-2020</t>
        </is>
      </c>
      <c r="B164" s="1" t="n">
        <v>44106</v>
      </c>
      <c r="C164" s="1" t="n">
        <v>45723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49706-2020</t>
        </is>
      </c>
      <c r="B165" s="1" t="n">
        <v>44106</v>
      </c>
      <c r="C165" s="1" t="n">
        <v>45723</v>
      </c>
      <c r="D165" t="inlineStr">
        <is>
          <t>VÄSTRA GÖTALANDS LÄN</t>
        </is>
      </c>
      <c r="E165" t="inlineStr">
        <is>
          <t>MARIESTAD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49646-2020</t>
        </is>
      </c>
      <c r="B166" s="1" t="n">
        <v>44106</v>
      </c>
      <c r="C166" s="1" t="n">
        <v>45723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51150-2020</t>
        </is>
      </c>
      <c r="B167" s="1" t="n">
        <v>44106</v>
      </c>
      <c r="C167" s="1" t="n">
        <v>45723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51266-2020</t>
        </is>
      </c>
      <c r="B168" s="1" t="n">
        <v>44106</v>
      </c>
      <c r="C168" s="1" t="n">
        <v>45723</v>
      </c>
      <c r="D168" t="inlineStr">
        <is>
          <t>VÄSTRA GÖTALANDS LÄN</t>
        </is>
      </c>
      <c r="E168" t="inlineStr">
        <is>
          <t>MARIESTAD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51143-2020</t>
        </is>
      </c>
      <c r="B169" s="1" t="n">
        <v>44106</v>
      </c>
      <c r="C169" s="1" t="n">
        <v>45723</v>
      </c>
      <c r="D169" t="inlineStr">
        <is>
          <t>VÄSTRA GÖTALANDS LÄN</t>
        </is>
      </c>
      <c r="E169" t="inlineStr">
        <is>
          <t>MARIESTAD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51026-2020</t>
        </is>
      </c>
      <c r="B170" s="1" t="n">
        <v>44112</v>
      </c>
      <c r="C170" s="1" t="n">
        <v>45723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52179-2020</t>
        </is>
      </c>
      <c r="B171" s="1" t="n">
        <v>44117</v>
      </c>
      <c r="C171" s="1" t="n">
        <v>45723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53574-2020</t>
        </is>
      </c>
      <c r="B172" s="1" t="n">
        <v>44124</v>
      </c>
      <c r="C172" s="1" t="n">
        <v>45723</v>
      </c>
      <c r="D172" t="inlineStr">
        <is>
          <t>VÄSTRA GÖTALANDS LÄN</t>
        </is>
      </c>
      <c r="E172" t="inlineStr">
        <is>
          <t>MARIESTAD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54599-2020</t>
        </is>
      </c>
      <c r="B173" s="1" t="n">
        <v>44127</v>
      </c>
      <c r="C173" s="1" t="n">
        <v>45723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55202-2020</t>
        </is>
      </c>
      <c r="B174" s="1" t="n">
        <v>44130</v>
      </c>
      <c r="C174" s="1" t="n">
        <v>45723</v>
      </c>
      <c r="D174" t="inlineStr">
        <is>
          <t>VÄSTRA GÖTALANDS LÄN</t>
        </is>
      </c>
      <c r="E174" t="inlineStr">
        <is>
          <t>MARIESTAD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57099-2020</t>
        </is>
      </c>
      <c r="B175" s="1" t="n">
        <v>44139</v>
      </c>
      <c r="C175" s="1" t="n">
        <v>45723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57614-2020</t>
        </is>
      </c>
      <c r="B176" s="1" t="n">
        <v>44139</v>
      </c>
      <c r="C176" s="1" t="n">
        <v>45723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57618-2020</t>
        </is>
      </c>
      <c r="B177" s="1" t="n">
        <v>44139</v>
      </c>
      <c r="C177" s="1" t="n">
        <v>45723</v>
      </c>
      <c r="D177" t="inlineStr">
        <is>
          <t>VÄSTRA GÖTALANDS LÄN</t>
        </is>
      </c>
      <c r="E177" t="inlineStr">
        <is>
          <t>MARIESTAD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60173-2020</t>
        </is>
      </c>
      <c r="B178" s="1" t="n">
        <v>44152</v>
      </c>
      <c r="C178" s="1" t="n">
        <v>45723</v>
      </c>
      <c r="D178" t="inlineStr">
        <is>
          <t>VÄSTRA GÖTALANDS LÄN</t>
        </is>
      </c>
      <c r="E178" t="inlineStr">
        <is>
          <t>MARIESTAD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60189-2020</t>
        </is>
      </c>
      <c r="B179" s="1" t="n">
        <v>44152</v>
      </c>
      <c r="C179" s="1" t="n">
        <v>45723</v>
      </c>
      <c r="D179" t="inlineStr">
        <is>
          <t>VÄSTRA GÖTALANDS LÄN</t>
        </is>
      </c>
      <c r="E179" t="inlineStr">
        <is>
          <t>MARIESTAD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62950-2020</t>
        </is>
      </c>
      <c r="B180" s="1" t="n">
        <v>44161</v>
      </c>
      <c r="C180" s="1" t="n">
        <v>45723</v>
      </c>
      <c r="D180" t="inlineStr">
        <is>
          <t>VÄSTRA GÖTALANDS LÄN</t>
        </is>
      </c>
      <c r="E180" t="inlineStr">
        <is>
          <t>MARIESTAD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63406-2020</t>
        </is>
      </c>
      <c r="B181" s="1" t="n">
        <v>44165</v>
      </c>
      <c r="C181" s="1" t="n">
        <v>45723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63895-2020</t>
        </is>
      </c>
      <c r="B182" s="1" t="n">
        <v>44165</v>
      </c>
      <c r="C182" s="1" t="n">
        <v>45723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63891-2020</t>
        </is>
      </c>
      <c r="B183" s="1" t="n">
        <v>44165</v>
      </c>
      <c r="C183" s="1" t="n">
        <v>45723</v>
      </c>
      <c r="D183" t="inlineStr">
        <is>
          <t>VÄSTRA GÖTALANDS LÄN</t>
        </is>
      </c>
      <c r="E183" t="inlineStr">
        <is>
          <t>MARIESTAD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64037-2020</t>
        </is>
      </c>
      <c r="B184" s="1" t="n">
        <v>44165</v>
      </c>
      <c r="C184" s="1" t="n">
        <v>45723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63967-2020</t>
        </is>
      </c>
      <c r="B185" s="1" t="n">
        <v>44167</v>
      </c>
      <c r="C185" s="1" t="n">
        <v>45723</v>
      </c>
      <c r="D185" t="inlineStr">
        <is>
          <t>VÄSTRA GÖTALANDS LÄN</t>
        </is>
      </c>
      <c r="E185" t="inlineStr">
        <is>
          <t>MARIESTAD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64039-2020</t>
        </is>
      </c>
      <c r="B186" s="1" t="n">
        <v>44167</v>
      </c>
      <c r="C186" s="1" t="n">
        <v>45723</v>
      </c>
      <c r="D186" t="inlineStr">
        <is>
          <t>VÄSTRA GÖTALANDS LÄN</t>
        </is>
      </c>
      <c r="E186" t="inlineStr">
        <is>
          <t>MARIESTAD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66864-2020</t>
        </is>
      </c>
      <c r="B187" s="1" t="n">
        <v>44180</v>
      </c>
      <c r="C187" s="1" t="n">
        <v>45723</v>
      </c>
      <c r="D187" t="inlineStr">
        <is>
          <t>VÄSTRA GÖTALANDS LÄN</t>
        </is>
      </c>
      <c r="E187" t="inlineStr">
        <is>
          <t>MARIESTAD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69296-2020</t>
        </is>
      </c>
      <c r="B188" s="1" t="n">
        <v>44193</v>
      </c>
      <c r="C188" s="1" t="n">
        <v>45723</v>
      </c>
      <c r="D188" t="inlineStr">
        <is>
          <t>VÄSTRA GÖTALANDS LÄN</t>
        </is>
      </c>
      <c r="E188" t="inlineStr">
        <is>
          <t>MARIESTAD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1795-2021</t>
        </is>
      </c>
      <c r="B189" s="1" t="n">
        <v>44210</v>
      </c>
      <c r="C189" s="1" t="n">
        <v>45723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4147-2021</t>
        </is>
      </c>
      <c r="B190" s="1" t="n">
        <v>44221</v>
      </c>
      <c r="C190" s="1" t="n">
        <v>45723</v>
      </c>
      <c r="D190" t="inlineStr">
        <is>
          <t>VÄSTRA GÖTALANDS LÄN</t>
        </is>
      </c>
      <c r="E190" t="inlineStr">
        <is>
          <t>MARIESTAD</t>
        </is>
      </c>
      <c r="G190" t="n">
        <v>45.2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5152-2021</t>
        </is>
      </c>
      <c r="B191" s="1" t="n">
        <v>44228</v>
      </c>
      <c r="C191" s="1" t="n">
        <v>45723</v>
      </c>
      <c r="D191" t="inlineStr">
        <is>
          <t>VÄSTRA GÖTALANDS LÄN</t>
        </is>
      </c>
      <c r="E191" t="inlineStr">
        <is>
          <t>MARIESTAD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7288-2021</t>
        </is>
      </c>
      <c r="B192" s="1" t="n">
        <v>44238</v>
      </c>
      <c r="C192" s="1" t="n">
        <v>45723</v>
      </c>
      <c r="D192" t="inlineStr">
        <is>
          <t>VÄSTRA GÖTALANDS LÄN</t>
        </is>
      </c>
      <c r="E192" t="inlineStr">
        <is>
          <t>MARIESTAD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8004-2021</t>
        </is>
      </c>
      <c r="B193" s="1" t="n">
        <v>44243</v>
      </c>
      <c r="C193" s="1" t="n">
        <v>45723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10129-2021</t>
        </is>
      </c>
      <c r="B194" s="1" t="n">
        <v>44256</v>
      </c>
      <c r="C194" s="1" t="n">
        <v>45723</v>
      </c>
      <c r="D194" t="inlineStr">
        <is>
          <t>VÄSTRA GÖTALANDS LÄN</t>
        </is>
      </c>
      <c r="E194" t="inlineStr">
        <is>
          <t>MARIESTAD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10901-2021</t>
        </is>
      </c>
      <c r="B195" s="1" t="n">
        <v>44259</v>
      </c>
      <c r="C195" s="1" t="n">
        <v>45723</v>
      </c>
      <c r="D195" t="inlineStr">
        <is>
          <t>VÄSTRA GÖTALANDS LÄN</t>
        </is>
      </c>
      <c r="E195" t="inlineStr">
        <is>
          <t>MARIESTAD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11029-2021</t>
        </is>
      </c>
      <c r="B196" s="1" t="n">
        <v>44260</v>
      </c>
      <c r="C196" s="1" t="n">
        <v>45723</v>
      </c>
      <c r="D196" t="inlineStr">
        <is>
          <t>VÄSTRA GÖTALANDS LÄN</t>
        </is>
      </c>
      <c r="E196" t="inlineStr">
        <is>
          <t>MARIESTAD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11023-2021</t>
        </is>
      </c>
      <c r="B197" s="1" t="n">
        <v>44260</v>
      </c>
      <c r="C197" s="1" t="n">
        <v>45723</v>
      </c>
      <c r="D197" t="inlineStr">
        <is>
          <t>VÄSTRA GÖTALANDS LÄN</t>
        </is>
      </c>
      <c r="E197" t="inlineStr">
        <is>
          <t>MARIESTAD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11442-2021</t>
        </is>
      </c>
      <c r="B198" s="1" t="n">
        <v>44264</v>
      </c>
      <c r="C198" s="1" t="n">
        <v>45723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12122-2021</t>
        </is>
      </c>
      <c r="B199" s="1" t="n">
        <v>44266</v>
      </c>
      <c r="C199" s="1" t="n">
        <v>45723</v>
      </c>
      <c r="D199" t="inlineStr">
        <is>
          <t>VÄSTRA GÖTALANDS LÄN</t>
        </is>
      </c>
      <c r="E199" t="inlineStr">
        <is>
          <t>MARIESTAD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14495-2021</t>
        </is>
      </c>
      <c r="B200" s="1" t="n">
        <v>44279</v>
      </c>
      <c r="C200" s="1" t="n">
        <v>45723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16951-2021</t>
        </is>
      </c>
      <c r="B201" s="1" t="n">
        <v>44295</v>
      </c>
      <c r="C201" s="1" t="n">
        <v>45723</v>
      </c>
      <c r="D201" t="inlineStr">
        <is>
          <t>VÄSTRA GÖTALANDS LÄN</t>
        </is>
      </c>
      <c r="E201" t="inlineStr">
        <is>
          <t>MARIESTAD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17685-2021</t>
        </is>
      </c>
      <c r="B202" s="1" t="n">
        <v>44300</v>
      </c>
      <c r="C202" s="1" t="n">
        <v>45723</v>
      </c>
      <c r="D202" t="inlineStr">
        <is>
          <t>VÄSTRA GÖTALANDS LÄN</t>
        </is>
      </c>
      <c r="E202" t="inlineStr">
        <is>
          <t>MARIESTAD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17624-2021</t>
        </is>
      </c>
      <c r="B203" s="1" t="n">
        <v>44300</v>
      </c>
      <c r="C203" s="1" t="n">
        <v>45723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21020-2021</t>
        </is>
      </c>
      <c r="B204" s="1" t="n">
        <v>44319</v>
      </c>
      <c r="C204" s="1" t="n">
        <v>45723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21017-2021</t>
        </is>
      </c>
      <c r="B205" s="1" t="n">
        <v>44319</v>
      </c>
      <c r="C205" s="1" t="n">
        <v>45723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24420-2021</t>
        </is>
      </c>
      <c r="B206" s="1" t="n">
        <v>44337</v>
      </c>
      <c r="C206" s="1" t="n">
        <v>45723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24603-2021</t>
        </is>
      </c>
      <c r="B207" s="1" t="n">
        <v>44340</v>
      </c>
      <c r="C207" s="1" t="n">
        <v>45723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25969-2021</t>
        </is>
      </c>
      <c r="B208" s="1" t="n">
        <v>44344</v>
      </c>
      <c r="C208" s="1" t="n">
        <v>45723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45723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27858-2021</t>
        </is>
      </c>
      <c r="B210" s="1" t="n">
        <v>44354</v>
      </c>
      <c r="C210" s="1" t="n">
        <v>45723</v>
      </c>
      <c r="D210" t="inlineStr">
        <is>
          <t>VÄSTRA GÖTALANDS LÄN</t>
        </is>
      </c>
      <c r="E210" t="inlineStr">
        <is>
          <t>MARIESTAD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28407-2021</t>
        </is>
      </c>
      <c r="B211" s="1" t="n">
        <v>44356</v>
      </c>
      <c r="C211" s="1" t="n">
        <v>45723</v>
      </c>
      <c r="D211" t="inlineStr">
        <is>
          <t>VÄSTRA GÖTALANDS LÄN</t>
        </is>
      </c>
      <c r="E211" t="inlineStr">
        <is>
          <t>MARIESTAD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28622-2021</t>
        </is>
      </c>
      <c r="B212" s="1" t="n">
        <v>44356</v>
      </c>
      <c r="C212" s="1" t="n">
        <v>45723</v>
      </c>
      <c r="D212" t="inlineStr">
        <is>
          <t>VÄSTRA GÖTALANDS LÄN</t>
        </is>
      </c>
      <c r="E212" t="inlineStr">
        <is>
          <t>MARIESTAD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28641-2021</t>
        </is>
      </c>
      <c r="B213" s="1" t="n">
        <v>44357</v>
      </c>
      <c r="C213" s="1" t="n">
        <v>45723</v>
      </c>
      <c r="D213" t="inlineStr">
        <is>
          <t>VÄSTRA GÖTALANDS LÄN</t>
        </is>
      </c>
      <c r="E213" t="inlineStr">
        <is>
          <t>MARIESTAD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29537-2021</t>
        </is>
      </c>
      <c r="B214" s="1" t="n">
        <v>44361</v>
      </c>
      <c r="C214" s="1" t="n">
        <v>45723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29939-2021</t>
        </is>
      </c>
      <c r="B215" s="1" t="n">
        <v>44363</v>
      </c>
      <c r="C215" s="1" t="n">
        <v>45723</v>
      </c>
      <c r="D215" t="inlineStr">
        <is>
          <t>VÄSTRA GÖTALANDS LÄN</t>
        </is>
      </c>
      <c r="E215" t="inlineStr">
        <is>
          <t>MARIESTAD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32215-2021</t>
        </is>
      </c>
      <c r="B216" s="1" t="n">
        <v>44371</v>
      </c>
      <c r="C216" s="1" t="n">
        <v>45723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32167-2021</t>
        </is>
      </c>
      <c r="B217" s="1" t="n">
        <v>44371</v>
      </c>
      <c r="C217" s="1" t="n">
        <v>45723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32212-2021</t>
        </is>
      </c>
      <c r="B218" s="1" t="n">
        <v>44371</v>
      </c>
      <c r="C218" s="1" t="n">
        <v>45723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32169-2021</t>
        </is>
      </c>
      <c r="B219" s="1" t="n">
        <v>44371</v>
      </c>
      <c r="C219" s="1" t="n">
        <v>45723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32213-2021</t>
        </is>
      </c>
      <c r="B220" s="1" t="n">
        <v>44371</v>
      </c>
      <c r="C220" s="1" t="n">
        <v>45723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34864-2021</t>
        </is>
      </c>
      <c r="B221" s="1" t="n">
        <v>44383</v>
      </c>
      <c r="C221" s="1" t="n">
        <v>45723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36038-2021</t>
        </is>
      </c>
      <c r="B222" s="1" t="n">
        <v>44386</v>
      </c>
      <c r="C222" s="1" t="n">
        <v>45723</v>
      </c>
      <c r="D222" t="inlineStr">
        <is>
          <t>VÄSTRA GÖTALANDS LÄN</t>
        </is>
      </c>
      <c r="E222" t="inlineStr">
        <is>
          <t>MARIESTAD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36032-2021</t>
        </is>
      </c>
      <c r="B223" s="1" t="n">
        <v>44386</v>
      </c>
      <c r="C223" s="1" t="n">
        <v>45723</v>
      </c>
      <c r="D223" t="inlineStr">
        <is>
          <t>VÄSTRA GÖTALANDS LÄN</t>
        </is>
      </c>
      <c r="E223" t="inlineStr">
        <is>
          <t>MARIESTAD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38054-2021</t>
        </is>
      </c>
      <c r="B224" s="1" t="n">
        <v>44404</v>
      </c>
      <c r="C224" s="1" t="n">
        <v>45723</v>
      </c>
      <c r="D224" t="inlineStr">
        <is>
          <t>VÄSTRA GÖTALANDS LÄN</t>
        </is>
      </c>
      <c r="E224" t="inlineStr">
        <is>
          <t>MARIESTAD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39055-2021</t>
        </is>
      </c>
      <c r="B225" s="1" t="n">
        <v>44412</v>
      </c>
      <c r="C225" s="1" t="n">
        <v>45723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39352-2021</t>
        </is>
      </c>
      <c r="B226" s="1" t="n">
        <v>44414</v>
      </c>
      <c r="C226" s="1" t="n">
        <v>45723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39437-2021</t>
        </is>
      </c>
      <c r="B227" s="1" t="n">
        <v>44414</v>
      </c>
      <c r="C227" s="1" t="n">
        <v>45723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41761-2021</t>
        </is>
      </c>
      <c r="B228" s="1" t="n">
        <v>44425</v>
      </c>
      <c r="C228" s="1" t="n">
        <v>45723</v>
      </c>
      <c r="D228" t="inlineStr">
        <is>
          <t>VÄSTRA GÖTALANDS LÄN</t>
        </is>
      </c>
      <c r="E228" t="inlineStr">
        <is>
          <t>MARIESTAD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42161-2021</t>
        </is>
      </c>
      <c r="B229" s="1" t="n">
        <v>44426</v>
      </c>
      <c r="C229" s="1" t="n">
        <v>45723</v>
      </c>
      <c r="D229" t="inlineStr">
        <is>
          <t>VÄSTRA GÖTALANDS LÄN</t>
        </is>
      </c>
      <c r="E229" t="inlineStr">
        <is>
          <t>MARIESTAD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43562-2021</t>
        </is>
      </c>
      <c r="B230" s="1" t="n">
        <v>44433</v>
      </c>
      <c r="C230" s="1" t="n">
        <v>45723</v>
      </c>
      <c r="D230" t="inlineStr">
        <is>
          <t>VÄSTRA GÖTALANDS LÄN</t>
        </is>
      </c>
      <c r="E230" t="inlineStr">
        <is>
          <t>MARIESTAD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45520-2021</t>
        </is>
      </c>
      <c r="B231" s="1" t="n">
        <v>44440</v>
      </c>
      <c r="C231" s="1" t="n">
        <v>45723</v>
      </c>
      <c r="D231" t="inlineStr">
        <is>
          <t>VÄSTRA GÖTALANDS LÄN</t>
        </is>
      </c>
      <c r="E231" t="inlineStr">
        <is>
          <t>MARIESTAD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46573-2021</t>
        </is>
      </c>
      <c r="B232" s="1" t="n">
        <v>44445</v>
      </c>
      <c r="C232" s="1" t="n">
        <v>45723</v>
      </c>
      <c r="D232" t="inlineStr">
        <is>
          <t>VÄSTRA GÖTALANDS LÄN</t>
        </is>
      </c>
      <c r="E232" t="inlineStr">
        <is>
          <t>MARIESTAD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46655-2021</t>
        </is>
      </c>
      <c r="B233" s="1" t="n">
        <v>44445</v>
      </c>
      <c r="C233" s="1" t="n">
        <v>45723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46841-2021</t>
        </is>
      </c>
      <c r="B234" s="1" t="n">
        <v>44446</v>
      </c>
      <c r="C234" s="1" t="n">
        <v>45723</v>
      </c>
      <c r="D234" t="inlineStr">
        <is>
          <t>VÄSTRA GÖTALANDS LÄN</t>
        </is>
      </c>
      <c r="E234" t="inlineStr">
        <is>
          <t>MARIESTAD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46835-2021</t>
        </is>
      </c>
      <c r="B235" s="1" t="n">
        <v>44446</v>
      </c>
      <c r="C235" s="1" t="n">
        <v>45723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47076-2021</t>
        </is>
      </c>
      <c r="B236" s="1" t="n">
        <v>44446</v>
      </c>
      <c r="C236" s="1" t="n">
        <v>45723</v>
      </c>
      <c r="D236" t="inlineStr">
        <is>
          <t>VÄSTRA GÖTALANDS LÄN</t>
        </is>
      </c>
      <c r="E236" t="inlineStr">
        <is>
          <t>MARIESTAD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47194-2021</t>
        </is>
      </c>
      <c r="B237" s="1" t="n">
        <v>44447</v>
      </c>
      <c r="C237" s="1" t="n">
        <v>45723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47193-2021</t>
        </is>
      </c>
      <c r="B238" s="1" t="n">
        <v>44447</v>
      </c>
      <c r="C238" s="1" t="n">
        <v>45723</v>
      </c>
      <c r="D238" t="inlineStr">
        <is>
          <t>VÄSTRA GÖTALANDS LÄN</t>
        </is>
      </c>
      <c r="E238" t="inlineStr">
        <is>
          <t>MARIESTAD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49106-2021</t>
        </is>
      </c>
      <c r="B239" s="1" t="n">
        <v>44453</v>
      </c>
      <c r="C239" s="1" t="n">
        <v>45723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49896-2021</t>
        </is>
      </c>
      <c r="B240" s="1" t="n">
        <v>44455</v>
      </c>
      <c r="C240" s="1" t="n">
        <v>45723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50817-2021</t>
        </is>
      </c>
      <c r="B241" s="1" t="n">
        <v>44460</v>
      </c>
      <c r="C241" s="1" t="n">
        <v>45723</v>
      </c>
      <c r="D241" t="inlineStr">
        <is>
          <t>VÄSTRA GÖTALANDS LÄN</t>
        </is>
      </c>
      <c r="E241" t="inlineStr">
        <is>
          <t>MARIESTAD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50820-2021</t>
        </is>
      </c>
      <c r="B242" s="1" t="n">
        <v>44460</v>
      </c>
      <c r="C242" s="1" t="n">
        <v>45723</v>
      </c>
      <c r="D242" t="inlineStr">
        <is>
          <t>VÄSTRA GÖTALANDS LÄN</t>
        </is>
      </c>
      <c r="E242" t="inlineStr">
        <is>
          <t>MARIESTAD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51154-2021</t>
        </is>
      </c>
      <c r="B243" s="1" t="n">
        <v>44461</v>
      </c>
      <c r="C243" s="1" t="n">
        <v>45723</v>
      </c>
      <c r="D243" t="inlineStr">
        <is>
          <t>VÄSTRA GÖTALANDS LÄN</t>
        </is>
      </c>
      <c r="E243" t="inlineStr">
        <is>
          <t>MARIESTAD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51156-2021</t>
        </is>
      </c>
      <c r="B244" s="1" t="n">
        <v>44461</v>
      </c>
      <c r="C244" s="1" t="n">
        <v>45723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51153-2021</t>
        </is>
      </c>
      <c r="B245" s="1" t="n">
        <v>44461</v>
      </c>
      <c r="C245" s="1" t="n">
        <v>45723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54484-2021</t>
        </is>
      </c>
      <c r="B246" s="1" t="n">
        <v>44473</v>
      </c>
      <c r="C246" s="1" t="n">
        <v>45723</v>
      </c>
      <c r="D246" t="inlineStr">
        <is>
          <t>VÄSTRA GÖTALANDS LÄN</t>
        </is>
      </c>
      <c r="E246" t="inlineStr">
        <is>
          <t>MARIESTAD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57732-2021</t>
        </is>
      </c>
      <c r="B247" s="1" t="n">
        <v>44484</v>
      </c>
      <c r="C247" s="1" t="n">
        <v>45723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57794-2021</t>
        </is>
      </c>
      <c r="B248" s="1" t="n">
        <v>44484</v>
      </c>
      <c r="C248" s="1" t="n">
        <v>45723</v>
      </c>
      <c r="D248" t="inlineStr">
        <is>
          <t>VÄSTRA GÖTALANDS LÄN</t>
        </is>
      </c>
      <c r="E248" t="inlineStr">
        <is>
          <t>MARIESTAD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45723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60390-2021</t>
        </is>
      </c>
      <c r="B250" s="1" t="n">
        <v>44496</v>
      </c>
      <c r="C250" s="1" t="n">
        <v>45723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60335-2021</t>
        </is>
      </c>
      <c r="B251" s="1" t="n">
        <v>44496</v>
      </c>
      <c r="C251" s="1" t="n">
        <v>45723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60376-2021</t>
        </is>
      </c>
      <c r="B252" s="1" t="n">
        <v>44496</v>
      </c>
      <c r="C252" s="1" t="n">
        <v>45723</v>
      </c>
      <c r="D252" t="inlineStr">
        <is>
          <t>VÄSTRA GÖTALANDS LÄN</t>
        </is>
      </c>
      <c r="E252" t="inlineStr">
        <is>
          <t>MARIESTAD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65472-2021</t>
        </is>
      </c>
      <c r="B253" s="1" t="n">
        <v>44516</v>
      </c>
      <c r="C253" s="1" t="n">
        <v>45723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65458-2021</t>
        </is>
      </c>
      <c r="B254" s="1" t="n">
        <v>44516</v>
      </c>
      <c r="C254" s="1" t="n">
        <v>45723</v>
      </c>
      <c r="D254" t="inlineStr">
        <is>
          <t>VÄSTRA GÖTALANDS LÄN</t>
        </is>
      </c>
      <c r="E254" t="inlineStr">
        <is>
          <t>MARIESTAD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66772-2021</t>
        </is>
      </c>
      <c r="B255" s="1" t="n">
        <v>44521</v>
      </c>
      <c r="C255" s="1" t="n">
        <v>45723</v>
      </c>
      <c r="D255" t="inlineStr">
        <is>
          <t>VÄSTRA GÖTALANDS LÄN</t>
        </is>
      </c>
      <c r="E255" t="inlineStr">
        <is>
          <t>MARIESTAD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66771-2021</t>
        </is>
      </c>
      <c r="B256" s="1" t="n">
        <v>44521</v>
      </c>
      <c r="C256" s="1" t="n">
        <v>45723</v>
      </c>
      <c r="D256" t="inlineStr">
        <is>
          <t>VÄSTRA GÖTALANDS LÄN</t>
        </is>
      </c>
      <c r="E256" t="inlineStr">
        <is>
          <t>MARIESTAD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67133-2021</t>
        </is>
      </c>
      <c r="B257" s="1" t="n">
        <v>44523</v>
      </c>
      <c r="C257" s="1" t="n">
        <v>45723</v>
      </c>
      <c r="D257" t="inlineStr">
        <is>
          <t>VÄSTRA GÖTALANDS LÄN</t>
        </is>
      </c>
      <c r="E257" t="inlineStr">
        <is>
          <t>MARIESTAD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67142-2021</t>
        </is>
      </c>
      <c r="B258" s="1" t="n">
        <v>44523</v>
      </c>
      <c r="C258" s="1" t="n">
        <v>45723</v>
      </c>
      <c r="D258" t="inlineStr">
        <is>
          <t>VÄSTRA GÖTALANDS LÄN</t>
        </is>
      </c>
      <c r="E258" t="inlineStr">
        <is>
          <t>MARIESTAD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67146-2021</t>
        </is>
      </c>
      <c r="B259" s="1" t="n">
        <v>44523</v>
      </c>
      <c r="C259" s="1" t="n">
        <v>45723</v>
      </c>
      <c r="D259" t="inlineStr">
        <is>
          <t>VÄSTRA GÖTALANDS LÄN</t>
        </is>
      </c>
      <c r="E259" t="inlineStr">
        <is>
          <t>MARIESTAD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68081-2021</t>
        </is>
      </c>
      <c r="B260" s="1" t="n">
        <v>44526</v>
      </c>
      <c r="C260" s="1" t="n">
        <v>45723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68922-2021</t>
        </is>
      </c>
      <c r="B261" s="1" t="n">
        <v>44530</v>
      </c>
      <c r="C261" s="1" t="n">
        <v>45723</v>
      </c>
      <c r="D261" t="inlineStr">
        <is>
          <t>VÄSTRA GÖTALANDS LÄN</t>
        </is>
      </c>
      <c r="E261" t="inlineStr">
        <is>
          <t>MARIESTAD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70260-2021</t>
        </is>
      </c>
      <c r="B262" s="1" t="n">
        <v>44536</v>
      </c>
      <c r="C262" s="1" t="n">
        <v>45723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70259-2021</t>
        </is>
      </c>
      <c r="B263" s="1" t="n">
        <v>44536</v>
      </c>
      <c r="C263" s="1" t="n">
        <v>45723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70295-2021</t>
        </is>
      </c>
      <c r="B264" s="1" t="n">
        <v>44536</v>
      </c>
      <c r="C264" s="1" t="n">
        <v>45723</v>
      </c>
      <c r="D264" t="inlineStr">
        <is>
          <t>VÄSTRA GÖTALANDS LÄN</t>
        </is>
      </c>
      <c r="E264" t="inlineStr">
        <is>
          <t>MARIESTAD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71210-2021</t>
        </is>
      </c>
      <c r="B265" s="1" t="n">
        <v>44539</v>
      </c>
      <c r="C265" s="1" t="n">
        <v>45723</v>
      </c>
      <c r="D265" t="inlineStr">
        <is>
          <t>VÄSTRA GÖTALANDS LÄN</t>
        </is>
      </c>
      <c r="E265" t="inlineStr">
        <is>
          <t>MARIESTAD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72651-2021</t>
        </is>
      </c>
      <c r="B266" s="1" t="n">
        <v>44546</v>
      </c>
      <c r="C266" s="1" t="n">
        <v>45723</v>
      </c>
      <c r="D266" t="inlineStr">
        <is>
          <t>VÄSTRA GÖTALANDS LÄN</t>
        </is>
      </c>
      <c r="E266" t="inlineStr">
        <is>
          <t>MARIESTAD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74081-2021</t>
        </is>
      </c>
      <c r="B267" s="1" t="n">
        <v>44553</v>
      </c>
      <c r="C267" s="1" t="n">
        <v>45723</v>
      </c>
      <c r="D267" t="inlineStr">
        <is>
          <t>VÄSTRA GÖTALANDS LÄN</t>
        </is>
      </c>
      <c r="E267" t="inlineStr">
        <is>
          <t>MARIESTAD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813-2022</t>
        </is>
      </c>
      <c r="B268" s="1" t="n">
        <v>44571</v>
      </c>
      <c r="C268" s="1" t="n">
        <v>45723</v>
      </c>
      <c r="D268" t="inlineStr">
        <is>
          <t>VÄSTRA GÖTALANDS LÄN</t>
        </is>
      </c>
      <c r="E268" t="inlineStr">
        <is>
          <t>MARIESTAD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1113-2022</t>
        </is>
      </c>
      <c r="B269" s="1" t="n">
        <v>44572</v>
      </c>
      <c r="C269" s="1" t="n">
        <v>45723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Naturvårdsverket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1636-2022</t>
        </is>
      </c>
      <c r="B270" s="1" t="n">
        <v>44574</v>
      </c>
      <c r="C270" s="1" t="n">
        <v>45723</v>
      </c>
      <c r="D270" t="inlineStr">
        <is>
          <t>VÄSTRA GÖTALANDS LÄN</t>
        </is>
      </c>
      <c r="E270" t="inlineStr">
        <is>
          <t>MARIESTAD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1640-2022</t>
        </is>
      </c>
      <c r="B271" s="1" t="n">
        <v>44574</v>
      </c>
      <c r="C271" s="1" t="n">
        <v>45723</v>
      </c>
      <c r="D271" t="inlineStr">
        <is>
          <t>VÄSTRA GÖTALANDS LÄN</t>
        </is>
      </c>
      <c r="E271" t="inlineStr">
        <is>
          <t>MARIESTAD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2769-2022</t>
        </is>
      </c>
      <c r="B272" s="1" t="n">
        <v>44581</v>
      </c>
      <c r="C272" s="1" t="n">
        <v>45723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3853-2022</t>
        </is>
      </c>
      <c r="B273" s="1" t="n">
        <v>44587</v>
      </c>
      <c r="C273" s="1" t="n">
        <v>45723</v>
      </c>
      <c r="D273" t="inlineStr">
        <is>
          <t>VÄSTRA GÖTALANDS LÄN</t>
        </is>
      </c>
      <c r="E273" t="inlineStr">
        <is>
          <t>MARIESTAD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4631-2022</t>
        </is>
      </c>
      <c r="B274" s="1" t="n">
        <v>44592</v>
      </c>
      <c r="C274" s="1" t="n">
        <v>45723</v>
      </c>
      <c r="D274" t="inlineStr">
        <is>
          <t>VÄSTRA GÖTALANDS LÄN</t>
        </is>
      </c>
      <c r="E274" t="inlineStr">
        <is>
          <t>MARIESTAD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6448-2022</t>
        </is>
      </c>
      <c r="B275" s="1" t="n">
        <v>44601</v>
      </c>
      <c r="C275" s="1" t="n">
        <v>45723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7831-2022</t>
        </is>
      </c>
      <c r="B276" s="1" t="n">
        <v>44608</v>
      </c>
      <c r="C276" s="1" t="n">
        <v>45723</v>
      </c>
      <c r="D276" t="inlineStr">
        <is>
          <t>VÄSTRA GÖTALANDS LÄN</t>
        </is>
      </c>
      <c r="E276" t="inlineStr">
        <is>
          <t>MARIESTAD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8265-2022</t>
        </is>
      </c>
      <c r="B277" s="1" t="n">
        <v>44610</v>
      </c>
      <c r="C277" s="1" t="n">
        <v>45723</v>
      </c>
      <c r="D277" t="inlineStr">
        <is>
          <t>VÄSTRA GÖTALANDS LÄN</t>
        </is>
      </c>
      <c r="E277" t="inlineStr">
        <is>
          <t>MARIESTAD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8849-2022</t>
        </is>
      </c>
      <c r="B278" s="1" t="n">
        <v>44614</v>
      </c>
      <c r="C278" s="1" t="n">
        <v>45723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8830-2022</t>
        </is>
      </c>
      <c r="B279" s="1" t="n">
        <v>44614</v>
      </c>
      <c r="C279" s="1" t="n">
        <v>45723</v>
      </c>
      <c r="D279" t="inlineStr">
        <is>
          <t>VÄSTRA GÖTALANDS LÄN</t>
        </is>
      </c>
      <c r="E279" t="inlineStr">
        <is>
          <t>MARIESTAD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8852-2022</t>
        </is>
      </c>
      <c r="B280" s="1" t="n">
        <v>44614</v>
      </c>
      <c r="C280" s="1" t="n">
        <v>45723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8853-2022</t>
        </is>
      </c>
      <c r="B281" s="1" t="n">
        <v>44614</v>
      </c>
      <c r="C281" s="1" t="n">
        <v>45723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8854-2022</t>
        </is>
      </c>
      <c r="B282" s="1" t="n">
        <v>44614</v>
      </c>
      <c r="C282" s="1" t="n">
        <v>45723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9451-2022</t>
        </is>
      </c>
      <c r="B283" s="1" t="n">
        <v>44616</v>
      </c>
      <c r="C283" s="1" t="n">
        <v>45723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9300-2022</t>
        </is>
      </c>
      <c r="B284" s="1" t="n">
        <v>44616</v>
      </c>
      <c r="C284" s="1" t="n">
        <v>45723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9413-2022</t>
        </is>
      </c>
      <c r="B285" s="1" t="n">
        <v>44616</v>
      </c>
      <c r="C285" s="1" t="n">
        <v>45723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9410-2022</t>
        </is>
      </c>
      <c r="B286" s="1" t="n">
        <v>44616</v>
      </c>
      <c r="C286" s="1" t="n">
        <v>45723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9444-2022</t>
        </is>
      </c>
      <c r="B287" s="1" t="n">
        <v>44616</v>
      </c>
      <c r="C287" s="1" t="n">
        <v>45723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9610-2022</t>
        </is>
      </c>
      <c r="B288" s="1" t="n">
        <v>44617</v>
      </c>
      <c r="C288" s="1" t="n">
        <v>45723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9633-2022</t>
        </is>
      </c>
      <c r="B289" s="1" t="n">
        <v>44617</v>
      </c>
      <c r="C289" s="1" t="n">
        <v>45723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9651-2022</t>
        </is>
      </c>
      <c r="B290" s="1" t="n">
        <v>44617</v>
      </c>
      <c r="C290" s="1" t="n">
        <v>45723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9606-2022</t>
        </is>
      </c>
      <c r="B291" s="1" t="n">
        <v>44617</v>
      </c>
      <c r="C291" s="1" t="n">
        <v>45723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9774-2022</t>
        </is>
      </c>
      <c r="B292" s="1" t="n">
        <v>44619</v>
      </c>
      <c r="C292" s="1" t="n">
        <v>45723</v>
      </c>
      <c r="D292" t="inlineStr">
        <is>
          <t>VÄSTRA GÖTALANDS LÄN</t>
        </is>
      </c>
      <c r="E292" t="inlineStr">
        <is>
          <t>MARIESTAD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9793-2022</t>
        </is>
      </c>
      <c r="B293" s="1" t="n">
        <v>44620</v>
      </c>
      <c r="C293" s="1" t="n">
        <v>45723</v>
      </c>
      <c r="D293" t="inlineStr">
        <is>
          <t>VÄSTRA GÖTALANDS LÄN</t>
        </is>
      </c>
      <c r="E293" t="inlineStr">
        <is>
          <t>MARIESTAD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9828-2022</t>
        </is>
      </c>
      <c r="B294" s="1" t="n">
        <v>44620</v>
      </c>
      <c r="C294" s="1" t="n">
        <v>45723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10192-2022</t>
        </is>
      </c>
      <c r="B295" s="1" t="n">
        <v>44622</v>
      </c>
      <c r="C295" s="1" t="n">
        <v>45723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11073-2022</t>
        </is>
      </c>
      <c r="B296" s="1" t="n">
        <v>44628</v>
      </c>
      <c r="C296" s="1" t="n">
        <v>45723</v>
      </c>
      <c r="D296" t="inlineStr">
        <is>
          <t>VÄSTRA GÖTALANDS LÄN</t>
        </is>
      </c>
      <c r="E296" t="inlineStr">
        <is>
          <t>MARIESTAD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45723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45723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45723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45723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45723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45723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45723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45723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45723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45723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45723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45723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45723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45723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45723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45723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45723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45723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45723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45723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45723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45723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45723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45723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45723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45723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45723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45723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45723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45723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45723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45723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45723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45723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45723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45723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45723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45723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45723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45723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45723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45723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45723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45723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45723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45723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45723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45723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45723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45723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45723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45723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45723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45723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45723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45723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45723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45723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45723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45723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45723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45723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45723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45723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45723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45723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45723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45723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45723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45723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45723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45723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45723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45723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45723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45723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45723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45723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45723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45723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45723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45723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45723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45723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45723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45723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45723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45723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45723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45723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45723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45723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45723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45723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45723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45723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45723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45723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45723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45723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45723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45723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45723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45723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45723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45723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45723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45723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45723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45723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45723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45723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45723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45723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45723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45723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45723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45723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45723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45723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45723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45723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45723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45723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45723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45723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45723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45723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45723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45723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45723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45723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45723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45723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45723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45723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45723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45723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45723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45723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45723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45723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45723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45723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45723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45723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45723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45723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45723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45723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45723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45723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45723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45723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45723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45723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45723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45723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45723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45723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45723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45723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45723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45723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45723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45723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45723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45723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45723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45723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45723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45723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45723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45723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45723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45723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45723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45723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45723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45723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45723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45723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45723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45723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45723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45723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45723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45723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45723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45723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45723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45723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45723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45723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45723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45723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45723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45723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45723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45723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45723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45723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45723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45723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45723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45723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45723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45723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45723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45723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45723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45723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45723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45723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45723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45723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45723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45723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45723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45723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45723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45723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45723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45723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45723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45723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45723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45723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45723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45723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45723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45723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45723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45723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45723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45723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45723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45723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45723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45723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45723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45723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45723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45723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45723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45723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45723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45723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45723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45723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45723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45723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45723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45723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45723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45723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45723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45723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45723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45723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45723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45723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45723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45723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45723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45723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45723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45723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45723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45723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45723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45723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45723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45723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45723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45723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45723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45723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45723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45723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45723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45723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45723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45723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45723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45723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45723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45723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45723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45723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45723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45723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45723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45723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45723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45723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45723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45723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45723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45723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45723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45723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45723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45723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45723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45723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45723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45723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45723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45723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45723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45723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45723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45723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45723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45723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45723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45723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45723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45723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45723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45723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45723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45723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45723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45723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45723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45723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45723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45723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45723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45723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45723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45723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45723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45723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45723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45723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45723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45723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45723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45723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45723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45723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45723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45723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45723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45723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45723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45723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45723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45723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45723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45723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45723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45723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45723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45723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45723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45723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45723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45723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45723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45723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45723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45723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45723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45723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45723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45723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45723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45723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45723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45723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45723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45723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45723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45723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45723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45723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45723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45723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45723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45723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45723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45723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45723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45723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45723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45723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45723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45723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45723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45723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45723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45723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45723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45723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45723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45723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45723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45723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45723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45723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7162-2025</t>
        </is>
      </c>
      <c r="B701" s="1" t="n">
        <v>45702</v>
      </c>
      <c r="C701" s="1" t="n">
        <v>45723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45723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7450-2025</t>
        </is>
      </c>
      <c r="B703" s="1" t="n">
        <v>45705</v>
      </c>
      <c r="C703" s="1" t="n">
        <v>45723</v>
      </c>
      <c r="D703" t="inlineStr">
        <is>
          <t>VÄSTRA GÖTALANDS LÄN</t>
        </is>
      </c>
      <c r="E703" t="inlineStr">
        <is>
          <t>MARIESTAD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7487-2025</t>
        </is>
      </c>
      <c r="B704" s="1" t="n">
        <v>45705</v>
      </c>
      <c r="C704" s="1" t="n">
        <v>45723</v>
      </c>
      <c r="D704" t="inlineStr">
        <is>
          <t>VÄSTRA GÖTALANDS LÄN</t>
        </is>
      </c>
      <c r="E704" t="inlineStr">
        <is>
          <t>MARIESTAD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45723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7490-2025</t>
        </is>
      </c>
      <c r="B706" s="1" t="n">
        <v>45705</v>
      </c>
      <c r="C706" s="1" t="n">
        <v>45723</v>
      </c>
      <c r="D706" t="inlineStr">
        <is>
          <t>VÄSTRA GÖTALANDS LÄN</t>
        </is>
      </c>
      <c r="E706" t="inlineStr">
        <is>
          <t>MARIESTAD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7580-2025</t>
        </is>
      </c>
      <c r="B707" s="1" t="n">
        <v>45705</v>
      </c>
      <c r="C707" s="1" t="n">
        <v>45723</v>
      </c>
      <c r="D707" t="inlineStr">
        <is>
          <t>VÄSTRA GÖTALANDS LÄN</t>
        </is>
      </c>
      <c r="E707" t="inlineStr">
        <is>
          <t>MARIESTAD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7486-2025</t>
        </is>
      </c>
      <c r="B708" s="1" t="n">
        <v>45705</v>
      </c>
      <c r="C708" s="1" t="n">
        <v>45723</v>
      </c>
      <c r="D708" t="inlineStr">
        <is>
          <t>VÄSTRA GÖTALANDS LÄN</t>
        </is>
      </c>
      <c r="E708" t="inlineStr">
        <is>
          <t>MARIESTAD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45723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7578-2025</t>
        </is>
      </c>
      <c r="B710" s="1" t="n">
        <v>45705</v>
      </c>
      <c r="C710" s="1" t="n">
        <v>45723</v>
      </c>
      <c r="D710" t="inlineStr">
        <is>
          <t>VÄSTRA GÖTALANDS LÄN</t>
        </is>
      </c>
      <c r="E710" t="inlineStr">
        <is>
          <t>MARIESTAD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45723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45723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45723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8466-2025</t>
        </is>
      </c>
      <c r="B714" s="1" t="n">
        <v>45709</v>
      </c>
      <c r="C714" s="1" t="n">
        <v>45723</v>
      </c>
      <c r="D714" t="inlineStr">
        <is>
          <t>VÄSTRA GÖTALANDS LÄN</t>
        </is>
      </c>
      <c r="E714" t="inlineStr">
        <is>
          <t>MARIESTAD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45723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45723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45723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9795-2025</t>
        </is>
      </c>
      <c r="B718" s="1" t="n">
        <v>45716</v>
      </c>
      <c r="C718" s="1" t="n">
        <v>45723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Kyrkan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45723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9783-2025</t>
        </is>
      </c>
      <c r="B720" s="1" t="n">
        <v>45716</v>
      </c>
      <c r="C720" s="1" t="n">
        <v>45723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9868-2025</t>
        </is>
      </c>
      <c r="B721" s="1" t="n">
        <v>45716</v>
      </c>
      <c r="C721" s="1" t="n">
        <v>45723</v>
      </c>
      <c r="D721" t="inlineStr">
        <is>
          <t>VÄSTRA GÖTALANDS LÄN</t>
        </is>
      </c>
      <c r="E721" t="inlineStr">
        <is>
          <t>MARIESTAD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45723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45723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10842-2025</t>
        </is>
      </c>
      <c r="B724" s="1" t="n">
        <v>45722</v>
      </c>
      <c r="C724" s="1" t="n">
        <v>45723</v>
      </c>
      <c r="D724" t="inlineStr">
        <is>
          <t>VÄSTRA GÖTALANDS LÄN</t>
        </is>
      </c>
      <c r="E724" t="inlineStr">
        <is>
          <t>MARIESTAD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10706-2025</t>
        </is>
      </c>
      <c r="B725" s="1" t="n">
        <v>45722</v>
      </c>
      <c r="C725" s="1" t="n">
        <v>45723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10834-2025</t>
        </is>
      </c>
      <c r="B726" s="1" t="n">
        <v>45722</v>
      </c>
      <c r="C726" s="1" t="n">
        <v>45723</v>
      </c>
      <c r="D726" t="inlineStr">
        <is>
          <t>VÄSTRA GÖTALANDS LÄN</t>
        </is>
      </c>
      <c r="E726" t="inlineStr">
        <is>
          <t>MARIESTAD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10839-2025</t>
        </is>
      </c>
      <c r="B727" s="1" t="n">
        <v>45722</v>
      </c>
      <c r="C727" s="1" t="n">
        <v>45723</v>
      </c>
      <c r="D727" t="inlineStr">
        <is>
          <t>VÄSTRA GÖTALANDS LÄN</t>
        </is>
      </c>
      <c r="E727" t="inlineStr">
        <is>
          <t>MARIESTAD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10826-2025</t>
        </is>
      </c>
      <c r="B728" s="1" t="n">
        <v>45722</v>
      </c>
      <c r="C728" s="1" t="n">
        <v>45723</v>
      </c>
      <c r="D728" t="inlineStr">
        <is>
          <t>VÄSTRA GÖTALANDS LÄN</t>
        </is>
      </c>
      <c r="E728" t="inlineStr">
        <is>
          <t>MARIESTAD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2025-03-07T16:50:22Z</dcterms:created>
  <dcterms:modified xmlns:dcterms="http://purl.org/dc/terms/" xmlns:xsi="http://www.w3.org/2001/XMLSchema-instance" xsi:type="dcterms:W3CDTF">2025-03-07T16:50:23Z</dcterms:modified>
</cp:coreProperties>
</file>