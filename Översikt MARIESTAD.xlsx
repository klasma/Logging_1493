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46232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46232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46232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46232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46232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57791-2021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44484</v>
      </c>
      <c r="E10" s="1" t="n">
        <v>46232</v>
      </c>
      <c r="F10" t="inlineStr">
        <is>
          <t>VÄSTRA GÖTALANDS LÄN</t>
        </is>
      </c>
      <c r="G10" t="inlineStr">
        <is>
          <t>MARIESTAD</t>
        </is>
      </c>
      <c r="I10" t="n">
        <v>30.8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Fyrflikig jordstjärna
Blåmossa</t>
        </is>
      </c>
      <c r="W10">
        <f>HYPERLINK("https://klasma.github.io/Logging_1493/artfynd/A 57791-2021 artfynd.xlsx", "A 57791-2021")</f>
        <v/>
      </c>
      <c r="X10">
        <f>HYPERLINK("https://klasma.github.io/Logging_1493/kartor/A 57791-2021 karta.png", "A 57791-2021")</f>
        <v/>
      </c>
      <c r="Y10">
        <f>HYPERLINK("https://klasma.github.io/Logging_1493/kartor_geotiff/A 57791-2021 georefererad karta.tif", "A 57791-2021")</f>
        <v/>
      </c>
      <c r="AA10">
        <f>HYPERLINK("https://klasma.github.io/Logging_1493/klagomål/A 57791-2021 FSC-klagomål.docx", "A 57791-2021")</f>
        <v/>
      </c>
      <c r="AB10">
        <f>HYPERLINK("https://klasma.github.io/Logging_1493/klagomålsmail/A 57791-2021 FSC-klagomål mail.docx", "A 57791-2021")</f>
        <v/>
      </c>
      <c r="AC10">
        <f>HYPERLINK("https://klasma.github.io/Logging_1493/tillsyn/A 57791-2021 tillsynsbegäran.docx", "A 57791-2021")</f>
        <v/>
      </c>
      <c r="AD10">
        <f>HYPERLINK("https://klasma.github.io/Logging_1493/tillsynsmail/A 57791-2021 tillsynsbegäran mail.docx", "A 57791-2021")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46232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67507-2021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44524</v>
      </c>
      <c r="E12" s="1" t="n">
        <v>46232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Sveaskog</t>
        </is>
      </c>
      <c r="I12" t="n">
        <v>23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Brandticka
Vågbandad barkbock</t>
        </is>
      </c>
      <c r="W12">
        <f>HYPERLINK("https://klasma.github.io/Logging_1493/artfynd/A 67507-2021 artfynd.xlsx", "A 67507-2021")</f>
        <v/>
      </c>
      <c r="X12">
        <f>HYPERLINK("https://klasma.github.io/Logging_1493/kartor/A 67507-2021 karta.png", "A 67507-2021")</f>
        <v/>
      </c>
      <c r="Y12">
        <f>HYPERLINK("https://klasma.github.io/Logging_1493/kartor_geotiff/A 67507-2021 georefererad karta.tif", "A 67507-2021")</f>
        <v/>
      </c>
      <c r="AA12">
        <f>HYPERLINK("https://klasma.github.io/Logging_1493/klagomål/A 67507-2021 FSC-klagomål.docx", "A 67507-2021")</f>
        <v/>
      </c>
      <c r="AB12">
        <f>HYPERLINK("https://klasma.github.io/Logging_1493/klagomålsmail/A 67507-2021 FSC-klagomål mail.docx", "A 67507-2021")</f>
        <v/>
      </c>
      <c r="AC12">
        <f>HYPERLINK("https://klasma.github.io/Logging_1493/tillsyn/A 67507-2021 tillsynsbegäran.docx", "A 67507-2021")</f>
        <v/>
      </c>
      <c r="AD12">
        <f>HYPERLINK("https://klasma.github.io/Logging_1493/tillsynsmail/A 67507-2021 tillsynsbegäran mail.docx", "A 67507-2021")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46232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t="n">
        <v>2</v>
      </c>
      <c r="V13" s="2" t="inlineStr">
        <is>
          <t>Igelkott
Svinrot</t>
        </is>
      </c>
      <c r="W13">
        <f>HYPERLINK("https://klasma.github.io/Logging_1493/artfynd/A 53880-2022 artfynd.xlsx", "A 53880-2022")</f>
        <v/>
      </c>
      <c r="X13">
        <f>HYPERLINK("https://klasma.github.io/Logging_1493/kartor/A 53880-2022 karta.png", "A 53880-2022")</f>
        <v/>
      </c>
      <c r="Y13">
        <f>HYPERLINK("https://klasma.github.io/Logging_1493/kartor_geotiff/A 53880-2022 georefererad karta.tif", "A 53880-2022")</f>
        <v/>
      </c>
      <c r="AA13">
        <f>HYPERLINK("https://klasma.github.io/Logging_1493/klagomål/A 53880-2022 FSC-klagomål.docx", "A 53880-2022")</f>
        <v/>
      </c>
      <c r="AB13">
        <f>HYPERLINK("https://klasma.github.io/Logging_1493/klagomålsmail/A 53880-2022 FSC-klagomål mail.docx", "A 53880-2022")</f>
        <v/>
      </c>
      <c r="AC13">
        <f>HYPERLINK("https://klasma.github.io/Logging_1493/tillsyn/A 53880-2022 tillsynsbegäran.docx", "A 53880-2022")</f>
        <v/>
      </c>
      <c r="AD13">
        <f>HYPERLINK("https://klasma.github.io/Logging_1493/tillsynsmail/A 53880-2022 tillsynsbegäran mail.docx", "A 53880-2022")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46232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46232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46232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46232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46232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46232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46232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46232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46232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46232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46232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27444-2023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45097</v>
      </c>
      <c r="E25" s="1" t="n">
        <v>46232</v>
      </c>
      <c r="F25" t="inlineStr">
        <is>
          <t>VÄSTRA GÖTALANDS LÄN</t>
        </is>
      </c>
      <c r="G25" t="inlineStr">
        <is>
          <t>MARIESTAD</t>
        </is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HYPERLINK("https://klasma.github.io/Logging_1493/artfynd/A 27444-2023 artfynd.xlsx", "A 27444-2023")</f>
        <v/>
      </c>
      <c r="X25">
        <f>HYPERLINK("https://klasma.github.io/Logging_1493/kartor/A 27444-2023 karta.png", "A 27444-2023")</f>
        <v/>
      </c>
      <c r="Y25">
        <f>HYPERLINK("https://klasma.github.io/Logging_1493/kartor_geotiff/A 27444-2023 georefererad karta.tif", "A 27444-2023")</f>
        <v/>
      </c>
      <c r="AA25">
        <f>HYPERLINK("https://klasma.github.io/Logging_1493/klagomål/A 27444-2023 FSC-klagomål.docx", "A 27444-2023")</f>
        <v/>
      </c>
      <c r="AB25">
        <f>HYPERLINK("https://klasma.github.io/Logging_1493/klagomålsmail/A 27444-2023 FSC-klagomål mail.docx", "A 27444-2023")</f>
        <v/>
      </c>
      <c r="AC25">
        <f>HYPERLINK("https://klasma.github.io/Logging_1493/tillsyn/A 27444-2023 tillsynsbegäran.docx", "A 27444-2023")</f>
        <v/>
      </c>
      <c r="AD25">
        <f>HYPERLINK("https://klasma.github.io/Logging_1493/tillsynsmail/A 27444-2023 tillsynsbegäran mail.docx", "A 27444-2023")</f>
        <v/>
      </c>
    </row>
    <row r="26" ht="15" customHeight="1">
      <c r="A26" t="inlineStr">
        <is>
          <t>A 29151-2025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46232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HYPERLINK("https://klasma.github.io/Logging_1493/artfynd/A 29151-2025 artfynd.xlsx", "A 29151-2025")</f>
        <v/>
      </c>
      <c r="X26">
        <f>HYPERLINK("https://klasma.github.io/Logging_1493/kartor/A 29151-2025 karta.png", "A 29151-2025")</f>
        <v/>
      </c>
      <c r="Y26">
        <f>HYPERLINK("https://klasma.github.io/Logging_1493/kartor_geotiff/A 29151-2025 georefererad karta.tif", "A 29151-2025")</f>
        <v/>
      </c>
      <c r="AA26">
        <f>HYPERLINK("https://klasma.github.io/Logging_1493/klagomål/A 29151-2025 FSC-klagomål.docx", "A 29151-2025")</f>
        <v/>
      </c>
      <c r="AB26">
        <f>HYPERLINK("https://klasma.github.io/Logging_1493/klagomålsmail/A 29151-2025 FSC-klagomål mail.docx", "A 29151-2025")</f>
        <v/>
      </c>
      <c r="AC26">
        <f>HYPERLINK("https://klasma.github.io/Logging_1493/tillsyn/A 29151-2025 tillsynsbegäran.docx", "A 29151-2025")</f>
        <v/>
      </c>
      <c r="AD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46232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HYPERLINK("https://klasma.github.io/Logging_1493/artfynd/A 29152-2025 artfynd.xlsx", "A 29152-2025")</f>
        <v/>
      </c>
      <c r="X27">
        <f>HYPERLINK("https://klasma.github.io/Logging_1493/kartor/A 29152-2025 karta.png", "A 29152-2025")</f>
        <v/>
      </c>
      <c r="Y27">
        <f>HYPERLINK("https://klasma.github.io/Logging_1493/kartor_geotiff/A 29152-2025 georefererad karta.tif", "A 29152-2025")</f>
        <v/>
      </c>
      <c r="AA27">
        <f>HYPERLINK("https://klasma.github.io/Logging_1493/klagomål/A 29152-2025 FSC-klagomål.docx", "A 29152-2025")</f>
        <v/>
      </c>
      <c r="AB27">
        <f>HYPERLINK("https://klasma.github.io/Logging_1493/klagomålsmail/A 29152-2025 FSC-klagomål mail.docx", "A 29152-2025")</f>
        <v/>
      </c>
      <c r="AC27">
        <f>HYPERLINK("https://klasma.github.io/Logging_1493/tillsyn/A 29152-2025 tillsynsbegäran.docx", "A 29152-2025")</f>
        <v/>
      </c>
      <c r="AD27">
        <f>HYPERLINK("https://klasma.github.io/Logging_1493/tillsynsmail/A 29152-2025 tillsynsbegäran mail.docx", "A 29152-2025")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46232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HYPERLINK("https://klasma.github.io/Logging_1493/artfynd/A 17272-2023 artfynd.xlsx", "A 17272-2023")</f>
        <v/>
      </c>
      <c r="X28">
        <f>HYPERLINK("https://klasma.github.io/Logging_1493/kartor/A 17272-2023 karta.png", "A 17272-2023")</f>
        <v/>
      </c>
      <c r="Y28">
        <f>HYPERLINK("https://klasma.github.io/Logging_1493/kartor_geotiff/A 17272-2023 georefererad karta.tif", "A 17272-2023")</f>
        <v/>
      </c>
      <c r="AA28">
        <f>HYPERLINK("https://klasma.github.io/Logging_1493/klagomål/A 17272-2023 FSC-klagomål.docx", "A 17272-2023")</f>
        <v/>
      </c>
      <c r="AB28">
        <f>HYPERLINK("https://klasma.github.io/Logging_1493/klagomålsmail/A 17272-2023 FSC-klagomål mail.docx", "A 17272-2023")</f>
        <v/>
      </c>
      <c r="AC28">
        <f>HYPERLINK("https://klasma.github.io/Logging_1493/tillsyn/A 17272-2023 tillsynsbegäran.docx", "A 17272-2023")</f>
        <v/>
      </c>
      <c r="AD28">
        <f>HYPERLINK("https://klasma.github.io/Logging_1493/tillsynsmail/A 17272-2023 tillsynsbegäran mail.docx", "A 17272-2023")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46232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7578-2025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45705</v>
      </c>
      <c r="E30" s="1" t="n">
        <v>46232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Svartvit flugsnappare</t>
        </is>
      </c>
      <c r="W30">
        <f>HYPERLINK("https://klasma.github.io/Logging_1493/artfynd/A 7578-2025 artfynd.xlsx", "A 7578-2025")</f>
        <v/>
      </c>
      <c r="X30">
        <f>HYPERLINK("https://klasma.github.io/Logging_1493/kartor/A 7578-2025 karta.png", "A 7578-2025")</f>
        <v/>
      </c>
      <c r="Y30">
        <f>HYPERLINK("https://klasma.github.io/Logging_1493/kartor_geotiff/A 7578-2025 georefererad karta.tif", "A 7578-2025")</f>
        <v/>
      </c>
      <c r="AA30">
        <f>HYPERLINK("https://klasma.github.io/Logging_1493/klagomål/A 7578-2025 FSC-klagomål.docx", "A 7578-2025")</f>
        <v/>
      </c>
      <c r="AB30">
        <f>HYPERLINK("https://klasma.github.io/Logging_1493/klagomålsmail/A 7578-2025 FSC-klagomål mail.docx", "A 7578-2025")</f>
        <v/>
      </c>
      <c r="AC30">
        <f>HYPERLINK("https://klasma.github.io/Logging_1493/tillsyn/A 7578-2025 tillsynsbegäran.docx", "A 7578-2025")</f>
        <v/>
      </c>
      <c r="AD30">
        <f>HYPERLINK("https://klasma.github.io/Logging_1493/tillsynsmail/A 7578-2025 tillsynsbegäran mail.docx", "A 7578-2025")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46232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46232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12379-2026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46232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HYPERLINK("https://klasma.github.io/Logging_1493/artfynd/A 12379-2026 artfynd.xlsx", "A 12379-2026")</f>
        <v/>
      </c>
      <c r="X33">
        <f>HYPERLINK("https://klasma.github.io/Logging_1493/kartor/A 12379-2026 karta.png", "A 12379-2026")</f>
        <v/>
      </c>
      <c r="Y33">
        <f>HYPERLINK("https://klasma.github.io/Logging_1493/kartor_geotiff/A 12379-2026 georefererad karta.tif", "A 12379-2026")</f>
        <v/>
      </c>
      <c r="AA33">
        <f>HYPERLINK("https://klasma.github.io/Logging_1493/klagomål/A 12379-2026 FSC-klagomål.docx", "A 12379-2026")</f>
        <v/>
      </c>
      <c r="AB33">
        <f>HYPERLINK("https://klasma.github.io/Logging_1493/klagomålsmail/A 12379-2026 FSC-klagomål mail.docx", "A 12379-2026")</f>
        <v/>
      </c>
      <c r="AC33">
        <f>HYPERLINK("https://klasma.github.io/Logging_1493/tillsyn/A 12379-2026 tillsynsbegäran.docx", "A 12379-2026")</f>
        <v/>
      </c>
      <c r="AD33">
        <f>HYPERLINK("https://klasma.github.io/Logging_1493/tillsynsmail/A 12379-2026 tillsynsbegäran mail.docx", "A 12379-2026")</f>
        <v/>
      </c>
    </row>
    <row r="34" ht="15" customHeight="1">
      <c r="A34" t="inlineStr">
        <is>
          <t>A 42647-2023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46232</v>
      </c>
      <c r="F34" t="inlineStr">
        <is>
          <t>VÄSTRA GÖTALANDS LÄN</t>
        </is>
      </c>
      <c r="G34" t="inlineStr">
        <is>
          <t>MARIESTAD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Ärtsångare</t>
        </is>
      </c>
      <c r="W34">
        <f>HYPERLINK("https://klasma.github.io/Logging_1493/artfynd/A 42647-2023 artfynd.xlsx", "A 42647-2023")</f>
        <v/>
      </c>
      <c r="X34">
        <f>HYPERLINK("https://klasma.github.io/Logging_1493/kartor/A 42647-2023 karta.png", "A 42647-2023")</f>
        <v/>
      </c>
      <c r="Y34">
        <f>HYPERLINK("https://klasma.github.io/Logging_1493/kartor_geotiff/A 42647-2023 georefererad karta.tif", "A 42647-2023")</f>
        <v/>
      </c>
      <c r="AA34">
        <f>HYPERLINK("https://klasma.github.io/Logging_1493/klagomål/A 42647-2023 FSC-klagomål.docx", "A 42647-2023")</f>
        <v/>
      </c>
      <c r="AB34">
        <f>HYPERLINK("https://klasma.github.io/Logging_1493/klagomålsmail/A 42647-2023 FSC-klagomål mail.docx", "A 42647-2023")</f>
        <v/>
      </c>
      <c r="AC34">
        <f>HYPERLINK("https://klasma.github.io/Logging_1493/tillsyn/A 42647-2023 tillsynsbegäran.docx", "A 42647-2023")</f>
        <v/>
      </c>
      <c r="AD34">
        <f>HYPERLINK("https://klasma.github.io/Logging_1493/tillsynsmail/A 42647-2023 tillsynsbegäran mail.docx", "A 42647-2023")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46232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38580-2023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46232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38580-2023 artfynd.xlsx", "A 38580-2023")</f>
        <v/>
      </c>
      <c r="X36">
        <f>HYPERLINK("https://klasma.github.io/Logging_1493/kartor/A 38580-2023 karta.png", "A 38580-2023")</f>
        <v/>
      </c>
      <c r="Y36">
        <f>HYPERLINK("https://klasma.github.io/Logging_1493/kartor_geotiff/A 38580-2023 georefererad karta.tif", "A 38580-2023")</f>
        <v/>
      </c>
      <c r="AA36">
        <f>HYPERLINK("https://klasma.github.io/Logging_1493/klagomål/A 38580-2023 FSC-klagomål.docx", "A 38580-2023")</f>
        <v/>
      </c>
      <c r="AB36">
        <f>HYPERLINK("https://klasma.github.io/Logging_1493/klagomålsmail/A 38580-2023 FSC-klagomål mail.docx", "A 38580-2023")</f>
        <v/>
      </c>
      <c r="AC36">
        <f>HYPERLINK("https://klasma.github.io/Logging_1493/tillsyn/A 38580-2023 tillsynsbegäran.docx", "A 38580-2023")</f>
        <v/>
      </c>
      <c r="AD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46232</v>
      </c>
      <c r="F37" t="inlineStr">
        <is>
          <t>VÄSTRA GÖTALANDS LÄN</t>
        </is>
      </c>
      <c r="G37" t="inlineStr">
        <is>
          <t>MARIESTAD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HYPERLINK("https://klasma.github.io/Logging_1493/artfynd/A 18176-2025 artfynd.xlsx", "A 18176-2025")</f>
        <v/>
      </c>
      <c r="X37">
        <f>HYPERLINK("https://klasma.github.io/Logging_1493/kartor/A 18176-2025 karta.png", "A 18176-2025")</f>
        <v/>
      </c>
      <c r="Y37">
        <f>HYPERLINK("https://klasma.github.io/Logging_1493/kartor_geotiff/A 18176-2025 georefererad karta.tif", "A 18176-2025")</f>
        <v/>
      </c>
      <c r="AA37">
        <f>HYPERLINK("https://klasma.github.io/Logging_1493/klagomål/A 18176-2025 FSC-klagomål.docx", "A 18176-2025")</f>
        <v/>
      </c>
      <c r="AB37">
        <f>HYPERLINK("https://klasma.github.io/Logging_1493/klagomålsmail/A 18176-2025 FSC-klagomål mail.docx", "A 18176-2025")</f>
        <v/>
      </c>
      <c r="AC37">
        <f>HYPERLINK("https://klasma.github.io/Logging_1493/tillsyn/A 18176-2025 tillsynsbegäran.docx", "A 18176-2025")</f>
        <v/>
      </c>
      <c r="AD37">
        <f>HYPERLINK("https://klasma.github.io/Logging_1493/tillsynsmail/A 18176-2025 tillsynsbegäran mail.docx", "A 18176-2025")</f>
        <v/>
      </c>
    </row>
    <row r="38" ht="15" customHeight="1">
      <c r="A38" t="inlineStr">
        <is>
          <t>A 49233-2023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45210</v>
      </c>
      <c r="E38" s="1" t="n">
        <v>46232</v>
      </c>
      <c r="F38" t="inlineStr">
        <is>
          <t>VÄSTRA GÖTALANDS LÄN</t>
        </is>
      </c>
      <c r="G38" t="inlineStr">
        <is>
          <t>MARIESTAD</t>
        </is>
      </c>
      <c r="I38" t="n">
        <v>6.1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Lönnlav</t>
        </is>
      </c>
      <c r="W38">
        <f>HYPERLINK("https://klasma.github.io/Logging_1493/artfynd/A 49233-2023 artfynd.xlsx", "A 49233-2023")</f>
        <v/>
      </c>
      <c r="X38">
        <f>HYPERLINK("https://klasma.github.io/Logging_1493/kartor/A 49233-2023 karta.png", "A 49233-2023")</f>
        <v/>
      </c>
      <c r="Y38">
        <f>HYPERLINK("https://klasma.github.io/Logging_1493/kartor_geotiff/A 49233-2023 georefererad karta.tif", "A 49233-2023")</f>
        <v/>
      </c>
      <c r="AA38">
        <f>HYPERLINK("https://klasma.github.io/Logging_1493/klagomål/A 49233-2023 FSC-klagomål.docx", "A 49233-2023")</f>
        <v/>
      </c>
      <c r="AB38">
        <f>HYPERLINK("https://klasma.github.io/Logging_1493/klagomålsmail/A 49233-2023 FSC-klagomål mail.docx", "A 49233-2023")</f>
        <v/>
      </c>
      <c r="AC38">
        <f>HYPERLINK("https://klasma.github.io/Logging_1493/tillsyn/A 49233-2023 tillsynsbegäran.docx", "A 49233-2023")</f>
        <v/>
      </c>
      <c r="AD38">
        <f>HYPERLINK("https://klasma.github.io/Logging_1493/tillsynsmail/A 49233-2023 tillsynsbegäran mail.docx", "A 49233-2023")</f>
        <v/>
      </c>
    </row>
    <row r="39" ht="15" customHeight="1">
      <c r="A39" t="inlineStr">
        <is>
          <t>A 30652-2023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46232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Kommuner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Nattviol</t>
        </is>
      </c>
      <c r="W39">
        <f>HYPERLINK("https://klasma.github.io/Logging_1493/artfynd/A 30652-2023 artfynd.xlsx", "A 30652-2023")</f>
        <v/>
      </c>
      <c r="X39">
        <f>HYPERLINK("https://klasma.github.io/Logging_1493/kartor/A 30652-2023 karta.png", "A 30652-2023")</f>
        <v/>
      </c>
      <c r="Y39">
        <f>HYPERLINK("https://klasma.github.io/Logging_1493/kartor_geotiff/A 30652-2023 georefererad karta.tif", "A 30652-2023")</f>
        <v/>
      </c>
      <c r="AA39">
        <f>HYPERLINK("https://klasma.github.io/Logging_1493/klagomål/A 30652-2023 FSC-klagomål.docx", "A 30652-2023")</f>
        <v/>
      </c>
      <c r="AB39">
        <f>HYPERLINK("https://klasma.github.io/Logging_1493/klagomålsmail/A 30652-2023 FSC-klagomål mail.docx", "A 30652-2023")</f>
        <v/>
      </c>
      <c r="AC39">
        <f>HYPERLINK("https://klasma.github.io/Logging_1493/tillsyn/A 30652-2023 tillsynsbegäran.docx", "A 30652-2023")</f>
        <v/>
      </c>
      <c r="AD39">
        <f>HYPERLINK("https://klasma.github.io/Logging_1493/tillsynsmail/A 30652-2023 tillsynsbegäran mail.docx", "A 30652-2023")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46232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46232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46232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46232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46232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46232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46232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46232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46232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46232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46232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46232</v>
      </c>
      <c r="F51" t="inlineStr">
        <is>
          <t>VÄSTRA GÖTALANDS LÄN</t>
        </is>
      </c>
      <c r="G51" t="inlineStr">
        <is>
          <t>MARIESTAD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46232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46232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46232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46232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46232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46232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46232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46232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46232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46232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46232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46232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46232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46232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46232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46232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46232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46232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46232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46232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46232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46232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46232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46232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46232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46232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46232</v>
      </c>
      <c r="F78" t="inlineStr">
        <is>
          <t>VÄSTRA GÖTALANDS LÄN</t>
        </is>
      </c>
      <c r="G78" t="inlineStr">
        <is>
          <t>MARIESTAD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46232</v>
      </c>
      <c r="F79" t="inlineStr">
        <is>
          <t>VÄSTRA GÖTALANDS LÄN</t>
        </is>
      </c>
      <c r="G79" t="inlineStr">
        <is>
          <t>MARIESTAD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46232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Kyrkan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45110-2022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44843</v>
      </c>
      <c r="E81" s="1" t="n">
        <v>46232</v>
      </c>
      <c r="F81" t="inlineStr">
        <is>
          <t>VÄSTRA GÖTALANDS LÄN</t>
        </is>
      </c>
      <c r="G81" t="inlineStr">
        <is>
          <t>MARIESTAD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46232</v>
      </c>
      <c r="F82" t="inlineStr">
        <is>
          <t>VÄSTRA GÖTALANDS LÄN</t>
        </is>
      </c>
      <c r="G82" t="inlineStr">
        <is>
          <t>MARIESTAD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46232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44574</v>
      </c>
      <c r="E84" s="1" t="n">
        <v>46232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45590</v>
      </c>
      <c r="E85" s="1" t="n">
        <v>46232</v>
      </c>
      <c r="F85" t="inlineStr">
        <is>
          <t>VÄSTRA GÖTALANDS LÄN</t>
        </is>
      </c>
      <c r="G85" t="inlineStr">
        <is>
          <t>MARIESTAD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45397</v>
      </c>
      <c r="E86" s="1" t="n">
        <v>46232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46232</v>
      </c>
      <c r="F87" t="inlineStr">
        <is>
          <t>VÄSTRA GÖTALANDS LÄN</t>
        </is>
      </c>
      <c r="G87" t="inlineStr">
        <is>
          <t>MARIESTAD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46232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Kommuner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46232</v>
      </c>
      <c r="F89" t="inlineStr">
        <is>
          <t>VÄSTRA GÖTALANDS LÄN</t>
        </is>
      </c>
      <c r="G89" t="inlineStr">
        <is>
          <t>MARIESTAD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46232</v>
      </c>
      <c r="F90" t="inlineStr">
        <is>
          <t>VÄSTRA GÖTALANDS LÄN</t>
        </is>
      </c>
      <c r="G90" t="inlineStr">
        <is>
          <t>MARIESTAD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45470</v>
      </c>
      <c r="E91" s="1" t="n">
        <v>46232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Kyrkan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46232</v>
      </c>
      <c r="F92" t="inlineStr">
        <is>
          <t>VÄSTRA GÖTALANDS LÄN</t>
        </is>
      </c>
      <c r="G92" t="inlineStr">
        <is>
          <t>MARIESTAD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45469</v>
      </c>
      <c r="E93" s="1" t="n">
        <v>46232</v>
      </c>
      <c r="F93" t="inlineStr">
        <is>
          <t>VÄSTRA GÖTALANDS LÄN</t>
        </is>
      </c>
      <c r="G93" t="inlineStr">
        <is>
          <t>MARIESTAD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50327-2024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46232</v>
      </c>
      <c r="F94" t="inlineStr">
        <is>
          <t>VÄSTRA GÖTALANDS LÄN</t>
        </is>
      </c>
      <c r="G94" t="inlineStr">
        <is>
          <t>MARIESTAD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46232</v>
      </c>
      <c r="F95" t="inlineStr">
        <is>
          <t>VÄSTRA GÖTALANDS LÄN</t>
        </is>
      </c>
      <c r="G95" t="inlineStr">
        <is>
          <t>MARIESTAD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66771-2021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44521</v>
      </c>
      <c r="E96" s="1" t="n">
        <v>46232</v>
      </c>
      <c r="F96" t="inlineStr">
        <is>
          <t>VÄSTRA GÖTALANDS LÄN</t>
        </is>
      </c>
      <c r="G96" t="inlineStr">
        <is>
          <t>MARIESTAD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46232</v>
      </c>
      <c r="F97" t="inlineStr">
        <is>
          <t>VÄSTRA GÖTALANDS LÄN</t>
        </is>
      </c>
      <c r="G97" t="inlineStr">
        <is>
          <t>MARIESTAD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46232</v>
      </c>
      <c r="F98" t="inlineStr">
        <is>
          <t>VÄSTRA GÖTALANDS LÄN</t>
        </is>
      </c>
      <c r="G98" t="inlineStr">
        <is>
          <t>MARIESTAD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46232</v>
      </c>
      <c r="F99" t="inlineStr">
        <is>
          <t>VÄSTRA GÖTALANDS LÄN</t>
        </is>
      </c>
      <c r="G99" t="inlineStr">
        <is>
          <t>MARIESTAD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19553-2022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44693</v>
      </c>
      <c r="E100" s="1" t="n">
        <v>46232</v>
      </c>
      <c r="F100" t="inlineStr">
        <is>
          <t>VÄSTRA GÖTALANDS LÄN</t>
        </is>
      </c>
      <c r="G100" t="inlineStr">
        <is>
          <t>MARIESTAD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44971</v>
      </c>
      <c r="E101" s="1" t="n">
        <v>46232</v>
      </c>
      <c r="F101" t="inlineStr">
        <is>
          <t>VÄSTRA GÖTALANDS LÄN</t>
        </is>
      </c>
      <c r="G101" t="inlineStr">
        <is>
          <t>MARIESTAD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70295-2021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46232</v>
      </c>
      <c r="F102" t="inlineStr">
        <is>
          <t>VÄSTRA GÖTALANDS LÄN</t>
        </is>
      </c>
      <c r="G102" t="inlineStr">
        <is>
          <t>MARIESTAD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44993</v>
      </c>
      <c r="E103" s="1" t="n">
        <v>46232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46232</v>
      </c>
      <c r="F104" t="inlineStr">
        <is>
          <t>VÄSTRA GÖTALANDS LÄN</t>
        </is>
      </c>
      <c r="G104" t="inlineStr">
        <is>
          <t>MARIESTAD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44797</v>
      </c>
      <c r="E105" s="1" t="n">
        <v>46232</v>
      </c>
      <c r="F105" t="inlineStr">
        <is>
          <t>VÄSTRA GÖTALANDS LÄN</t>
        </is>
      </c>
      <c r="G105" t="inlineStr">
        <is>
          <t>MARIESTAD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46232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44942</v>
      </c>
      <c r="E107" s="1" t="n">
        <v>46232</v>
      </c>
      <c r="F107" t="inlineStr">
        <is>
          <t>VÄSTRA GÖTALANDS LÄN</t>
        </is>
      </c>
      <c r="G107" t="inlineStr">
        <is>
          <t>MARIESTAD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46232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46232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46232</v>
      </c>
      <c r="F110" t="inlineStr">
        <is>
          <t>VÄSTRA GÖTALANDS LÄN</t>
        </is>
      </c>
      <c r="G110" t="inlineStr">
        <is>
          <t>MARIESTAD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46232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Sveaskog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46232</v>
      </c>
      <c r="F112" t="inlineStr">
        <is>
          <t>VÄSTRA GÖTALANDS LÄN</t>
        </is>
      </c>
      <c r="G112" t="inlineStr">
        <is>
          <t>MARIESTAD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46232</v>
      </c>
      <c r="F113" t="inlineStr">
        <is>
          <t>VÄSTRA GÖTALANDS LÄN</t>
        </is>
      </c>
      <c r="G113" t="inlineStr">
        <is>
          <t>MARIESTAD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46232</v>
      </c>
      <c r="F114" t="inlineStr">
        <is>
          <t>VÄSTRA GÖTALANDS LÄN</t>
        </is>
      </c>
      <c r="G114" t="inlineStr">
        <is>
          <t>MARIESTAD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46232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46232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45754</v>
      </c>
      <c r="E117" s="1" t="n">
        <v>46232</v>
      </c>
      <c r="F117" t="inlineStr">
        <is>
          <t>VÄSTRA GÖTALANDS LÄN</t>
        </is>
      </c>
      <c r="G117" t="inlineStr">
        <is>
          <t>MARIESTAD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45373</v>
      </c>
      <c r="E118" s="1" t="n">
        <v>46232</v>
      </c>
      <c r="F118" t="inlineStr">
        <is>
          <t>VÄSTRA GÖTALANDS LÄN</t>
        </is>
      </c>
      <c r="G118" t="inlineStr">
        <is>
          <t>MARIESTAD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61601-2023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45265</v>
      </c>
      <c r="E119" s="1" t="n">
        <v>46232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46232</v>
      </c>
      <c r="F120" t="inlineStr">
        <is>
          <t>VÄSTRA GÖTALANDS LÄN</t>
        </is>
      </c>
      <c r="G120" t="inlineStr">
        <is>
          <t>MARIESTAD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45817</v>
      </c>
      <c r="E121" s="1" t="n">
        <v>46232</v>
      </c>
      <c r="F121" t="inlineStr">
        <is>
          <t>VÄSTRA GÖTALANDS LÄN</t>
        </is>
      </c>
      <c r="G121" t="inlineStr">
        <is>
          <t>MARIESTAD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28313-2025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45818</v>
      </c>
      <c r="E122" s="1" t="n">
        <v>46232</v>
      </c>
      <c r="F122" t="inlineStr">
        <is>
          <t>VÄSTRA GÖTALANDS LÄN</t>
        </is>
      </c>
      <c r="G122" t="inlineStr">
        <is>
          <t>MARIESTAD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46232</v>
      </c>
      <c r="F123" t="inlineStr">
        <is>
          <t>VÄSTRA GÖTALANDS LÄN</t>
        </is>
      </c>
      <c r="G123" t="inlineStr">
        <is>
          <t>MARIESTAD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46037</v>
      </c>
      <c r="E124" s="1" t="n">
        <v>46232</v>
      </c>
      <c r="F124" t="inlineStr">
        <is>
          <t>VÄSTRA GÖTALANDS LÄN</t>
        </is>
      </c>
      <c r="G124" t="inlineStr">
        <is>
          <t>MARIESTAD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46232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46232</v>
      </c>
      <c r="F126" t="inlineStr">
        <is>
          <t>VÄSTRA GÖTALANDS LÄN</t>
        </is>
      </c>
      <c r="G126" t="inlineStr">
        <is>
          <t>MARIESTAD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45820</v>
      </c>
      <c r="E127" s="1" t="n">
        <v>46232</v>
      </c>
      <c r="F127" t="inlineStr">
        <is>
          <t>VÄSTRA GÖTALANDS LÄN</t>
        </is>
      </c>
      <c r="G127" t="inlineStr">
        <is>
          <t>MARIESTAD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45560</v>
      </c>
      <c r="E128" s="1" t="n">
        <v>46232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46232</v>
      </c>
      <c r="F129" t="inlineStr">
        <is>
          <t>VÄSTRA GÖTALANDS LÄN</t>
        </is>
      </c>
      <c r="G129" t="inlineStr">
        <is>
          <t>MARIESTAD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46232</v>
      </c>
      <c r="F130" t="inlineStr">
        <is>
          <t>VÄSTRA GÖTALANDS LÄN</t>
        </is>
      </c>
      <c r="G130" t="inlineStr">
        <is>
          <t>MARIESTAD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42161-2021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44426</v>
      </c>
      <c r="E131" s="1" t="n">
        <v>46232</v>
      </c>
      <c r="F131" t="inlineStr">
        <is>
          <t>VÄSTRA GÖTALANDS LÄN</t>
        </is>
      </c>
      <c r="G131" t="inlineStr">
        <is>
          <t>MARIESTAD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46232</v>
      </c>
      <c r="F132" t="inlineStr">
        <is>
          <t>VÄSTRA GÖTALANDS LÄN</t>
        </is>
      </c>
      <c r="G132" t="inlineStr">
        <is>
          <t>MARIESTAD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44746</v>
      </c>
      <c r="E133" s="1" t="n">
        <v>46232</v>
      </c>
      <c r="F133" t="inlineStr">
        <is>
          <t>VÄSTRA GÖTALANDS LÄN</t>
        </is>
      </c>
      <c r="G133" t="inlineStr">
        <is>
          <t>MARIESTAD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44746</v>
      </c>
      <c r="E134" s="1" t="n">
        <v>46232</v>
      </c>
      <c r="F134" t="inlineStr">
        <is>
          <t>VÄSTRA GÖTALANDS LÄN</t>
        </is>
      </c>
      <c r="G134" t="inlineStr">
        <is>
          <t>MARIESTAD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70259-2021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46232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14288-2024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45393</v>
      </c>
      <c r="E136" s="1" t="n">
        <v>46232</v>
      </c>
      <c r="F136" t="inlineStr">
        <is>
          <t>VÄSTRA GÖTALANDS LÄN</t>
        </is>
      </c>
      <c r="G136" t="inlineStr">
        <is>
          <t>MARIESTAD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46232</v>
      </c>
      <c r="F137" t="inlineStr">
        <is>
          <t>VÄSTRA GÖTALANDS LÄN</t>
        </is>
      </c>
      <c r="G137" t="inlineStr">
        <is>
          <t>MARIESTAD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44901</v>
      </c>
      <c r="E138" s="1" t="n">
        <v>46232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Kyrkan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46232</v>
      </c>
      <c r="F139" t="inlineStr">
        <is>
          <t>VÄSTRA GÖTALANDS LÄN</t>
        </is>
      </c>
      <c r="G139" t="inlineStr">
        <is>
          <t>MARIESTAD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46232</v>
      </c>
      <c r="F140" t="inlineStr">
        <is>
          <t>VÄSTRA GÖTALANDS LÄN</t>
        </is>
      </c>
      <c r="G140" t="inlineStr">
        <is>
          <t>MARIESTAD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46232</v>
      </c>
      <c r="F141" t="inlineStr">
        <is>
          <t>VÄSTRA GÖTALANDS LÄN</t>
        </is>
      </c>
      <c r="G141" t="inlineStr">
        <is>
          <t>MARIESTAD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46232</v>
      </c>
      <c r="F142" t="inlineStr">
        <is>
          <t>VÄSTRA GÖTALANDS LÄN</t>
        </is>
      </c>
      <c r="G142" t="inlineStr">
        <is>
          <t>MARIESTAD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46232</v>
      </c>
      <c r="F143" t="inlineStr">
        <is>
          <t>VÄSTRA GÖTALANDS LÄN</t>
        </is>
      </c>
      <c r="G143" t="inlineStr">
        <is>
          <t>MARIESTAD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46232</v>
      </c>
      <c r="F144" t="inlineStr">
        <is>
          <t>VÄSTRA GÖTALANDS LÄN</t>
        </is>
      </c>
      <c r="G144" t="inlineStr">
        <is>
          <t>MARIESTAD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54717-2022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44883</v>
      </c>
      <c r="E145" s="1" t="n">
        <v>46232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39437-2021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44414</v>
      </c>
      <c r="E146" s="1" t="n">
        <v>46232</v>
      </c>
      <c r="F146" t="inlineStr">
        <is>
          <t>VÄSTRA GÖTALANDS LÄN</t>
        </is>
      </c>
      <c r="G146" t="inlineStr">
        <is>
          <t>MARIESTAD</t>
        </is>
      </c>
      <c r="H146" t="inlineStr">
        <is>
          <t>Sveaskog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46232</v>
      </c>
      <c r="F147" t="inlineStr">
        <is>
          <t>VÄSTRA GÖTALANDS LÄN</t>
        </is>
      </c>
      <c r="G147" t="inlineStr">
        <is>
          <t>MARIESTAD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46232</v>
      </c>
      <c r="F148" t="inlineStr">
        <is>
          <t>VÄSTRA GÖTALANDS LÄN</t>
        </is>
      </c>
      <c r="G148" t="inlineStr">
        <is>
          <t>MARIESTAD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48187-2023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45199</v>
      </c>
      <c r="E149" s="1" t="n">
        <v>46232</v>
      </c>
      <c r="F149" t="inlineStr">
        <is>
          <t>VÄSTRA GÖTALANDS LÄN</t>
        </is>
      </c>
      <c r="G149" t="inlineStr">
        <is>
          <t>MARIESTAD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46232</v>
      </c>
      <c r="F150" t="inlineStr">
        <is>
          <t>VÄSTRA GÖTALANDS LÄN</t>
        </is>
      </c>
      <c r="G150" t="inlineStr">
        <is>
          <t>MARIESTAD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46232</v>
      </c>
      <c r="F151" t="inlineStr">
        <is>
          <t>VÄSTRA GÖTALANDS LÄN</t>
        </is>
      </c>
      <c r="G151" t="inlineStr">
        <is>
          <t>MARIESTAD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46232</v>
      </c>
      <c r="F152" t="inlineStr">
        <is>
          <t>VÄSTRA GÖTALANDS LÄN</t>
        </is>
      </c>
      <c r="G152" t="inlineStr">
        <is>
          <t>MARIESTAD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46945-2023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46232</v>
      </c>
      <c r="F153" t="inlineStr">
        <is>
          <t>VÄSTRA GÖTALANDS LÄN</t>
        </is>
      </c>
      <c r="G153" t="inlineStr">
        <is>
          <t>MARIESTAD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44774</v>
      </c>
      <c r="E154" s="1" t="n">
        <v>46232</v>
      </c>
      <c r="F154" t="inlineStr">
        <is>
          <t>VÄSTRA GÖTALANDS LÄN</t>
        </is>
      </c>
      <c r="G154" t="inlineStr">
        <is>
          <t>MARIESTAD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44937</v>
      </c>
      <c r="E155" s="1" t="n">
        <v>46232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45764</v>
      </c>
      <c r="E156" s="1" t="n">
        <v>46232</v>
      </c>
      <c r="F156" t="inlineStr">
        <is>
          <t>VÄSTRA GÖTALANDS LÄN</t>
        </is>
      </c>
      <c r="G156" t="inlineStr">
        <is>
          <t>MARIESTAD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45873</v>
      </c>
      <c r="E157" s="1" t="n">
        <v>46232</v>
      </c>
      <c r="F157" t="inlineStr">
        <is>
          <t>VÄSTRA GÖTALANDS LÄN</t>
        </is>
      </c>
      <c r="G157" t="inlineStr">
        <is>
          <t>MARIESTAD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46232</v>
      </c>
      <c r="F158" t="inlineStr">
        <is>
          <t>VÄSTRA GÖTALANDS LÄN</t>
        </is>
      </c>
      <c r="G158" t="inlineStr">
        <is>
          <t>MARIESTAD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46232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Kyrkan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46232</v>
      </c>
      <c r="F160" t="inlineStr">
        <is>
          <t>VÄSTRA GÖTALANDS LÄN</t>
        </is>
      </c>
      <c r="G160" t="inlineStr">
        <is>
          <t>MARIESTAD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45875</v>
      </c>
      <c r="E161" s="1" t="n">
        <v>46232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44645</v>
      </c>
      <c r="E162" s="1" t="n">
        <v>46232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46232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46232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46232</v>
      </c>
      <c r="F165" t="inlineStr">
        <is>
          <t>VÄSTRA GÖTALANDS LÄN</t>
        </is>
      </c>
      <c r="G165" t="inlineStr">
        <is>
          <t>MARIESTAD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44836</v>
      </c>
      <c r="E166" s="1" t="n">
        <v>46232</v>
      </c>
      <c r="F166" t="inlineStr">
        <is>
          <t>VÄSTRA GÖTALANDS LÄN</t>
        </is>
      </c>
      <c r="G166" t="inlineStr">
        <is>
          <t>MARIESTAD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46061</v>
      </c>
      <c r="E167" s="1" t="n">
        <v>46232</v>
      </c>
      <c r="F167" t="inlineStr">
        <is>
          <t>VÄSTRA GÖTALANDS LÄN</t>
        </is>
      </c>
      <c r="G167" t="inlineStr">
        <is>
          <t>MARIESTAD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46232</v>
      </c>
      <c r="F168" t="inlineStr">
        <is>
          <t>VÄSTRA GÖTALANDS LÄN</t>
        </is>
      </c>
      <c r="G168" t="inlineStr">
        <is>
          <t>MARIESTAD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45769</v>
      </c>
      <c r="E169" s="1" t="n">
        <v>46232</v>
      </c>
      <c r="F169" t="inlineStr">
        <is>
          <t>VÄSTRA GÖTALANDS LÄN</t>
        </is>
      </c>
      <c r="G169" t="inlineStr">
        <is>
          <t>MARIESTAD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46232</v>
      </c>
      <c r="F170" t="inlineStr">
        <is>
          <t>VÄSTRA GÖTALANDS LÄN</t>
        </is>
      </c>
      <c r="G170" t="inlineStr">
        <is>
          <t>MARIESTAD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51776-2023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46232</v>
      </c>
      <c r="F171" t="inlineStr">
        <is>
          <t>VÄSTRA GÖTALANDS LÄN</t>
        </is>
      </c>
      <c r="G171" t="inlineStr">
        <is>
          <t>MARIESTAD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44843</v>
      </c>
      <c r="E172" s="1" t="n">
        <v>46232</v>
      </c>
      <c r="F172" t="inlineStr">
        <is>
          <t>VÄSTRA GÖTALANDS LÄN</t>
        </is>
      </c>
      <c r="G172" t="inlineStr">
        <is>
          <t>MARIESTAD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46232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44865</v>
      </c>
      <c r="E174" s="1" t="n">
        <v>46232</v>
      </c>
      <c r="F174" t="inlineStr">
        <is>
          <t>VÄSTRA GÖTALANDS LÄN</t>
        </is>
      </c>
      <c r="G174" t="inlineStr">
        <is>
          <t>MARIESTAD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45887</v>
      </c>
      <c r="E175" s="1" t="n">
        <v>46232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Sveaskog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46232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46232</v>
      </c>
      <c r="F177" t="inlineStr">
        <is>
          <t>VÄSTRA GÖTALANDS LÄN</t>
        </is>
      </c>
      <c r="G177" t="inlineStr">
        <is>
          <t>MARIESTAD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46232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46232</v>
      </c>
      <c r="F179" t="inlineStr">
        <is>
          <t>VÄSTRA GÖTALANDS LÄN</t>
        </is>
      </c>
      <c r="G179" t="inlineStr">
        <is>
          <t>MARIESTAD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44638</v>
      </c>
      <c r="E180" s="1" t="n">
        <v>46232</v>
      </c>
      <c r="F180" t="inlineStr">
        <is>
          <t>VÄSTRA GÖTALANDS LÄN</t>
        </is>
      </c>
      <c r="G180" t="inlineStr">
        <is>
          <t>MARIESTAD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45443</v>
      </c>
      <c r="E181" s="1" t="n">
        <v>46232</v>
      </c>
      <c r="F181" t="inlineStr">
        <is>
          <t>VÄSTRA GÖTALANDS LÄN</t>
        </is>
      </c>
      <c r="G181" t="inlineStr">
        <is>
          <t>MARIESTAD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46232</v>
      </c>
      <c r="F182" t="inlineStr">
        <is>
          <t>VÄSTRA GÖTALANDS LÄN</t>
        </is>
      </c>
      <c r="G182" t="inlineStr">
        <is>
          <t>MARIESTAD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46232</v>
      </c>
      <c r="F183" t="inlineStr">
        <is>
          <t>VÄSTRA GÖTALANDS LÄN</t>
        </is>
      </c>
      <c r="G183" t="inlineStr">
        <is>
          <t>MARIESTAD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46071</v>
      </c>
      <c r="E184" s="1" t="n">
        <v>46232</v>
      </c>
      <c r="F184" t="inlineStr">
        <is>
          <t>VÄSTRA GÖTALANDS LÄN</t>
        </is>
      </c>
      <c r="G184" t="inlineStr">
        <is>
          <t>MARIESTAD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38114-2022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46232</v>
      </c>
      <c r="F185" t="inlineStr">
        <is>
          <t>VÄSTRA GÖTALANDS LÄN</t>
        </is>
      </c>
      <c r="G185" t="inlineStr">
        <is>
          <t>MARIESTAD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46232</v>
      </c>
      <c r="F186" t="inlineStr">
        <is>
          <t>VÄSTRA GÖTALANDS LÄN</t>
        </is>
      </c>
      <c r="G186" t="inlineStr">
        <is>
          <t>MARIESTAD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9558-2026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46071</v>
      </c>
      <c r="E187" s="1" t="n">
        <v>46232</v>
      </c>
      <c r="F187" t="inlineStr">
        <is>
          <t>VÄSTRA GÖTALANDS LÄN</t>
        </is>
      </c>
      <c r="G187" t="inlineStr">
        <is>
          <t>MARIESTAD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46232</v>
      </c>
      <c r="F188" t="inlineStr">
        <is>
          <t>VÄSTRA GÖTALANDS LÄN</t>
        </is>
      </c>
      <c r="G188" t="inlineStr">
        <is>
          <t>MARIESTAD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45201</v>
      </c>
      <c r="E189" s="1" t="n">
        <v>46232</v>
      </c>
      <c r="F189" t="inlineStr">
        <is>
          <t>VÄSTRA GÖTALANDS LÄN</t>
        </is>
      </c>
      <c r="G189" t="inlineStr">
        <is>
          <t>MARIESTAD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46232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Övriga Aktiebolag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46232</v>
      </c>
      <c r="F191" t="inlineStr">
        <is>
          <t>VÄSTRA GÖTALANDS LÄN</t>
        </is>
      </c>
      <c r="G191" t="inlineStr">
        <is>
          <t>MARIESTAD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46232</v>
      </c>
      <c r="F192" t="inlineStr">
        <is>
          <t>VÄSTRA GÖTALANDS LÄN</t>
        </is>
      </c>
      <c r="G192" t="inlineStr">
        <is>
          <t>MARIESTAD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44986</v>
      </c>
      <c r="E193" s="1" t="n">
        <v>46232</v>
      </c>
      <c r="F193" t="inlineStr">
        <is>
          <t>VÄSTRA GÖTALANDS LÄN</t>
        </is>
      </c>
      <c r="G193" t="inlineStr">
        <is>
          <t>MARIESTAD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44620</v>
      </c>
      <c r="E194" s="1" t="n">
        <v>46232</v>
      </c>
      <c r="F194" t="inlineStr">
        <is>
          <t>VÄSTRA GÖTALANDS LÄN</t>
        </is>
      </c>
      <c r="G194" t="inlineStr">
        <is>
          <t>MARIESTAD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49389-2023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45211</v>
      </c>
      <c r="E195" s="1" t="n">
        <v>46232</v>
      </c>
      <c r="F195" t="inlineStr">
        <is>
          <t>VÄSTRA GÖTALANDS LÄN</t>
        </is>
      </c>
      <c r="G195" t="inlineStr">
        <is>
          <t>MARIESTAD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46080</v>
      </c>
      <c r="E196" s="1" t="n">
        <v>46232</v>
      </c>
      <c r="F196" t="inlineStr">
        <is>
          <t>VÄSTRA GÖTALANDS LÄN</t>
        </is>
      </c>
      <c r="G196" t="inlineStr">
        <is>
          <t>MARIESTAD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46232</v>
      </c>
      <c r="F197" t="inlineStr">
        <is>
          <t>VÄSTRA GÖTALANDS LÄN</t>
        </is>
      </c>
      <c r="G197" t="inlineStr">
        <is>
          <t>MARIESTAD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46232</v>
      </c>
      <c r="F198" t="inlineStr">
        <is>
          <t>VÄSTRA GÖTALANDS LÄN</t>
        </is>
      </c>
      <c r="G198" t="inlineStr">
        <is>
          <t>MARIESTAD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46232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44974</v>
      </c>
      <c r="E200" s="1" t="n">
        <v>46232</v>
      </c>
      <c r="F200" t="inlineStr">
        <is>
          <t>VÄSTRA GÖTALANDS LÄN</t>
        </is>
      </c>
      <c r="G200" t="inlineStr">
        <is>
          <t>MARIESTAD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46232</v>
      </c>
      <c r="F201" t="inlineStr">
        <is>
          <t>VÄSTRA GÖTALANDS LÄN</t>
        </is>
      </c>
      <c r="G201" t="inlineStr">
        <is>
          <t>MARIESTAD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12381-2026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46090</v>
      </c>
      <c r="E202" s="1" t="n">
        <v>46232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46232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33571-2023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45131</v>
      </c>
      <c r="E204" s="1" t="n">
        <v>46232</v>
      </c>
      <c r="F204" t="inlineStr">
        <is>
          <t>VÄSTRA GÖTALANDS LÄN</t>
        </is>
      </c>
      <c r="G204" t="inlineStr">
        <is>
          <t>MARIESTAD</t>
        </is>
      </c>
      <c r="I204" t="n">
        <v>16.1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46232</v>
      </c>
      <c r="F205" t="inlineStr">
        <is>
          <t>VÄSTRA GÖTALANDS LÄN</t>
        </is>
      </c>
      <c r="G205" t="inlineStr">
        <is>
          <t>MARIESTAD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46232</v>
      </c>
      <c r="F206" t="inlineStr">
        <is>
          <t>VÄSTRA GÖTALANDS LÄN</t>
        </is>
      </c>
      <c r="G206" t="inlineStr">
        <is>
          <t>MARIESTAD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45033</v>
      </c>
      <c r="E207" s="1" t="n">
        <v>46232</v>
      </c>
      <c r="F207" t="inlineStr">
        <is>
          <t>VÄSTRA GÖTALANDS LÄN</t>
        </is>
      </c>
      <c r="G207" t="inlineStr">
        <is>
          <t>MARIESTAD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46232</v>
      </c>
      <c r="F208" t="inlineStr">
        <is>
          <t>VÄSTRA GÖTALANDS LÄN</t>
        </is>
      </c>
      <c r="G208" t="inlineStr">
        <is>
          <t>MARIESTAD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49188-2023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46232</v>
      </c>
      <c r="F209" t="inlineStr">
        <is>
          <t>VÄSTRA GÖTALANDS LÄN</t>
        </is>
      </c>
      <c r="G209" t="inlineStr">
        <is>
          <t>MARIESTAD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46232</v>
      </c>
      <c r="F210" t="inlineStr">
        <is>
          <t>VÄSTRA GÖTALANDS LÄN</t>
        </is>
      </c>
      <c r="G210" t="inlineStr">
        <is>
          <t>MARIESTAD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46232</v>
      </c>
      <c r="F211" t="inlineStr">
        <is>
          <t>VÄSTRA GÖTALANDS LÄN</t>
        </is>
      </c>
      <c r="G211" t="inlineStr">
        <is>
          <t>MARIESTAD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46003</v>
      </c>
      <c r="E212" s="1" t="n">
        <v>46232</v>
      </c>
      <c r="F212" t="inlineStr">
        <is>
          <t>VÄSTRA GÖTALANDS LÄN</t>
        </is>
      </c>
      <c r="G212" t="inlineStr">
        <is>
          <t>MARIESTAD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46232</v>
      </c>
      <c r="F213" t="inlineStr">
        <is>
          <t>VÄSTRA GÖTALANDS LÄN</t>
        </is>
      </c>
      <c r="G213" t="inlineStr">
        <is>
          <t>MARIESTAD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44943</v>
      </c>
      <c r="E214" s="1" t="n">
        <v>46232</v>
      </c>
      <c r="F214" t="inlineStr">
        <is>
          <t>VÄSTRA GÖTALANDS LÄN</t>
        </is>
      </c>
      <c r="G214" t="inlineStr">
        <is>
          <t>MARIESTAD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62633-2025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46008</v>
      </c>
      <c r="E215" s="1" t="n">
        <v>46232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45135</v>
      </c>
      <c r="E216" s="1" t="n">
        <v>46232</v>
      </c>
      <c r="F216" t="inlineStr">
        <is>
          <t>VÄSTRA GÖTALANDS LÄN</t>
        </is>
      </c>
      <c r="G216" t="inlineStr">
        <is>
          <t>MARIESTAD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46232</v>
      </c>
      <c r="F217" t="inlineStr">
        <is>
          <t>VÄSTRA GÖTALANDS LÄN</t>
        </is>
      </c>
      <c r="G217" t="inlineStr">
        <is>
          <t>MARIESTAD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46232</v>
      </c>
      <c r="F218" t="inlineStr">
        <is>
          <t>VÄSTRA GÖTALANDS LÄN</t>
        </is>
      </c>
      <c r="G218" t="inlineStr">
        <is>
          <t>MARIESTAD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46100</v>
      </c>
      <c r="E219" s="1" t="n">
        <v>46232</v>
      </c>
      <c r="F219" t="inlineStr">
        <is>
          <t>VÄSTRA GÖTALANDS LÄN</t>
        </is>
      </c>
      <c r="G219" t="inlineStr">
        <is>
          <t>MARIESTAD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13655-2023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45006</v>
      </c>
      <c r="E220" s="1" t="n">
        <v>46232</v>
      </c>
      <c r="F220" t="inlineStr">
        <is>
          <t>VÄSTRA GÖTALANDS LÄN</t>
        </is>
      </c>
      <c r="G220" t="inlineStr">
        <is>
          <t>MARIESTAD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52626-2023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45225</v>
      </c>
      <c r="E221" s="1" t="n">
        <v>46232</v>
      </c>
      <c r="F221" t="inlineStr">
        <is>
          <t>VÄSTRA GÖTALANDS LÄN</t>
        </is>
      </c>
      <c r="G221" t="inlineStr">
        <is>
          <t>MARIESTAD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46232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46232</v>
      </c>
      <c r="F223" t="inlineStr">
        <is>
          <t>VÄSTRA GÖTALANDS LÄN</t>
        </is>
      </c>
      <c r="G223" t="inlineStr">
        <is>
          <t>MARIESTAD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26688-2022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44739</v>
      </c>
      <c r="E224" s="1" t="n">
        <v>46232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46232</v>
      </c>
      <c r="F225" t="inlineStr">
        <is>
          <t>VÄSTRA GÖTALANDS LÄN</t>
        </is>
      </c>
      <c r="G225" t="inlineStr">
        <is>
          <t>MARIESTAD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46232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44756</v>
      </c>
      <c r="E227" s="1" t="n">
        <v>46232</v>
      </c>
      <c r="F227" t="inlineStr">
        <is>
          <t>VÄSTRA GÖTALANDS LÄN</t>
        </is>
      </c>
      <c r="G227" t="inlineStr">
        <is>
          <t>MARIESTAD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46232</v>
      </c>
      <c r="F228" t="inlineStr">
        <is>
          <t>VÄSTRA GÖTALANDS LÄN</t>
        </is>
      </c>
      <c r="G228" t="inlineStr">
        <is>
          <t>MARIESTAD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45639</v>
      </c>
      <c r="E229" s="1" t="n">
        <v>46232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46119</v>
      </c>
      <c r="E230" s="1" t="n">
        <v>46232</v>
      </c>
      <c r="F230" t="inlineStr">
        <is>
          <t>VÄSTRA GÖTALANDS LÄN</t>
        </is>
      </c>
      <c r="G230" t="inlineStr">
        <is>
          <t>MARIESTAD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36399-2024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45535</v>
      </c>
      <c r="E231" s="1" t="n">
        <v>46232</v>
      </c>
      <c r="F231" t="inlineStr">
        <is>
          <t>VÄSTRA GÖTALANDS LÄN</t>
        </is>
      </c>
      <c r="G231" t="inlineStr">
        <is>
          <t>MARIESTAD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45243</v>
      </c>
      <c r="E232" s="1" t="n">
        <v>46232</v>
      </c>
      <c r="F232" t="inlineStr">
        <is>
          <t>VÄSTRA GÖTALANDS LÄN</t>
        </is>
      </c>
      <c r="G232" t="inlineStr">
        <is>
          <t>MARIESTAD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45412</v>
      </c>
      <c r="E233" s="1" t="n">
        <v>46232</v>
      </c>
      <c r="F233" t="inlineStr">
        <is>
          <t>VÄSTRA GÖTALANDS LÄN</t>
        </is>
      </c>
      <c r="G233" t="inlineStr">
        <is>
          <t>MARIESTAD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45412</v>
      </c>
      <c r="E234" s="1" t="n">
        <v>46232</v>
      </c>
      <c r="F234" t="inlineStr">
        <is>
          <t>VÄSTRA GÖTALANDS LÄN</t>
        </is>
      </c>
      <c r="G234" t="inlineStr">
        <is>
          <t>MARIESTAD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45544</v>
      </c>
      <c r="E235" s="1" t="n">
        <v>46232</v>
      </c>
      <c r="F235" t="inlineStr">
        <is>
          <t>VÄSTRA GÖTALANDS LÄN</t>
        </is>
      </c>
      <c r="G235" t="inlineStr">
        <is>
          <t>MARIESTAD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46232</v>
      </c>
      <c r="F236" t="inlineStr">
        <is>
          <t>VÄSTRA GÖTALANDS LÄN</t>
        </is>
      </c>
      <c r="G236" t="inlineStr">
        <is>
          <t>MARIESTAD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45268</v>
      </c>
      <c r="E237" s="1" t="n">
        <v>46232</v>
      </c>
      <c r="F237" t="inlineStr">
        <is>
          <t>VÄSTRA GÖTALANDS LÄN</t>
        </is>
      </c>
      <c r="G237" t="inlineStr">
        <is>
          <t>MARIESTAD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45530</v>
      </c>
      <c r="E238" s="1" t="n">
        <v>46232</v>
      </c>
      <c r="F238" t="inlineStr">
        <is>
          <t>VÄSTRA GÖTALANDS LÄN</t>
        </is>
      </c>
      <c r="G238" t="inlineStr">
        <is>
          <t>MARIESTAD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44572</v>
      </c>
      <c r="E239" s="1" t="n">
        <v>46232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Naturvårdsverket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44903</v>
      </c>
      <c r="E240" s="1" t="n">
        <v>46232</v>
      </c>
      <c r="F240" t="inlineStr">
        <is>
          <t>VÄSTRA GÖTALANDS LÄN</t>
        </is>
      </c>
      <c r="G240" t="inlineStr">
        <is>
          <t>MARIESTAD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46232</v>
      </c>
      <c r="F241" t="inlineStr">
        <is>
          <t>VÄSTRA GÖTALANDS LÄN</t>
        </is>
      </c>
      <c r="G241" t="inlineStr">
        <is>
          <t>MARIESTAD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44986</v>
      </c>
      <c r="E242" s="1" t="n">
        <v>46232</v>
      </c>
      <c r="F242" t="inlineStr">
        <is>
          <t>VÄSTRA GÖTALANDS LÄN</t>
        </is>
      </c>
      <c r="G242" t="inlineStr">
        <is>
          <t>MARIESTAD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50579-2023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45217</v>
      </c>
      <c r="E243" s="1" t="n">
        <v>46232</v>
      </c>
      <c r="F243" t="inlineStr">
        <is>
          <t>VÄSTRA GÖTALANDS LÄN</t>
        </is>
      </c>
      <c r="G243" t="inlineStr">
        <is>
          <t>MARIESTAD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46232</v>
      </c>
      <c r="F244" t="inlineStr">
        <is>
          <t>VÄSTRA GÖTALANDS LÄN</t>
        </is>
      </c>
      <c r="G244" t="inlineStr">
        <is>
          <t>MARIESTAD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46232</v>
      </c>
      <c r="F245" t="inlineStr">
        <is>
          <t>VÄSTRA GÖTALANDS LÄN</t>
        </is>
      </c>
      <c r="G245" t="inlineStr">
        <is>
          <t>MARIESTAD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40455-2023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45170</v>
      </c>
      <c r="E246" s="1" t="n">
        <v>46232</v>
      </c>
      <c r="F246" t="inlineStr">
        <is>
          <t>VÄSTRA GÖTALANDS LÄN</t>
        </is>
      </c>
      <c r="G246" t="inlineStr">
        <is>
          <t>MARIESTAD</t>
        </is>
      </c>
      <c r="I246" t="n">
        <v>34.9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45015</v>
      </c>
      <c r="E247" s="1" t="n">
        <v>46232</v>
      </c>
      <c r="F247" t="inlineStr">
        <is>
          <t>VÄSTRA GÖTALANDS LÄN</t>
        </is>
      </c>
      <c r="G247" t="inlineStr">
        <is>
          <t>MARIESTAD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44876</v>
      </c>
      <c r="E248" s="1" t="n">
        <v>46232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Kyrkan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58077-2022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44900</v>
      </c>
      <c r="E249" s="1" t="n">
        <v>46232</v>
      </c>
      <c r="F249" t="inlineStr">
        <is>
          <t>VÄSTRA GÖTALANDS LÄN</t>
        </is>
      </c>
      <c r="G249" t="inlineStr">
        <is>
          <t>MARIESTAD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38108-2022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44812</v>
      </c>
      <c r="E250" s="1" t="n">
        <v>46232</v>
      </c>
      <c r="F250" t="inlineStr">
        <is>
          <t>VÄSTRA GÖTALANDS LÄN</t>
        </is>
      </c>
      <c r="G250" t="inlineStr">
        <is>
          <t>MARIESTAD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39766-2023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45167</v>
      </c>
      <c r="E251" s="1" t="n">
        <v>46232</v>
      </c>
      <c r="F251" t="inlineStr">
        <is>
          <t>VÄSTRA GÖTALANDS LÄN</t>
        </is>
      </c>
      <c r="G251" t="inlineStr">
        <is>
          <t>MARIESTAD</t>
        </is>
      </c>
      <c r="I251" t="n">
        <v>26.5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44957</v>
      </c>
      <c r="E252" s="1" t="n">
        <v>46232</v>
      </c>
      <c r="F252" t="inlineStr">
        <is>
          <t>VÄSTRA GÖTALANDS LÄN</t>
        </is>
      </c>
      <c r="G252" t="inlineStr">
        <is>
          <t>MARIESTAD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11137-2024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45371</v>
      </c>
      <c r="E253" s="1" t="n">
        <v>46232</v>
      </c>
      <c r="F253" t="inlineStr">
        <is>
          <t>VÄSTRA GÖTALANDS LÄN</t>
        </is>
      </c>
      <c r="G253" t="inlineStr">
        <is>
          <t>MARIESTAD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45875</v>
      </c>
      <c r="E254" s="1" t="n">
        <v>46232</v>
      </c>
      <c r="F254" t="inlineStr">
        <is>
          <t>VÄSTRA GÖTALANDS LÄN</t>
        </is>
      </c>
      <c r="G254" t="inlineStr">
        <is>
          <t>MARIESTAD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46232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44622</v>
      </c>
      <c r="E256" s="1" t="n">
        <v>46232</v>
      </c>
      <c r="F256" t="inlineStr">
        <is>
          <t>VÄSTRA GÖTALANDS LÄN</t>
        </is>
      </c>
      <c r="G256" t="inlineStr">
        <is>
          <t>MARIESTAD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46232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45516</v>
      </c>
      <c r="E258" s="1" t="n">
        <v>46232</v>
      </c>
      <c r="F258" t="inlineStr">
        <is>
          <t>VÄSTRA GÖTALANDS LÄN</t>
        </is>
      </c>
      <c r="G258" t="inlineStr">
        <is>
          <t>MARIESTAD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46232</v>
      </c>
      <c r="F259" t="inlineStr">
        <is>
          <t>VÄSTRA GÖTALANDS LÄN</t>
        </is>
      </c>
      <c r="G259" t="inlineStr">
        <is>
          <t>MARIESTAD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45268</v>
      </c>
      <c r="E260" s="1" t="n">
        <v>46232</v>
      </c>
      <c r="F260" t="inlineStr">
        <is>
          <t>VÄSTRA GÖTALANDS LÄN</t>
        </is>
      </c>
      <c r="G260" t="inlineStr">
        <is>
          <t>MARIESTAD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49156-2023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46232</v>
      </c>
      <c r="F261" t="inlineStr">
        <is>
          <t>VÄSTRA GÖTALANDS LÄN</t>
        </is>
      </c>
      <c r="G261" t="inlineStr">
        <is>
          <t>MARIESTAD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44965</v>
      </c>
      <c r="E262" s="1" t="n">
        <v>46232</v>
      </c>
      <c r="F262" t="inlineStr">
        <is>
          <t>VÄSTRA GÖTALANDS LÄN</t>
        </is>
      </c>
      <c r="G262" t="inlineStr">
        <is>
          <t>MARIESTAD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8021-2024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45350</v>
      </c>
      <c r="E263" s="1" t="n">
        <v>46232</v>
      </c>
      <c r="F263" t="inlineStr">
        <is>
          <t>VÄSTRA GÖTALANDS LÄN</t>
        </is>
      </c>
      <c r="G263" t="inlineStr">
        <is>
          <t>MARIESTAD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45210</v>
      </c>
      <c r="E264" s="1" t="n">
        <v>46232</v>
      </c>
      <c r="F264" t="inlineStr">
        <is>
          <t>VÄSTRA GÖTALANDS LÄN</t>
        </is>
      </c>
      <c r="G264" t="inlineStr">
        <is>
          <t>MARIESTAD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44993</v>
      </c>
      <c r="E265" s="1" t="n">
        <v>46232</v>
      </c>
      <c r="F265" t="inlineStr">
        <is>
          <t>VÄSTRA GÖTALANDS LÄN</t>
        </is>
      </c>
      <c r="G265" t="inlineStr">
        <is>
          <t>MARIESTAD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45702</v>
      </c>
      <c r="E266" s="1" t="n">
        <v>46232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56344-2022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46232</v>
      </c>
      <c r="F267" t="inlineStr">
        <is>
          <t>VÄSTRA GÖTALANDS LÄN</t>
        </is>
      </c>
      <c r="G267" t="inlineStr">
        <is>
          <t>MARIESTAD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45761</v>
      </c>
      <c r="E268" s="1" t="n">
        <v>46232</v>
      </c>
      <c r="F268" t="inlineStr">
        <is>
          <t>VÄSTRA GÖTALANDS LÄN</t>
        </is>
      </c>
      <c r="G268" t="inlineStr">
        <is>
          <t>MARIESTAD</t>
        </is>
      </c>
      <c r="I268" t="n">
        <v>11.9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47194-2021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44447</v>
      </c>
      <c r="E269" s="1" t="n">
        <v>46232</v>
      </c>
      <c r="F269" t="inlineStr">
        <is>
          <t>VÄSTRA GÖTALANDS LÄN</t>
        </is>
      </c>
      <c r="G269" t="inlineStr">
        <is>
          <t>MARIESTAD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46232</v>
      </c>
      <c r="F270" t="inlineStr">
        <is>
          <t>VÄSTRA GÖTALANDS LÄN</t>
        </is>
      </c>
      <c r="G270" t="inlineStr">
        <is>
          <t>MARIESTAD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8849-2022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44614</v>
      </c>
      <c r="E271" s="1" t="n">
        <v>46232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Kyrkan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44816</v>
      </c>
      <c r="E272" s="1" t="n">
        <v>46232</v>
      </c>
      <c r="F272" t="inlineStr">
        <is>
          <t>VÄSTRA GÖTALANDS LÄN</t>
        </is>
      </c>
      <c r="G272" t="inlineStr">
        <is>
          <t>MARIESTAD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47009-2024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46232</v>
      </c>
      <c r="F273" t="inlineStr">
        <is>
          <t>VÄSTRA GÖTALANDS LÄN</t>
        </is>
      </c>
      <c r="G273" t="inlineStr">
        <is>
          <t>MARIESTAD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46232</v>
      </c>
      <c r="F274" t="inlineStr">
        <is>
          <t>VÄSTRA GÖTALANDS LÄN</t>
        </is>
      </c>
      <c r="G274" t="inlineStr">
        <is>
          <t>MARIESTAD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46232</v>
      </c>
      <c r="F275" t="inlineStr">
        <is>
          <t>VÄSTRA GÖTALANDS LÄN</t>
        </is>
      </c>
      <c r="G275" t="inlineStr">
        <is>
          <t>MARIESTAD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46157</v>
      </c>
      <c r="E276" s="1" t="n">
        <v>46232</v>
      </c>
      <c r="F276" t="inlineStr">
        <is>
          <t>VÄSTRA GÖTALANDS LÄN</t>
        </is>
      </c>
      <c r="G276" t="inlineStr">
        <is>
          <t>MARIESTAD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46232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22878-2026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46157</v>
      </c>
      <c r="E278" s="1" t="n">
        <v>46232</v>
      </c>
      <c r="F278" t="inlineStr">
        <is>
          <t>VÄSTRA GÖTALANDS LÄN</t>
        </is>
      </c>
      <c r="G278" t="inlineStr">
        <is>
          <t>MARIESTAD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44756</v>
      </c>
      <c r="E279" s="1" t="n">
        <v>46232</v>
      </c>
      <c r="F279" t="inlineStr">
        <is>
          <t>VÄSTRA GÖTALANDS LÄN</t>
        </is>
      </c>
      <c r="G279" t="inlineStr">
        <is>
          <t>MARIESTAD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46232</v>
      </c>
      <c r="F280" t="inlineStr">
        <is>
          <t>VÄSTRA GÖTALANDS LÄN</t>
        </is>
      </c>
      <c r="G280" t="inlineStr">
        <is>
          <t>MARIESTAD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45412</v>
      </c>
      <c r="E281" s="1" t="n">
        <v>46232</v>
      </c>
      <c r="F281" t="inlineStr">
        <is>
          <t>VÄSTRA GÖTALANDS LÄN</t>
        </is>
      </c>
      <c r="G281" t="inlineStr">
        <is>
          <t>MARIESTAD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46232</v>
      </c>
      <c r="F282" t="inlineStr">
        <is>
          <t>VÄSTRA GÖTALANDS LÄN</t>
        </is>
      </c>
      <c r="G282" t="inlineStr">
        <is>
          <t>MARIESTAD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21361-2026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46142</v>
      </c>
      <c r="E283" s="1" t="n">
        <v>46232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Kyrkan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60376-2021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46232</v>
      </c>
      <c r="F284" t="inlineStr">
        <is>
          <t>VÄSTRA GÖTALANDS LÄN</t>
        </is>
      </c>
      <c r="G284" t="inlineStr">
        <is>
          <t>MARIESTAD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45200</v>
      </c>
      <c r="E285" s="1" t="n">
        <v>46232</v>
      </c>
      <c r="F285" t="inlineStr">
        <is>
          <t>VÄSTRA GÖTALANDS LÄN</t>
        </is>
      </c>
      <c r="G285" t="inlineStr">
        <is>
          <t>MARIESTAD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48269-2024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45590</v>
      </c>
      <c r="E286" s="1" t="n">
        <v>46232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Kyrkan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8471-2025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45709</v>
      </c>
      <c r="E287" s="1" t="n">
        <v>46232</v>
      </c>
      <c r="F287" t="inlineStr">
        <is>
          <t>VÄSTRA GÖTALANDS LÄN</t>
        </is>
      </c>
      <c r="G287" t="inlineStr">
        <is>
          <t>MARIESTAD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23453-2026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46232</v>
      </c>
      <c r="F288" t="inlineStr">
        <is>
          <t>VÄSTRA GÖTALANDS LÄN</t>
        </is>
      </c>
      <c r="G288" t="inlineStr">
        <is>
          <t>MARIESTAD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23585-2026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46163</v>
      </c>
      <c r="E289" s="1" t="n">
        <v>46232</v>
      </c>
      <c r="F289" t="inlineStr">
        <is>
          <t>VÄSTRA GÖTALANDS LÄN</t>
        </is>
      </c>
      <c r="G289" t="inlineStr">
        <is>
          <t>MARIESTAD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46232</v>
      </c>
      <c r="F290" t="inlineStr">
        <is>
          <t>VÄSTRA GÖTALANDS LÄN</t>
        </is>
      </c>
      <c r="G290" t="inlineStr">
        <is>
          <t>MARIESTAD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29890-2026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46205</v>
      </c>
      <c r="E291" s="1" t="n">
        <v>46232</v>
      </c>
      <c r="F291" t="inlineStr">
        <is>
          <t>VÄSTRA GÖTALANDS LÄN</t>
        </is>
      </c>
      <c r="G291" t="inlineStr">
        <is>
          <t>MARIESTAD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46232</v>
      </c>
      <c r="F292" t="inlineStr">
        <is>
          <t>VÄSTRA GÖTALANDS LÄN</t>
        </is>
      </c>
      <c r="G292" t="inlineStr">
        <is>
          <t>MARIESTAD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23454-2026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46163</v>
      </c>
      <c r="E293" s="1" t="n">
        <v>46232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58598-2021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44489</v>
      </c>
      <c r="E294" s="1" t="n">
        <v>46232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65197-2023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45289</v>
      </c>
      <c r="E295" s="1" t="n">
        <v>46232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45548</v>
      </c>
      <c r="E296" s="1" t="n">
        <v>46232</v>
      </c>
      <c r="F296" t="inlineStr">
        <is>
          <t>VÄSTRA GÖTALANDS LÄN</t>
        </is>
      </c>
      <c r="G296" t="inlineStr">
        <is>
          <t>MARIESTAD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30192-2026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46232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46232</v>
      </c>
      <c r="F298" t="inlineStr">
        <is>
          <t>VÄSTRA GÖTALANDS LÄN</t>
        </is>
      </c>
      <c r="G298" t="inlineStr">
        <is>
          <t>MARIESTAD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54225-2022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44881</v>
      </c>
      <c r="E299" s="1" t="n">
        <v>46232</v>
      </c>
      <c r="F299" t="inlineStr">
        <is>
          <t>VÄSTRA GÖTALANDS LÄN</t>
        </is>
      </c>
      <c r="G299" t="inlineStr">
        <is>
          <t>MARIESTAD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46232</v>
      </c>
      <c r="F300" t="inlineStr">
        <is>
          <t>VÄSTRA GÖTALANDS LÄN</t>
        </is>
      </c>
      <c r="G300" t="inlineStr">
        <is>
          <t>MARIESTAD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24765-2024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46232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46232</v>
      </c>
      <c r="F302" t="inlineStr">
        <is>
          <t>VÄSTRA GÖTALANDS LÄN</t>
        </is>
      </c>
      <c r="G302" t="inlineStr">
        <is>
          <t>MARIESTAD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74081-2021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44553</v>
      </c>
      <c r="E303" s="1" t="n">
        <v>46232</v>
      </c>
      <c r="F303" t="inlineStr">
        <is>
          <t>VÄSTRA GÖTALANDS LÄN</t>
        </is>
      </c>
      <c r="G303" t="inlineStr">
        <is>
          <t>MARIESTAD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46232</v>
      </c>
      <c r="F304" t="inlineStr">
        <is>
          <t>VÄSTRA GÖTALANDS LÄN</t>
        </is>
      </c>
      <c r="G304" t="inlineStr">
        <is>
          <t>MARIESTAD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45590</v>
      </c>
      <c r="E305" s="1" t="n">
        <v>46232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Kyrkan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46171</v>
      </c>
      <c r="E306" s="1" t="n">
        <v>46232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46171</v>
      </c>
      <c r="E307" s="1" t="n">
        <v>46232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46232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13798-2022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44649</v>
      </c>
      <c r="E309" s="1" t="n">
        <v>46232</v>
      </c>
      <c r="F309" t="inlineStr">
        <is>
          <t>VÄSTRA GÖTALANDS LÄN</t>
        </is>
      </c>
      <c r="G309" t="inlineStr">
        <is>
          <t>MARIESTAD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46171</v>
      </c>
      <c r="E310" s="1" t="n">
        <v>46232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44617</v>
      </c>
      <c r="E311" s="1" t="n">
        <v>46232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45097</v>
      </c>
      <c r="E312" s="1" t="n">
        <v>46232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45706</v>
      </c>
      <c r="E313" s="1" t="n">
        <v>46232</v>
      </c>
      <c r="F313" t="inlineStr">
        <is>
          <t>VÄSTRA GÖTALANDS LÄN</t>
        </is>
      </c>
      <c r="G313" t="inlineStr">
        <is>
          <t>MARIESTAD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10842-2025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46232</v>
      </c>
      <c r="F314" t="inlineStr">
        <is>
          <t>VÄSTRA GÖTALANDS LÄN</t>
        </is>
      </c>
      <c r="G314" t="inlineStr">
        <is>
          <t>MARIESTAD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44616</v>
      </c>
      <c r="E315" s="1" t="n">
        <v>46232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Kyrkan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46232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Kyrkan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45070</v>
      </c>
      <c r="E317" s="1" t="n">
        <v>46232</v>
      </c>
      <c r="F317" t="inlineStr">
        <is>
          <t>VÄSTRA GÖTALANDS LÄN</t>
        </is>
      </c>
      <c r="G317" t="inlineStr">
        <is>
          <t>MARIESTAD</t>
        </is>
      </c>
      <c r="I317" t="n">
        <v>10.3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46232</v>
      </c>
      <c r="F318" t="inlineStr">
        <is>
          <t>VÄSTRA GÖTALANDS LÄN</t>
        </is>
      </c>
      <c r="G318" t="inlineStr">
        <is>
          <t>MARIESTAD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44999</v>
      </c>
      <c r="E319" s="1" t="n">
        <v>46232</v>
      </c>
      <c r="F319" t="inlineStr">
        <is>
          <t>VÄSTRA GÖTALANDS LÄN</t>
        </is>
      </c>
      <c r="G319" t="inlineStr">
        <is>
          <t>MARIESTAD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46875-2023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45200</v>
      </c>
      <c r="E320" s="1" t="n">
        <v>46232</v>
      </c>
      <c r="F320" t="inlineStr">
        <is>
          <t>VÄSTRA GÖTALANDS LÄN</t>
        </is>
      </c>
      <c r="G320" t="inlineStr">
        <is>
          <t>MARIESTAD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45528</v>
      </c>
      <c r="E321" s="1" t="n">
        <v>46232</v>
      </c>
      <c r="F321" t="inlineStr">
        <is>
          <t>VÄSTRA GÖTALANDS LÄN</t>
        </is>
      </c>
      <c r="G321" t="inlineStr">
        <is>
          <t>MARIESTAD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49166-2023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45210</v>
      </c>
      <c r="E322" s="1" t="n">
        <v>46232</v>
      </c>
      <c r="F322" t="inlineStr">
        <is>
          <t>VÄSTRA GÖTALANDS LÄN</t>
        </is>
      </c>
      <c r="G322" t="inlineStr">
        <is>
          <t>MARIESTAD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46555-2022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44848</v>
      </c>
      <c r="E323" s="1" t="n">
        <v>46232</v>
      </c>
      <c r="F323" t="inlineStr">
        <is>
          <t>VÄSTRA GÖTALANDS LÄN</t>
        </is>
      </c>
      <c r="G323" t="inlineStr">
        <is>
          <t>MARIESTAD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46199</v>
      </c>
      <c r="E324" s="1" t="n">
        <v>46232</v>
      </c>
      <c r="F324" t="inlineStr">
        <is>
          <t>VÄSTRA GÖTALANDS LÄN</t>
        </is>
      </c>
      <c r="G324" t="inlineStr">
        <is>
          <t>MARIESTAD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46232</v>
      </c>
      <c r="F325" t="inlineStr">
        <is>
          <t>VÄSTRA GÖTALANDS LÄN</t>
        </is>
      </c>
      <c r="G325" t="inlineStr">
        <is>
          <t>MARIESTAD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46232</v>
      </c>
      <c r="F326" t="inlineStr">
        <is>
          <t>VÄSTRA GÖTALANDS LÄN</t>
        </is>
      </c>
      <c r="G326" t="inlineStr">
        <is>
          <t>MARIESTAD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46232</v>
      </c>
      <c r="F327" t="inlineStr">
        <is>
          <t>VÄSTRA GÖTALANDS LÄN</t>
        </is>
      </c>
      <c r="G327" t="inlineStr">
        <is>
          <t>MARIESTAD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60812-2023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45260</v>
      </c>
      <c r="E328" s="1" t="n">
        <v>46232</v>
      </c>
      <c r="F328" t="inlineStr">
        <is>
          <t>VÄSTRA GÖTALANDS LÄN</t>
        </is>
      </c>
      <c r="G328" t="inlineStr">
        <is>
          <t>MARIESTAD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45393</v>
      </c>
      <c r="E329" s="1" t="n">
        <v>46232</v>
      </c>
      <c r="F329" t="inlineStr">
        <is>
          <t>VÄSTRA GÖTALANDS LÄN</t>
        </is>
      </c>
      <c r="G329" t="inlineStr">
        <is>
          <t>MARIESTAD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26912-2026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46185</v>
      </c>
      <c r="E330" s="1" t="n">
        <v>46232</v>
      </c>
      <c r="F330" t="inlineStr">
        <is>
          <t>VÄSTRA GÖTALANDS LÄN</t>
        </is>
      </c>
      <c r="G330" t="inlineStr">
        <is>
          <t>MARIESTAD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46232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32794-2024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46232</v>
      </c>
      <c r="F332" t="inlineStr">
        <is>
          <t>VÄSTRA GÖTALANDS LÄN</t>
        </is>
      </c>
      <c r="G332" t="inlineStr">
        <is>
          <t>MARIESTAD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28162-2022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44746</v>
      </c>
      <c r="E333" s="1" t="n">
        <v>46232</v>
      </c>
      <c r="F333" t="inlineStr">
        <is>
          <t>VÄSTRA GÖTALANDS LÄN</t>
        </is>
      </c>
      <c r="G333" t="inlineStr">
        <is>
          <t>MARIESTAD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45516</v>
      </c>
      <c r="E334" s="1" t="n">
        <v>46232</v>
      </c>
      <c r="F334" t="inlineStr">
        <is>
          <t>VÄSTRA GÖTALANDS LÄN</t>
        </is>
      </c>
      <c r="G334" t="inlineStr">
        <is>
          <t>MARIESTAD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45674</v>
      </c>
      <c r="E335" s="1" t="n">
        <v>46232</v>
      </c>
      <c r="F335" t="inlineStr">
        <is>
          <t>VÄSTRA GÖTALANDS LÄN</t>
        </is>
      </c>
      <c r="G335" t="inlineStr">
        <is>
          <t>MARIESTAD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61716-2022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44917</v>
      </c>
      <c r="E336" s="1" t="n">
        <v>46232</v>
      </c>
      <c r="F336" t="inlineStr">
        <is>
          <t>VÄSTRA GÖTALANDS LÄN</t>
        </is>
      </c>
      <c r="G336" t="inlineStr">
        <is>
          <t>MARIESTAD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45691</v>
      </c>
      <c r="E337" s="1" t="n">
        <v>46232</v>
      </c>
      <c r="F337" t="inlineStr">
        <is>
          <t>VÄSTRA GÖTALANDS LÄN</t>
        </is>
      </c>
      <c r="G337" t="inlineStr">
        <is>
          <t>MARIESTAD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61603-2023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45265</v>
      </c>
      <c r="E338" s="1" t="n">
        <v>46232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46232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45720</v>
      </c>
      <c r="E340" s="1" t="n">
        <v>46232</v>
      </c>
      <c r="F340" t="inlineStr">
        <is>
          <t>VÄSTRA GÖTALANDS LÄN</t>
        </is>
      </c>
      <c r="G340" t="inlineStr">
        <is>
          <t>MARIESTAD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46232</v>
      </c>
      <c r="F341" t="inlineStr">
        <is>
          <t>VÄSTRA GÖTALANDS LÄN</t>
        </is>
      </c>
      <c r="G341" t="inlineStr">
        <is>
          <t>MARIESTAD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46232</v>
      </c>
      <c r="F342" t="inlineStr">
        <is>
          <t>VÄSTRA GÖTALANDS LÄN</t>
        </is>
      </c>
      <c r="G342" t="inlineStr">
        <is>
          <t>MARIESTAD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46232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46232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45783</v>
      </c>
      <c r="E345" s="1" t="n">
        <v>46232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45684</v>
      </c>
      <c r="E346" s="1" t="n">
        <v>46232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Kyrkan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46655-2021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44445</v>
      </c>
      <c r="E347" s="1" t="n">
        <v>46232</v>
      </c>
      <c r="F347" t="inlineStr">
        <is>
          <t>VÄSTRA GÖTALANDS LÄN</t>
        </is>
      </c>
      <c r="G347" t="inlineStr">
        <is>
          <t>MARIESTAD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45307</v>
      </c>
      <c r="E348" s="1" t="n">
        <v>46232</v>
      </c>
      <c r="F348" t="inlineStr">
        <is>
          <t>VÄSTRA GÖTALANDS LÄN</t>
        </is>
      </c>
      <c r="G348" t="inlineStr">
        <is>
          <t>MARIESTAD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32796-2024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45516</v>
      </c>
      <c r="E349" s="1" t="n">
        <v>46232</v>
      </c>
      <c r="F349" t="inlineStr">
        <is>
          <t>VÄSTRA GÖTALANDS LÄN</t>
        </is>
      </c>
      <c r="G349" t="inlineStr">
        <is>
          <t>MARIESTAD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48324-2024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45590</v>
      </c>
      <c r="E350" s="1" t="n">
        <v>46232</v>
      </c>
      <c r="F350" t="inlineStr">
        <is>
          <t>VÄSTRA GÖTALANDS LÄN</t>
        </is>
      </c>
      <c r="G350" t="inlineStr">
        <is>
          <t>MARIESTAD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46232</v>
      </c>
      <c r="F351" t="inlineStr">
        <is>
          <t>VÄSTRA GÖTALANDS LÄN</t>
        </is>
      </c>
      <c r="G351" t="inlineStr">
        <is>
          <t>MARIESTAD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66772-2021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44521</v>
      </c>
      <c r="E352" s="1" t="n">
        <v>46232</v>
      </c>
      <c r="F352" t="inlineStr">
        <is>
          <t>VÄSTRA GÖTALANDS LÄN</t>
        </is>
      </c>
      <c r="G352" t="inlineStr">
        <is>
          <t>MARIESTAD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45705</v>
      </c>
      <c r="E353" s="1" t="n">
        <v>46232</v>
      </c>
      <c r="F353" t="inlineStr">
        <is>
          <t>VÄSTRA GÖTALANDS LÄN</t>
        </is>
      </c>
      <c r="G353" t="inlineStr">
        <is>
          <t>MARIESTAD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54263-2024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45616</v>
      </c>
      <c r="E354" s="1" t="n">
        <v>46232</v>
      </c>
      <c r="F354" t="inlineStr">
        <is>
          <t>VÄSTRA GÖTALANDS LÄN</t>
        </is>
      </c>
      <c r="G354" t="inlineStr">
        <is>
          <t>MARIESTAD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49385-2023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45211</v>
      </c>
      <c r="E355" s="1" t="n">
        <v>46232</v>
      </c>
      <c r="F355" t="inlineStr">
        <is>
          <t>VÄSTRA GÖTALANDS LÄN</t>
        </is>
      </c>
      <c r="G355" t="inlineStr">
        <is>
          <t>MARIESTAD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45728</v>
      </c>
      <c r="E356" s="1" t="n">
        <v>46232</v>
      </c>
      <c r="F356" t="inlineStr">
        <is>
          <t>VÄSTRA GÖTALANDS LÄN</t>
        </is>
      </c>
      <c r="G356" t="inlineStr">
        <is>
          <t>MARIESTAD</t>
        </is>
      </c>
      <c r="H356" t="inlineStr">
        <is>
          <t>Sveaskog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45502</v>
      </c>
      <c r="E357" s="1" t="n">
        <v>46232</v>
      </c>
      <c r="F357" t="inlineStr">
        <is>
          <t>VÄSTRA GÖTALANDS LÄN</t>
        </is>
      </c>
      <c r="G357" t="inlineStr">
        <is>
          <t>MARIESTAD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45709</v>
      </c>
      <c r="E358" s="1" t="n">
        <v>46232</v>
      </c>
      <c r="F358" t="inlineStr">
        <is>
          <t>VÄSTRA GÖTALANDS LÄN</t>
        </is>
      </c>
      <c r="G358" t="inlineStr">
        <is>
          <t>MARIESTAD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45790</v>
      </c>
      <c r="E359" s="1" t="n">
        <v>46232</v>
      </c>
      <c r="F359" t="inlineStr">
        <is>
          <t>VÄSTRA GÖTALANDS LÄN</t>
        </is>
      </c>
      <c r="G359" t="inlineStr">
        <is>
          <t>MARIESTAD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45716</v>
      </c>
      <c r="E360" s="1" t="n">
        <v>46232</v>
      </c>
      <c r="F360" t="inlineStr">
        <is>
          <t>VÄSTRA GÖTALANDS LÄN</t>
        </is>
      </c>
      <c r="G360" t="inlineStr">
        <is>
          <t>MARIESTAD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45331</v>
      </c>
      <c r="E361" s="1" t="n">
        <v>46232</v>
      </c>
      <c r="F361" t="inlineStr">
        <is>
          <t>VÄSTRA GÖTALANDS LÄN</t>
        </is>
      </c>
      <c r="G361" t="inlineStr">
        <is>
          <t>MARIESTAD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52869-2024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45610</v>
      </c>
      <c r="E362" s="1" t="n">
        <v>46232</v>
      </c>
      <c r="F362" t="inlineStr">
        <is>
          <t>VÄSTRA GÖTALANDS LÄN</t>
        </is>
      </c>
      <c r="G362" t="inlineStr">
        <is>
          <t>MARIESTAD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46232</v>
      </c>
      <c r="F363" t="inlineStr">
        <is>
          <t>VÄSTRA GÖTALANDS LÄN</t>
        </is>
      </c>
      <c r="G363" t="inlineStr">
        <is>
          <t>MARIESTAD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45798</v>
      </c>
      <c r="E364" s="1" t="n">
        <v>46232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45798</v>
      </c>
      <c r="E365" s="1" t="n">
        <v>46232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4868-2024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45618</v>
      </c>
      <c r="E366" s="1" t="n">
        <v>46232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1204-2025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45757</v>
      </c>
      <c r="E367" s="1" t="n">
        <v>46232</v>
      </c>
      <c r="F367" t="inlineStr">
        <is>
          <t>VÄSTRA GÖTALANDS LÄN</t>
        </is>
      </c>
      <c r="G367" t="inlineStr">
        <is>
          <t>MARIESTAD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359-2026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46064</v>
      </c>
      <c r="E368" s="1" t="n">
        <v>46232</v>
      </c>
      <c r="F368" t="inlineStr">
        <is>
          <t>VÄSTRA GÖTALANDS LÄN</t>
        </is>
      </c>
      <c r="G368" t="inlineStr">
        <is>
          <t>MARIESTAD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2026-07-29T01:49:56Z</dcterms:created>
  <dcterms:modified xmlns:dcterms="http://purl.org/dc/terms/" xmlns:xsi="http://www.w3.org/2001/XMLSchema-instance" xsi:type="dcterms:W3CDTF">2026-07-29T01:49:56Z</dcterms:modified>
</cp:coreProperties>
</file>