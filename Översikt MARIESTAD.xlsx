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46302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46302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46302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46302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46302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46302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46302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47764-2023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46302</v>
      </c>
      <c r="F12" t="inlineStr">
        <is>
          <t>VÄSTRA GÖTALANDS LÄN</t>
        </is>
      </c>
      <c r="G12" t="inlineStr">
        <is>
          <t>MARIESTAD</t>
        </is>
      </c>
      <c r="I12" t="n">
        <v>0.7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Blåsippa
Gullviva</t>
        </is>
      </c>
      <c r="W12">
        <f>HYPERLINK("https://klasma.github.io/Logging_1493/artfynd/A 47764-2023 artfynd.xlsx", "A 47764-2023")</f>
        <v/>
      </c>
      <c r="X12">
        <f>HYPERLINK("https://klasma.github.io/Logging_1493/kartor/A 47764-2023 karta.png", "A 47764-2023")</f>
        <v/>
      </c>
      <c r="Y12">
        <f>HYPERLINK("https://klasma.github.io/Logging_1493/kartor_geotiff/A 47764-2023 georefererad karta.tif", "A 47764-2023")</f>
        <v/>
      </c>
      <c r="AA12">
        <f>HYPERLINK("https://klasma.github.io/Logging_1493/klagomål/A 47764-2023 FSC-klagomål.docx", "A 47764-2023")</f>
        <v/>
      </c>
      <c r="AB12">
        <f>HYPERLINK("https://klasma.github.io/Logging_1493/klagomålsmail/A 47764-2023 FSC-klagomål mail.docx", "A 47764-2023")</f>
        <v/>
      </c>
      <c r="AC12">
        <f>HYPERLINK("https://klasma.github.io/Logging_1493/tillsyn/A 47764-2023 tillsynsbegäran.docx", "A 47764-2023")</f>
        <v/>
      </c>
      <c r="AD12">
        <f>HYPERLINK("https://klasma.github.io/Logging_1493/tillsynsmail/A 47764-2023 tillsynsbegäran mail.docx", "A 47764-2023")</f>
        <v/>
      </c>
    </row>
    <row r="13" ht="15" customHeight="1">
      <c r="A13" t="inlineStr">
        <is>
          <t>A 63287-2025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46009</v>
      </c>
      <c r="E13" s="1" t="n">
        <v>46302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Kyrkan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1</v>
      </c>
      <c r="V13" s="2" t="inlineStr">
        <is>
          <t>Ask
Tallticka</t>
        </is>
      </c>
      <c r="W13">
        <f>HYPERLINK("https://klasma.github.io/Logging_1493/artfynd/A 63287-2025 artfynd.xlsx", "A 63287-2025")</f>
        <v/>
      </c>
      <c r="X13">
        <f>HYPERLINK("https://klasma.github.io/Logging_1493/kartor/A 63287-2025 karta.png", "A 63287-2025")</f>
        <v/>
      </c>
      <c r="Y13">
        <f>HYPERLINK("https://klasma.github.io/Logging_1493/kartor_geotiff/A 63287-2025 georefererad karta.tif", "A 63287-2025")</f>
        <v/>
      </c>
      <c r="AA13">
        <f>HYPERLINK("https://klasma.github.io/Logging_1493/klagomål/A 63287-2025 FSC-klagomål.docx", "A 63287-2025")</f>
        <v/>
      </c>
      <c r="AB13">
        <f>HYPERLINK("https://klasma.github.io/Logging_1493/klagomålsmail/A 63287-2025 FSC-klagomål mail.docx", "A 63287-2025")</f>
        <v/>
      </c>
      <c r="AC13">
        <f>HYPERLINK("https://klasma.github.io/Logging_1493/tillsyn/A 63287-2025 tillsynsbegäran.docx", "A 63287-2025")</f>
        <v/>
      </c>
      <c r="AD13">
        <f>HYPERLINK("https://klasma.github.io/Logging_1493/tillsynsmail/A 63287-2025 tillsynsbegäran mail.docx", "A 63287-2025")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46302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46302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46302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46302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46302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46302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46302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46302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46302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46302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46302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46302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46302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17272-2023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45035</v>
      </c>
      <c r="E27" s="1" t="n">
        <v>46302</v>
      </c>
      <c r="F27" t="inlineStr">
        <is>
          <t>VÄSTRA GÖTALANDS LÄN</t>
        </is>
      </c>
      <c r="G27" t="inlineStr">
        <is>
          <t>MARIESTAD</t>
        </is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Gullklöver</t>
        </is>
      </c>
      <c r="W27">
        <f>HYPERLINK("https://klasma.github.io/Logging_1493/artfynd/A 17272-2023 artfynd.xlsx", "A 17272-2023")</f>
        <v/>
      </c>
      <c r="X27">
        <f>HYPERLINK("https://klasma.github.io/Logging_1493/kartor/A 17272-2023 karta.png", "A 17272-2023")</f>
        <v/>
      </c>
      <c r="Y27">
        <f>HYPERLINK("https://klasma.github.io/Logging_1493/kartor_geotiff/A 17272-2023 georefererad karta.tif", "A 17272-2023")</f>
        <v/>
      </c>
      <c r="AA27">
        <f>HYPERLINK("https://klasma.github.io/Logging_1493/klagomål/A 17272-2023 FSC-klagomål.docx", "A 17272-2023")</f>
        <v/>
      </c>
      <c r="AB27">
        <f>HYPERLINK("https://klasma.github.io/Logging_1493/klagomålsmail/A 17272-2023 FSC-klagomål mail.docx", "A 17272-2023")</f>
        <v/>
      </c>
      <c r="AC27">
        <f>HYPERLINK("https://klasma.github.io/Logging_1493/tillsyn/A 17272-2023 tillsynsbegäran.docx", "A 17272-2023")</f>
        <v/>
      </c>
      <c r="AD27">
        <f>HYPERLINK("https://klasma.github.io/Logging_1493/tillsynsmail/A 17272-2023 tillsynsbegäran mail.docx", "A 17272-2023")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46302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7578-2025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46302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Svartvit flugsnappare</t>
        </is>
      </c>
      <c r="W29">
        <f>HYPERLINK("https://klasma.github.io/Logging_1493/artfynd/A 7578-2025 artfynd.xlsx", "A 7578-2025")</f>
        <v/>
      </c>
      <c r="X29">
        <f>HYPERLINK("https://klasma.github.io/Logging_1493/kartor/A 7578-2025 karta.png", "A 7578-2025")</f>
        <v/>
      </c>
      <c r="Y29">
        <f>HYPERLINK("https://klasma.github.io/Logging_1493/kartor_geotiff/A 7578-2025 georefererad karta.tif", "A 7578-2025")</f>
        <v/>
      </c>
      <c r="AA29">
        <f>HYPERLINK("https://klasma.github.io/Logging_1493/klagomål/A 7578-2025 FSC-klagomål.docx", "A 7578-2025")</f>
        <v/>
      </c>
      <c r="AB29">
        <f>HYPERLINK("https://klasma.github.io/Logging_1493/klagomålsmail/A 7578-2025 FSC-klagomål mail.docx", "A 7578-2025")</f>
        <v/>
      </c>
      <c r="AC29">
        <f>HYPERLINK("https://klasma.github.io/Logging_1493/tillsyn/A 7578-2025 tillsynsbegäran.docx", "A 7578-2025")</f>
        <v/>
      </c>
      <c r="AD29">
        <f>HYPERLINK("https://klasma.github.io/Logging_1493/tillsynsmail/A 7578-2025 tillsynsbegäran mail.docx", "A 7578-2025")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46302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7612-2023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46302</v>
      </c>
      <c r="F31" t="inlineStr">
        <is>
          <t>VÄSTRA GÖTALANDS LÄN</t>
        </is>
      </c>
      <c r="G31" t="inlineStr">
        <is>
          <t>MARIESTAD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Skogsödla</t>
        </is>
      </c>
      <c r="W31">
        <f>HYPERLINK("https://klasma.github.io/Logging_1493/artfynd/A 7612-2023 artfynd.xlsx", "A 7612-2023")</f>
        <v/>
      </c>
      <c r="X31">
        <f>HYPERLINK("https://klasma.github.io/Logging_1493/kartor/A 7612-2023 karta.png", "A 7612-2023")</f>
        <v/>
      </c>
      <c r="Y31">
        <f>HYPERLINK("https://klasma.github.io/Logging_1493/kartor_geotiff/A 7612-2023 georefererad karta.tif", "A 7612-2023")</f>
        <v/>
      </c>
      <c r="AA31">
        <f>HYPERLINK("https://klasma.github.io/Logging_1493/klagomål/A 7612-2023 FSC-klagomål.docx", "A 7612-2023")</f>
        <v/>
      </c>
      <c r="AB31">
        <f>HYPERLINK("https://klasma.github.io/Logging_1493/klagomålsmail/A 7612-2023 FSC-klagomål mail.docx", "A 7612-2023")</f>
        <v/>
      </c>
      <c r="AC31">
        <f>HYPERLINK("https://klasma.github.io/Logging_1493/tillsyn/A 7612-2023 tillsynsbegäran.docx", "A 7612-2023")</f>
        <v/>
      </c>
      <c r="AD31">
        <f>HYPERLINK("https://klasma.github.io/Logging_1493/tillsynsmail/A 7612-2023 tillsynsbegäran mail.docx", "A 7612-2023")</f>
        <v/>
      </c>
    </row>
    <row r="32" ht="15" customHeight="1">
      <c r="A32" t="inlineStr">
        <is>
          <t>A 42647-2023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46302</v>
      </c>
      <c r="F32" t="inlineStr">
        <is>
          <t>VÄSTRA GÖTALANDS LÄN</t>
        </is>
      </c>
      <c r="G32" t="inlineStr">
        <is>
          <t>MARIESTAD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Ärtsångare</t>
        </is>
      </c>
      <c r="W32">
        <f>HYPERLINK("https://klasma.github.io/Logging_1493/artfynd/A 42647-2023 artfynd.xlsx", "A 42647-2023")</f>
        <v/>
      </c>
      <c r="X32">
        <f>HYPERLINK("https://klasma.github.io/Logging_1493/kartor/A 42647-2023 karta.png", "A 42647-2023")</f>
        <v/>
      </c>
      <c r="Y32">
        <f>HYPERLINK("https://klasma.github.io/Logging_1493/kartor_geotiff/A 42647-2023 georefererad karta.tif", "A 42647-2023")</f>
        <v/>
      </c>
      <c r="AA32">
        <f>HYPERLINK("https://klasma.github.io/Logging_1493/klagomål/A 42647-2023 FSC-klagomål.docx", "A 42647-2023")</f>
        <v/>
      </c>
      <c r="AB32">
        <f>HYPERLINK("https://klasma.github.io/Logging_1493/klagomålsmail/A 42647-2023 FSC-klagomål mail.docx", "A 42647-2023")</f>
        <v/>
      </c>
      <c r="AC32">
        <f>HYPERLINK("https://klasma.github.io/Logging_1493/tillsyn/A 42647-2023 tillsynsbegäran.docx", "A 42647-2023")</f>
        <v/>
      </c>
      <c r="AD32">
        <f>HYPERLINK("https://klasma.github.io/Logging_1493/tillsynsmail/A 42647-2023 tillsynsbegäran mail.docx", "A 42647-2023")</f>
        <v/>
      </c>
    </row>
    <row r="33" ht="15" customHeight="1">
      <c r="A33" t="inlineStr">
        <is>
          <t>A 15052-2023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46302</v>
      </c>
      <c r="F33" t="inlineStr">
        <is>
          <t>VÄSTRA GÖTALANDS LÄN</t>
        </is>
      </c>
      <c r="G33" t="inlineStr">
        <is>
          <t>MARIESTAD</t>
        </is>
      </c>
      <c r="I33" t="n">
        <v>15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HYPERLINK("https://klasma.github.io/Logging_1493/artfynd/A 15052-2023 artfynd.xlsx", "A 15052-2023")</f>
        <v/>
      </c>
      <c r="X33">
        <f>HYPERLINK("https://klasma.github.io/Logging_1493/kartor/A 15052-2023 karta.png", "A 15052-2023")</f>
        <v/>
      </c>
      <c r="Y33">
        <f>HYPERLINK("https://klasma.github.io/Logging_1493/kartor_geotiff/A 15052-2023 georefererad karta.tif", "A 15052-2023")</f>
        <v/>
      </c>
      <c r="AA33">
        <f>HYPERLINK("https://klasma.github.io/Logging_1493/klagomål/A 15052-2023 FSC-klagomål.docx", "A 15052-2023")</f>
        <v/>
      </c>
      <c r="AB33">
        <f>HYPERLINK("https://klasma.github.io/Logging_1493/klagomålsmail/A 15052-2023 FSC-klagomål mail.docx", "A 15052-2023")</f>
        <v/>
      </c>
      <c r="AC33">
        <f>HYPERLINK("https://klasma.github.io/Logging_1493/tillsyn/A 15052-2023 tillsynsbegäran.docx", "A 15052-2023")</f>
        <v/>
      </c>
      <c r="AD33">
        <f>HYPERLINK("https://klasma.github.io/Logging_1493/tillsynsmail/A 15052-2023 tillsynsbegäran mail.docx", "A 15052-2023")</f>
        <v/>
      </c>
      <c r="AE33">
        <f>HYPERLINK("https://klasma.github.io/Logging_1493/fåglar/A 15052-2023 prioriterade fågelarter.docx", "A 15052-2023")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46302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46302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46302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30652-2023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46302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Nattviol</t>
        </is>
      </c>
      <c r="W37">
        <f>HYPERLINK("https://klasma.github.io/Logging_1493/artfynd/A 30652-2023 artfynd.xlsx", "A 30652-2023")</f>
        <v/>
      </c>
      <c r="X37">
        <f>HYPERLINK("https://klasma.github.io/Logging_1493/kartor/A 30652-2023 karta.png", "A 30652-2023")</f>
        <v/>
      </c>
      <c r="Y37">
        <f>HYPERLINK("https://klasma.github.io/Logging_1493/kartor_geotiff/A 30652-2023 georefererad karta.tif", "A 30652-2023")</f>
        <v/>
      </c>
      <c r="AA37">
        <f>HYPERLINK("https://klasma.github.io/Logging_1493/klagomål/A 30652-2023 FSC-klagomål.docx", "A 30652-2023")</f>
        <v/>
      </c>
      <c r="AB37">
        <f>HYPERLINK("https://klasma.github.io/Logging_1493/klagomålsmail/A 30652-2023 FSC-klagomål mail.docx", "A 30652-2023")</f>
        <v/>
      </c>
      <c r="AC37">
        <f>HYPERLINK("https://klasma.github.io/Logging_1493/tillsyn/A 30652-2023 tillsynsbegäran.docx", "A 30652-2023")</f>
        <v/>
      </c>
      <c r="AD37">
        <f>HYPERLINK("https://klasma.github.io/Logging_1493/tillsynsmail/A 30652-2023 tillsynsbegäran mail.docx", "A 30652-2023")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46302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46302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46302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46302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46302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46302</v>
      </c>
      <c r="F45" t="inlineStr">
        <is>
          <t>VÄSTRA GÖTALANDS LÄN</t>
        </is>
      </c>
      <c r="G45" t="inlineStr">
        <is>
          <t>MARIESTAD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46302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46302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46302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67146-2021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46302</v>
      </c>
      <c r="F49" t="inlineStr">
        <is>
          <t>VÄSTRA GÖTALANDS LÄN</t>
        </is>
      </c>
      <c r="G49" t="inlineStr">
        <is>
          <t>MARIESTAD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44539</v>
      </c>
      <c r="E50" s="1" t="n">
        <v>46302</v>
      </c>
      <c r="F50" t="inlineStr">
        <is>
          <t>VÄSTRA GÖTALANDS LÄN</t>
        </is>
      </c>
      <c r="G50" t="inlineStr">
        <is>
          <t>MARIESTAD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46302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46302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46302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46302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44758</v>
      </c>
      <c r="E55" s="1" t="n">
        <v>46302</v>
      </c>
      <c r="F55" t="inlineStr">
        <is>
          <t>VÄSTRA GÖTALANDS LÄN</t>
        </is>
      </c>
      <c r="G55" t="inlineStr">
        <is>
          <t>MARIESTAD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46302</v>
      </c>
      <c r="F56" t="inlineStr">
        <is>
          <t>VÄSTRA GÖTALANDS LÄN</t>
        </is>
      </c>
      <c r="G56" t="inlineStr">
        <is>
          <t>MARIESTAD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46302</v>
      </c>
      <c r="F57" t="inlineStr">
        <is>
          <t>VÄSTRA GÖTALANDS LÄN</t>
        </is>
      </c>
      <c r="G57" t="inlineStr">
        <is>
          <t>MARIESTAD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46302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46302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46302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67142-2021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46302</v>
      </c>
      <c r="F61" t="inlineStr">
        <is>
          <t>VÄSTRA GÖTALANDS LÄN</t>
        </is>
      </c>
      <c r="G61" t="inlineStr">
        <is>
          <t>MARIESTAD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46302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46302</v>
      </c>
      <c r="F63" t="inlineStr">
        <is>
          <t>VÄSTRA GÖTALANDS LÄN</t>
        </is>
      </c>
      <c r="G63" t="inlineStr">
        <is>
          <t>MARIESTAD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45674</v>
      </c>
      <c r="E64" s="1" t="n">
        <v>46302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44630</v>
      </c>
      <c r="E65" s="1" t="n">
        <v>46302</v>
      </c>
      <c r="F65" t="inlineStr">
        <is>
          <t>VÄSTRA GÖTALANDS LÄN</t>
        </is>
      </c>
      <c r="G65" t="inlineStr">
        <is>
          <t>MARIESTAD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46302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Kyrkan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44843</v>
      </c>
      <c r="E67" s="1" t="n">
        <v>46302</v>
      </c>
      <c r="F67" t="inlineStr">
        <is>
          <t>VÄSTRA GÖTALANDS LÄN</t>
        </is>
      </c>
      <c r="G67" t="inlineStr">
        <is>
          <t>MARIESTAD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46302</v>
      </c>
      <c r="F68" t="inlineStr">
        <is>
          <t>VÄSTRA GÖTALANDS LÄN</t>
        </is>
      </c>
      <c r="G68" t="inlineStr">
        <is>
          <t>MARIESTAD</t>
        </is>
      </c>
      <c r="I68" t="n">
        <v>8.800000000000001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46302</v>
      </c>
      <c r="F69" t="inlineStr">
        <is>
          <t>VÄSTRA GÖTALANDS LÄN</t>
        </is>
      </c>
      <c r="G69" t="inlineStr">
        <is>
          <t>MARIESTAD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44574</v>
      </c>
      <c r="E70" s="1" t="n">
        <v>46302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46302</v>
      </c>
      <c r="F71" t="inlineStr">
        <is>
          <t>VÄSTRA GÖTALANDS LÄN</t>
        </is>
      </c>
      <c r="G71" t="inlineStr">
        <is>
          <t>MARIESTAD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46302</v>
      </c>
      <c r="F72" t="inlineStr">
        <is>
          <t>VÄSTRA GÖTALANDS LÄN</t>
        </is>
      </c>
      <c r="G72" t="inlineStr">
        <is>
          <t>MARIESTAD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46302</v>
      </c>
      <c r="F73" t="inlineStr">
        <is>
          <t>VÄSTRA GÖTALANDS LÄN</t>
        </is>
      </c>
      <c r="G73" t="inlineStr">
        <is>
          <t>MARIESTAD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46302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Kommuner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46302</v>
      </c>
      <c r="F75" t="inlineStr">
        <is>
          <t>VÄSTRA GÖTALANDS LÄN</t>
        </is>
      </c>
      <c r="G75" t="inlineStr">
        <is>
          <t>MARIESTAD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46302</v>
      </c>
      <c r="F76" t="inlineStr">
        <is>
          <t>VÄSTRA GÖTALANDS LÄN</t>
        </is>
      </c>
      <c r="G76" t="inlineStr">
        <is>
          <t>MARIESTAD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46302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45470</v>
      </c>
      <c r="E78" s="1" t="n">
        <v>46302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Kyrkan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66771-2021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44521</v>
      </c>
      <c r="E79" s="1" t="n">
        <v>46302</v>
      </c>
      <c r="F79" t="inlineStr">
        <is>
          <t>VÄSTRA GÖTALANDS LÄN</t>
        </is>
      </c>
      <c r="G79" t="inlineStr">
        <is>
          <t>MARIESTAD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46302</v>
      </c>
      <c r="F80" t="inlineStr">
        <is>
          <t>VÄSTRA GÖTALANDS LÄN</t>
        </is>
      </c>
      <c r="G80" t="inlineStr">
        <is>
          <t>MARIESTAD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46302</v>
      </c>
      <c r="F81" t="inlineStr">
        <is>
          <t>VÄSTRA GÖTALANDS LÄN</t>
        </is>
      </c>
      <c r="G81" t="inlineStr">
        <is>
          <t>MARIESTAD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46302</v>
      </c>
      <c r="F82" t="inlineStr">
        <is>
          <t>VÄSTRA GÖTALANDS LÄN</t>
        </is>
      </c>
      <c r="G82" t="inlineStr">
        <is>
          <t>MARIESTAD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46302</v>
      </c>
      <c r="F83" t="inlineStr">
        <is>
          <t>VÄSTRA GÖTALANDS LÄN</t>
        </is>
      </c>
      <c r="G83" t="inlineStr">
        <is>
          <t>MARIESTAD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46302</v>
      </c>
      <c r="F84" t="inlineStr">
        <is>
          <t>VÄSTRA GÖTALANDS LÄN</t>
        </is>
      </c>
      <c r="G84" t="inlineStr">
        <is>
          <t>MARIESTAD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46302</v>
      </c>
      <c r="F85" t="inlineStr">
        <is>
          <t>VÄSTRA GÖTALANDS LÄN</t>
        </is>
      </c>
      <c r="G85" t="inlineStr">
        <is>
          <t>MARIESTAD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44942</v>
      </c>
      <c r="E86" s="1" t="n">
        <v>46302</v>
      </c>
      <c r="F86" t="inlineStr">
        <is>
          <t>VÄSTRA GÖTALANDS LÄN</t>
        </is>
      </c>
      <c r="G86" t="inlineStr">
        <is>
          <t>MARIESTAD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70295-2021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44536</v>
      </c>
      <c r="E87" s="1" t="n">
        <v>46302</v>
      </c>
      <c r="F87" t="inlineStr">
        <is>
          <t>VÄSTRA GÖTALANDS LÄN</t>
        </is>
      </c>
      <c r="G87" t="inlineStr">
        <is>
          <t>MARIESTAD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46302</v>
      </c>
      <c r="F88" t="inlineStr">
        <is>
          <t>VÄSTRA GÖTALANDS LÄN</t>
        </is>
      </c>
      <c r="G88" t="inlineStr">
        <is>
          <t>MARIESTAD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44797</v>
      </c>
      <c r="E89" s="1" t="n">
        <v>46302</v>
      </c>
      <c r="F89" t="inlineStr">
        <is>
          <t>VÄSTRA GÖTALANDS LÄN</t>
        </is>
      </c>
      <c r="G89" t="inlineStr">
        <is>
          <t>MARIESTAD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46302</v>
      </c>
      <c r="F90" t="inlineStr">
        <is>
          <t>VÄSTRA GÖTALANDS LÄN</t>
        </is>
      </c>
      <c r="G90" t="inlineStr">
        <is>
          <t>MARIESTAD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46302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45163</v>
      </c>
      <c r="E92" s="1" t="n">
        <v>46302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46302</v>
      </c>
      <c r="F93" t="inlineStr">
        <is>
          <t>VÄSTRA GÖTALANDS LÄN</t>
        </is>
      </c>
      <c r="G93" t="inlineStr">
        <is>
          <t>MARIESTAD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46029</v>
      </c>
      <c r="E94" s="1" t="n">
        <v>46302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46029</v>
      </c>
      <c r="E95" s="1" t="n">
        <v>46302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45268</v>
      </c>
      <c r="E96" s="1" t="n">
        <v>46302</v>
      </c>
      <c r="F96" t="inlineStr">
        <is>
          <t>VÄSTRA GÖTALANDS LÄN</t>
        </is>
      </c>
      <c r="G96" t="inlineStr">
        <is>
          <t>MARIESTAD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46302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46302</v>
      </c>
      <c r="F98" t="inlineStr">
        <is>
          <t>VÄSTRA GÖTALANDS LÄN</t>
        </is>
      </c>
      <c r="G98" t="inlineStr">
        <is>
          <t>MARIESTAD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46302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46302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46302</v>
      </c>
      <c r="F101" t="inlineStr">
        <is>
          <t>VÄSTRA GÖTALANDS LÄN</t>
        </is>
      </c>
      <c r="G101" t="inlineStr">
        <is>
          <t>MARIESTAD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61601-2023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45265</v>
      </c>
      <c r="E102" s="1" t="n">
        <v>46302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46302</v>
      </c>
      <c r="F103" t="inlineStr">
        <is>
          <t>VÄSTRA GÖTALANDS LÄN</t>
        </is>
      </c>
      <c r="G103" t="inlineStr">
        <is>
          <t>MARIESTAD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46302</v>
      </c>
      <c r="F104" t="inlineStr">
        <is>
          <t>VÄSTRA GÖTALANDS LÄN</t>
        </is>
      </c>
      <c r="G104" t="inlineStr">
        <is>
          <t>MARIESTAD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45754</v>
      </c>
      <c r="E105" s="1" t="n">
        <v>46302</v>
      </c>
      <c r="F105" t="inlineStr">
        <is>
          <t>VÄSTRA GÖTALANDS LÄN</t>
        </is>
      </c>
      <c r="G105" t="inlineStr">
        <is>
          <t>MARIESTAD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46302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46302</v>
      </c>
      <c r="F107" t="inlineStr">
        <is>
          <t>VÄSTRA GÖTALANDS LÄN</t>
        </is>
      </c>
      <c r="G107" t="inlineStr">
        <is>
          <t>MARIESTAD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46302</v>
      </c>
      <c r="F108" t="inlineStr">
        <is>
          <t>VÄSTRA GÖTALANDS LÄN</t>
        </is>
      </c>
      <c r="G108" t="inlineStr">
        <is>
          <t>MARIESTAD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70259-2021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44536</v>
      </c>
      <c r="E109" s="1" t="n">
        <v>46302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46302</v>
      </c>
      <c r="F110" t="inlineStr">
        <is>
          <t>VÄSTRA GÖTALANDS LÄN</t>
        </is>
      </c>
      <c r="G110" t="inlineStr">
        <is>
          <t>MARIESTAD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46302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Kyrkan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45393</v>
      </c>
      <c r="E112" s="1" t="n">
        <v>46302</v>
      </c>
      <c r="F112" t="inlineStr">
        <is>
          <t>VÄSTRA GÖTALANDS LÄN</t>
        </is>
      </c>
      <c r="G112" t="inlineStr">
        <is>
          <t>MARIESTAD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46302</v>
      </c>
      <c r="F113" t="inlineStr">
        <is>
          <t>VÄSTRA GÖTALANDS LÄN</t>
        </is>
      </c>
      <c r="G113" t="inlineStr">
        <is>
          <t>MARIESTAD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46302</v>
      </c>
      <c r="F114" t="inlineStr">
        <is>
          <t>VÄSTRA GÖTALANDS LÄN</t>
        </is>
      </c>
      <c r="G114" t="inlineStr">
        <is>
          <t>MARIESTAD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46057</v>
      </c>
      <c r="E115" s="1" t="n">
        <v>46302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Kyrkan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44901</v>
      </c>
      <c r="E116" s="1" t="n">
        <v>46302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Kyrkan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46302</v>
      </c>
      <c r="F117" t="inlineStr">
        <is>
          <t>VÄSTRA GÖTALANDS LÄN</t>
        </is>
      </c>
      <c r="G117" t="inlineStr">
        <is>
          <t>MARIESTAD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46061</v>
      </c>
      <c r="E118" s="1" t="n">
        <v>46302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46302</v>
      </c>
      <c r="F119" t="inlineStr">
        <is>
          <t>VÄSTRA GÖTALANDS LÄN</t>
        </is>
      </c>
      <c r="G119" t="inlineStr">
        <is>
          <t>MARIESTAD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46302</v>
      </c>
      <c r="F120" t="inlineStr">
        <is>
          <t>VÄSTRA GÖTALANDS LÄN</t>
        </is>
      </c>
      <c r="G120" t="inlineStr">
        <is>
          <t>MARIESTAD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46302</v>
      </c>
      <c r="F121" t="inlineStr">
        <is>
          <t>VÄSTRA GÖTALANDS LÄN</t>
        </is>
      </c>
      <c r="G121" t="inlineStr">
        <is>
          <t>MARIESTAD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46302</v>
      </c>
      <c r="F122" t="inlineStr">
        <is>
          <t>VÄSTRA GÖTALANDS LÄN</t>
        </is>
      </c>
      <c r="G122" t="inlineStr">
        <is>
          <t>MARIESTAD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46302</v>
      </c>
      <c r="F123" t="inlineStr">
        <is>
          <t>VÄSTRA GÖTALANDS LÄN</t>
        </is>
      </c>
      <c r="G123" t="inlineStr">
        <is>
          <t>MARIESTAD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46302</v>
      </c>
      <c r="F124" t="inlineStr">
        <is>
          <t>VÄSTRA GÖTALANDS LÄN</t>
        </is>
      </c>
      <c r="G124" t="inlineStr">
        <is>
          <t>MARIESTAD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9558-2026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46071</v>
      </c>
      <c r="E125" s="1" t="n">
        <v>46302</v>
      </c>
      <c r="F125" t="inlineStr">
        <is>
          <t>VÄSTRA GÖTALANDS LÄN</t>
        </is>
      </c>
      <c r="G125" t="inlineStr">
        <is>
          <t>MARIESTAD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46302</v>
      </c>
      <c r="F126" t="inlineStr">
        <is>
          <t>VÄSTRA GÖTALANDS LÄN</t>
        </is>
      </c>
      <c r="G126" t="inlineStr">
        <is>
          <t>MARIESTAD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46302</v>
      </c>
      <c r="F127" t="inlineStr">
        <is>
          <t>VÄSTRA GÖTALANDS LÄN</t>
        </is>
      </c>
      <c r="G127" t="inlineStr">
        <is>
          <t>MARIESTAD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46071</v>
      </c>
      <c r="E128" s="1" t="n">
        <v>46302</v>
      </c>
      <c r="F128" t="inlineStr">
        <is>
          <t>VÄSTRA GÖTALANDS LÄN</t>
        </is>
      </c>
      <c r="G128" t="inlineStr">
        <is>
          <t>MARIESTAD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44883</v>
      </c>
      <c r="E129" s="1" t="n">
        <v>46302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46077</v>
      </c>
      <c r="E130" s="1" t="n">
        <v>46302</v>
      </c>
      <c r="F130" t="inlineStr">
        <is>
          <t>VÄSTRA GÖTALANDS LÄN</t>
        </is>
      </c>
      <c r="G130" t="inlineStr">
        <is>
          <t>MARIESTAD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46302</v>
      </c>
      <c r="F131" t="inlineStr">
        <is>
          <t>VÄSTRA GÖTALANDS LÄN</t>
        </is>
      </c>
      <c r="G131" t="inlineStr">
        <is>
          <t>MARIESTAD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45827</v>
      </c>
      <c r="E132" s="1" t="n">
        <v>46302</v>
      </c>
      <c r="F132" t="inlineStr">
        <is>
          <t>VÄSTRA GÖTALANDS LÄN</t>
        </is>
      </c>
      <c r="G132" t="inlineStr">
        <is>
          <t>MARIESTAD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46080</v>
      </c>
      <c r="E133" s="1" t="n">
        <v>46302</v>
      </c>
      <c r="F133" t="inlineStr">
        <is>
          <t>VÄSTRA GÖTALANDS LÄN</t>
        </is>
      </c>
      <c r="G133" t="inlineStr">
        <is>
          <t>MARIESTAD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45199</v>
      </c>
      <c r="E134" s="1" t="n">
        <v>46302</v>
      </c>
      <c r="F134" t="inlineStr">
        <is>
          <t>VÄSTRA GÖTALANDS LÄN</t>
        </is>
      </c>
      <c r="G134" t="inlineStr">
        <is>
          <t>MARIESTAD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46302</v>
      </c>
      <c r="F135" t="inlineStr">
        <is>
          <t>VÄSTRA GÖTALANDS LÄN</t>
        </is>
      </c>
      <c r="G135" t="inlineStr">
        <is>
          <t>MARIESTAD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46302</v>
      </c>
      <c r="F136" t="inlineStr">
        <is>
          <t>VÄSTRA GÖTALANDS LÄN</t>
        </is>
      </c>
      <c r="G136" t="inlineStr">
        <is>
          <t>MARIESTAD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46302</v>
      </c>
      <c r="F137" t="inlineStr">
        <is>
          <t>VÄSTRA GÖTALANDS LÄN</t>
        </is>
      </c>
      <c r="G137" t="inlineStr">
        <is>
          <t>MARIESTAD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46945-2023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46302</v>
      </c>
      <c r="F138" t="inlineStr">
        <is>
          <t>VÄSTRA GÖTALANDS LÄN</t>
        </is>
      </c>
      <c r="G138" t="inlineStr">
        <is>
          <t>MARIESTAD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44774</v>
      </c>
      <c r="E139" s="1" t="n">
        <v>46302</v>
      </c>
      <c r="F139" t="inlineStr">
        <is>
          <t>VÄSTRA GÖTALANDS LÄN</t>
        </is>
      </c>
      <c r="G139" t="inlineStr">
        <is>
          <t>MARIESTAD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46302</v>
      </c>
      <c r="F140" t="inlineStr">
        <is>
          <t>VÄSTRA GÖTALANDS LÄN</t>
        </is>
      </c>
      <c r="G140" t="inlineStr">
        <is>
          <t>MARIESTAD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45764</v>
      </c>
      <c r="E141" s="1" t="n">
        <v>46302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46302</v>
      </c>
      <c r="F142" t="inlineStr">
        <is>
          <t>VÄSTRA GÖTALANDS LÄN</t>
        </is>
      </c>
      <c r="G142" t="inlineStr">
        <is>
          <t>MARIESTAD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46302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44645</v>
      </c>
      <c r="E144" s="1" t="n">
        <v>46302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46302</v>
      </c>
      <c r="F145" t="inlineStr">
        <is>
          <t>VÄSTRA GÖTALANDS LÄN</t>
        </is>
      </c>
      <c r="G145" t="inlineStr">
        <is>
          <t>MARIESTAD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46302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46302</v>
      </c>
      <c r="F147" t="inlineStr">
        <is>
          <t>VÄSTRA GÖTALANDS LÄN</t>
        </is>
      </c>
      <c r="G147" t="inlineStr">
        <is>
          <t>MARIESTAD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44836</v>
      </c>
      <c r="E148" s="1" t="n">
        <v>46302</v>
      </c>
      <c r="F148" t="inlineStr">
        <is>
          <t>VÄSTRA GÖTALANDS LÄN</t>
        </is>
      </c>
      <c r="G148" t="inlineStr">
        <is>
          <t>MARIESTAD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46302</v>
      </c>
      <c r="F149" t="inlineStr">
        <is>
          <t>VÄSTRA GÖTALANDS LÄN</t>
        </is>
      </c>
      <c r="G149" t="inlineStr">
        <is>
          <t>MARIESTAD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46302</v>
      </c>
      <c r="F150" t="inlineStr">
        <is>
          <t>VÄSTRA GÖTALANDS LÄN</t>
        </is>
      </c>
      <c r="G150" t="inlineStr">
        <is>
          <t>MARIESTAD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46302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46302</v>
      </c>
      <c r="F152" t="inlineStr">
        <is>
          <t>VÄSTRA GÖTALANDS LÄN</t>
        </is>
      </c>
      <c r="G152" t="inlineStr">
        <is>
          <t>MARIESTAD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45722</v>
      </c>
      <c r="E153" s="1" t="n">
        <v>46302</v>
      </c>
      <c r="F153" t="inlineStr">
        <is>
          <t>VÄSTRA GÖTALANDS LÄN</t>
        </is>
      </c>
      <c r="G153" t="inlineStr">
        <is>
          <t>MARIESTAD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46302</v>
      </c>
      <c r="F154" t="inlineStr">
        <is>
          <t>VÄSTRA GÖTALANDS LÄN</t>
        </is>
      </c>
      <c r="G154" t="inlineStr">
        <is>
          <t>MARIESTAD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45222</v>
      </c>
      <c r="E155" s="1" t="n">
        <v>46302</v>
      </c>
      <c r="F155" t="inlineStr">
        <is>
          <t>VÄSTRA GÖTALANDS LÄN</t>
        </is>
      </c>
      <c r="G155" t="inlineStr">
        <is>
          <t>MARIESTAD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45875</v>
      </c>
      <c r="E156" s="1" t="n">
        <v>46302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44843</v>
      </c>
      <c r="E157" s="1" t="n">
        <v>46302</v>
      </c>
      <c r="F157" t="inlineStr">
        <is>
          <t>VÄSTRA GÖTALANDS LÄN</t>
        </is>
      </c>
      <c r="G157" t="inlineStr">
        <is>
          <t>MARIESTAD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46302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46302</v>
      </c>
      <c r="F159" t="inlineStr">
        <is>
          <t>VÄSTRA GÖTALANDS LÄN</t>
        </is>
      </c>
      <c r="G159" t="inlineStr">
        <is>
          <t>MARIESTAD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46302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46302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46302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46302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46302</v>
      </c>
      <c r="F164" t="inlineStr">
        <is>
          <t>VÄSTRA GÖTALANDS LÄN</t>
        </is>
      </c>
      <c r="G164" t="inlineStr">
        <is>
          <t>MARIESTAD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45443</v>
      </c>
      <c r="E165" s="1" t="n">
        <v>46302</v>
      </c>
      <c r="F165" t="inlineStr">
        <is>
          <t>VÄSTRA GÖTALANDS LÄN</t>
        </is>
      </c>
      <c r="G165" t="inlineStr">
        <is>
          <t>MARIESTAD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44936</v>
      </c>
      <c r="E166" s="1" t="n">
        <v>46302</v>
      </c>
      <c r="F166" t="inlineStr">
        <is>
          <t>VÄSTRA GÖTALANDS LÄN</t>
        </is>
      </c>
      <c r="G166" t="inlineStr">
        <is>
          <t>MARIESTAD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46302</v>
      </c>
      <c r="F167" t="inlineStr">
        <is>
          <t>VÄSTRA GÖTALANDS LÄN</t>
        </is>
      </c>
      <c r="G167" t="inlineStr">
        <is>
          <t>MARIESTAD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45201</v>
      </c>
      <c r="E168" s="1" t="n">
        <v>46302</v>
      </c>
      <c r="F168" t="inlineStr">
        <is>
          <t>VÄSTRA GÖTALANDS LÄN</t>
        </is>
      </c>
      <c r="G168" t="inlineStr">
        <is>
          <t>MARIESTAD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46302</v>
      </c>
      <c r="F169" t="inlineStr">
        <is>
          <t>VÄSTRA GÖTALANDS LÄN</t>
        </is>
      </c>
      <c r="G169" t="inlineStr">
        <is>
          <t>MARIESTAD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40455-2023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45170</v>
      </c>
      <c r="E170" s="1" t="n">
        <v>46302</v>
      </c>
      <c r="F170" t="inlineStr">
        <is>
          <t>VÄSTRA GÖTALANDS LÄN</t>
        </is>
      </c>
      <c r="G170" t="inlineStr">
        <is>
          <t>MARIESTAD</t>
        </is>
      </c>
      <c r="I170" t="n">
        <v>34.9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46302</v>
      </c>
      <c r="F171" t="inlineStr">
        <is>
          <t>VÄSTRA GÖTALANDS LÄN</t>
        </is>
      </c>
      <c r="G171" t="inlineStr">
        <is>
          <t>MARIESTAD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39766-2023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45167</v>
      </c>
      <c r="E172" s="1" t="n">
        <v>46302</v>
      </c>
      <c r="F172" t="inlineStr">
        <is>
          <t>VÄSTRA GÖTALANDS LÄN</t>
        </is>
      </c>
      <c r="G172" t="inlineStr">
        <is>
          <t>MARIESTAD</t>
        </is>
      </c>
      <c r="I172" t="n">
        <v>26.5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46302</v>
      </c>
      <c r="F173" t="inlineStr">
        <is>
          <t>VÄSTRA GÖTALANDS LÄN</t>
        </is>
      </c>
      <c r="G173" t="inlineStr">
        <is>
          <t>MARIESTAD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46302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46302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46302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46302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44965</v>
      </c>
      <c r="E178" s="1" t="n">
        <v>46302</v>
      </c>
      <c r="F178" t="inlineStr">
        <is>
          <t>VÄSTRA GÖTALANDS LÄN</t>
        </is>
      </c>
      <c r="G178" t="inlineStr">
        <is>
          <t>MARIESTAD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46302</v>
      </c>
      <c r="F179" t="inlineStr">
        <is>
          <t>VÄSTRA GÖTALANDS LÄN</t>
        </is>
      </c>
      <c r="G179" t="inlineStr">
        <is>
          <t>MARIESTAD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46302</v>
      </c>
      <c r="F180" t="inlineStr">
        <is>
          <t>VÄSTRA GÖTALANDS LÄN</t>
        </is>
      </c>
      <c r="G180" t="inlineStr">
        <is>
          <t>MARIESTAD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46302</v>
      </c>
      <c r="F181" t="inlineStr">
        <is>
          <t>VÄSTRA GÖTALANDS LÄN</t>
        </is>
      </c>
      <c r="G181" t="inlineStr">
        <is>
          <t>MARIESTAD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21361-2026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46142</v>
      </c>
      <c r="E182" s="1" t="n">
        <v>46302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Kyrkan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49389-2023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45211</v>
      </c>
      <c r="E183" s="1" t="n">
        <v>46302</v>
      </c>
      <c r="F183" t="inlineStr">
        <is>
          <t>VÄSTRA GÖTALANDS LÄN</t>
        </is>
      </c>
      <c r="G183" t="inlineStr">
        <is>
          <t>MARIESTAD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46302</v>
      </c>
      <c r="F184" t="inlineStr">
        <is>
          <t>VÄSTRA GÖTALANDS LÄN</t>
        </is>
      </c>
      <c r="G184" t="inlineStr">
        <is>
          <t>MARIESTAD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46163</v>
      </c>
      <c r="E185" s="1" t="n">
        <v>46302</v>
      </c>
      <c r="F185" t="inlineStr">
        <is>
          <t>VÄSTRA GÖTALANDS LÄN</t>
        </is>
      </c>
      <c r="G185" t="inlineStr">
        <is>
          <t>MARIESTAD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46302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46302</v>
      </c>
      <c r="F187" t="inlineStr">
        <is>
          <t>VÄSTRA GÖTALANDS LÄN</t>
        </is>
      </c>
      <c r="G187" t="inlineStr">
        <is>
          <t>MARIESTAD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46302</v>
      </c>
      <c r="F188" t="inlineStr">
        <is>
          <t>VÄSTRA GÖTALANDS LÄN</t>
        </is>
      </c>
      <c r="G188" t="inlineStr">
        <is>
          <t>MARIESTAD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46302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46302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46302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46302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46302</v>
      </c>
      <c r="F193" t="inlineStr">
        <is>
          <t>VÄSTRA GÖTALANDS LÄN</t>
        </is>
      </c>
      <c r="G193" t="inlineStr">
        <is>
          <t>MARIESTAD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46302</v>
      </c>
      <c r="F194" t="inlineStr">
        <is>
          <t>VÄSTRA GÖTALANDS LÄN</t>
        </is>
      </c>
      <c r="G194" t="inlineStr">
        <is>
          <t>MARIESTAD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46185</v>
      </c>
      <c r="E195" s="1" t="n">
        <v>46302</v>
      </c>
      <c r="F195" t="inlineStr">
        <is>
          <t>VÄSTRA GÖTALANDS LÄN</t>
        </is>
      </c>
      <c r="G195" t="inlineStr">
        <is>
          <t>MARIESTAD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46302</v>
      </c>
      <c r="F196" t="inlineStr">
        <is>
          <t>VÄSTRA GÖTALANDS LÄN</t>
        </is>
      </c>
      <c r="G196" t="inlineStr">
        <is>
          <t>MARIESTAD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46302</v>
      </c>
      <c r="F197" t="inlineStr">
        <is>
          <t>VÄSTRA GÖTALANDS LÄN</t>
        </is>
      </c>
      <c r="G197" t="inlineStr">
        <is>
          <t>MARIESTAD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46302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46302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33571-2023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45131</v>
      </c>
      <c r="E200" s="1" t="n">
        <v>46302</v>
      </c>
      <c r="F200" t="inlineStr">
        <is>
          <t>VÄSTRA GÖTALANDS LÄN</t>
        </is>
      </c>
      <c r="G200" t="inlineStr">
        <is>
          <t>MARIESTAD</t>
        </is>
      </c>
      <c r="I200" t="n">
        <v>16.1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46302</v>
      </c>
      <c r="F201" t="inlineStr">
        <is>
          <t>VÄSTRA GÖTALANDS LÄN</t>
        </is>
      </c>
      <c r="G201" t="inlineStr">
        <is>
          <t>MARIESTAD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46302</v>
      </c>
      <c r="F202" t="inlineStr">
        <is>
          <t>VÄSTRA GÖTALANDS LÄN</t>
        </is>
      </c>
      <c r="G202" t="inlineStr">
        <is>
          <t>MARIESTAD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46302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46302</v>
      </c>
      <c r="F204" t="inlineStr">
        <is>
          <t>VÄSTRA GÖTALANDS LÄN</t>
        </is>
      </c>
      <c r="G204" t="inlineStr">
        <is>
          <t>MARIESTAD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46302</v>
      </c>
      <c r="F205" t="inlineStr">
        <is>
          <t>VÄSTRA GÖTALANDS LÄN</t>
        </is>
      </c>
      <c r="G205" t="inlineStr">
        <is>
          <t>MARIESTAD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46302</v>
      </c>
      <c r="F206" t="inlineStr">
        <is>
          <t>VÄSTRA GÖTALANDS LÄN</t>
        </is>
      </c>
      <c r="G206" t="inlineStr">
        <is>
          <t>MARIESTAD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46302</v>
      </c>
      <c r="F207" t="inlineStr">
        <is>
          <t>VÄSTRA GÖTALANDS LÄN</t>
        </is>
      </c>
      <c r="G207" t="inlineStr">
        <is>
          <t>MARIESTAD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46302</v>
      </c>
      <c r="F208" t="inlineStr">
        <is>
          <t>VÄSTRA GÖTALANDS LÄN</t>
        </is>
      </c>
      <c r="G208" t="inlineStr">
        <is>
          <t>MARIESTAD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46302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45135</v>
      </c>
      <c r="E210" s="1" t="n">
        <v>46302</v>
      </c>
      <c r="F210" t="inlineStr">
        <is>
          <t>VÄSTRA GÖTALANDS LÄN</t>
        </is>
      </c>
      <c r="G210" t="inlineStr">
        <is>
          <t>MARIESTAD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46302</v>
      </c>
      <c r="F211" t="inlineStr">
        <is>
          <t>VÄSTRA GÖTALANDS LÄN</t>
        </is>
      </c>
      <c r="G211" t="inlineStr">
        <is>
          <t>MARIESTAD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45384</v>
      </c>
      <c r="E212" s="1" t="n">
        <v>46302</v>
      </c>
      <c r="F212" t="inlineStr">
        <is>
          <t>VÄSTRA GÖTALANDS LÄN</t>
        </is>
      </c>
      <c r="G212" t="inlineStr">
        <is>
          <t>MARIESTAD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13655-2023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45006</v>
      </c>
      <c r="E213" s="1" t="n">
        <v>46302</v>
      </c>
      <c r="F213" t="inlineStr">
        <is>
          <t>VÄSTRA GÖTALANDS LÄN</t>
        </is>
      </c>
      <c r="G213" t="inlineStr">
        <is>
          <t>MARIESTAD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52626-2023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46302</v>
      </c>
      <c r="F214" t="inlineStr">
        <is>
          <t>VÄSTRA GÖTALANDS LÄN</t>
        </is>
      </c>
      <c r="G214" t="inlineStr">
        <is>
          <t>MARIESTAD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46302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46302</v>
      </c>
      <c r="F216" t="inlineStr">
        <is>
          <t>VÄSTRA GÖTALANDS LÄN</t>
        </is>
      </c>
      <c r="G216" t="inlineStr">
        <is>
          <t>MARIESTAD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26688-2022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44739</v>
      </c>
      <c r="E217" s="1" t="n">
        <v>46302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46302</v>
      </c>
      <c r="F218" t="inlineStr">
        <is>
          <t>VÄSTRA GÖTALANDS LÄN</t>
        </is>
      </c>
      <c r="G218" t="inlineStr">
        <is>
          <t>MARIESTAD</t>
        </is>
      </c>
      <c r="I218" t="n">
        <v>10.7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45324</v>
      </c>
      <c r="E219" s="1" t="n">
        <v>46302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46302</v>
      </c>
      <c r="F220" t="inlineStr">
        <is>
          <t>VÄSTRA GÖTALANDS LÄN</t>
        </is>
      </c>
      <c r="G220" t="inlineStr">
        <is>
          <t>MARIESTAD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46302</v>
      </c>
      <c r="F221" t="inlineStr">
        <is>
          <t>VÄSTRA GÖTALANDS LÄN</t>
        </is>
      </c>
      <c r="G221" t="inlineStr">
        <is>
          <t>MARIESTAD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44756</v>
      </c>
      <c r="E222" s="1" t="n">
        <v>46302</v>
      </c>
      <c r="F222" t="inlineStr">
        <is>
          <t>VÄSTRA GÖTALANDS LÄN</t>
        </is>
      </c>
      <c r="G222" t="inlineStr">
        <is>
          <t>MARIESTAD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46199</v>
      </c>
      <c r="E223" s="1" t="n">
        <v>46302</v>
      </c>
      <c r="F223" t="inlineStr">
        <is>
          <t>VÄSTRA GÖTALANDS LÄN</t>
        </is>
      </c>
      <c r="G223" t="inlineStr">
        <is>
          <t>MARIESTAD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46302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46199</v>
      </c>
      <c r="E225" s="1" t="n">
        <v>46302</v>
      </c>
      <c r="F225" t="inlineStr">
        <is>
          <t>VÄSTRA GÖTALANDS LÄN</t>
        </is>
      </c>
      <c r="G225" t="inlineStr">
        <is>
          <t>MARIESTAD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46199</v>
      </c>
      <c r="E226" s="1" t="n">
        <v>46302</v>
      </c>
      <c r="F226" t="inlineStr">
        <is>
          <t>VÄSTRA GÖTALANDS LÄN</t>
        </is>
      </c>
      <c r="G226" t="inlineStr">
        <is>
          <t>MARIESTAD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30192-2026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46302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46302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36399-2024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45535</v>
      </c>
      <c r="E229" s="1" t="n">
        <v>46302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46302</v>
      </c>
      <c r="F230" t="inlineStr">
        <is>
          <t>VÄSTRA GÖTALANDS LÄN</t>
        </is>
      </c>
      <c r="G230" t="inlineStr">
        <is>
          <t>MARIESTAD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45412</v>
      </c>
      <c r="E231" s="1" t="n">
        <v>46302</v>
      </c>
      <c r="F231" t="inlineStr">
        <is>
          <t>VÄSTRA GÖTALANDS LÄN</t>
        </is>
      </c>
      <c r="G231" t="inlineStr">
        <is>
          <t>MARIESTAD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45412</v>
      </c>
      <c r="E232" s="1" t="n">
        <v>46302</v>
      </c>
      <c r="F232" t="inlineStr">
        <is>
          <t>VÄSTRA GÖTALANDS LÄN</t>
        </is>
      </c>
      <c r="G232" t="inlineStr">
        <is>
          <t>MARIESTAD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45544</v>
      </c>
      <c r="E233" s="1" t="n">
        <v>46302</v>
      </c>
      <c r="F233" t="inlineStr">
        <is>
          <t>VÄSTRA GÖTALANDS LÄN</t>
        </is>
      </c>
      <c r="G233" t="inlineStr">
        <is>
          <t>MARIESTAD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46302</v>
      </c>
      <c r="F234" t="inlineStr">
        <is>
          <t>VÄSTRA GÖTALANDS LÄN</t>
        </is>
      </c>
      <c r="G234" t="inlineStr">
        <is>
          <t>MARIESTAD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46302</v>
      </c>
      <c r="F235" t="inlineStr">
        <is>
          <t>VÄSTRA GÖTALANDS LÄN</t>
        </is>
      </c>
      <c r="G235" t="inlineStr">
        <is>
          <t>MARIESTAD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46302</v>
      </c>
      <c r="F236" t="inlineStr">
        <is>
          <t>VÄSTRA GÖTALANDS LÄN</t>
        </is>
      </c>
      <c r="G236" t="inlineStr">
        <is>
          <t>MARIESTAD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44572</v>
      </c>
      <c r="E237" s="1" t="n">
        <v>46302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46302</v>
      </c>
      <c r="F238" t="inlineStr">
        <is>
          <t>VÄSTRA GÖTALANDS LÄN</t>
        </is>
      </c>
      <c r="G238" t="inlineStr">
        <is>
          <t>MARIESTAD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46261</v>
      </c>
      <c r="E239" s="1" t="n">
        <v>46302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46261</v>
      </c>
      <c r="E240" s="1" t="n">
        <v>46302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46302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46262</v>
      </c>
      <c r="E242" s="1" t="n">
        <v>46302</v>
      </c>
      <c r="F242" t="inlineStr">
        <is>
          <t>VÄSTRA GÖTALANDS LÄN</t>
        </is>
      </c>
      <c r="G242" t="inlineStr">
        <is>
          <t>MARIESTAD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46302</v>
      </c>
      <c r="F243" t="inlineStr">
        <is>
          <t>VÄSTRA GÖTALANDS LÄN</t>
        </is>
      </c>
      <c r="G243" t="inlineStr">
        <is>
          <t>MARIESTAD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50579-2023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45217</v>
      </c>
      <c r="E244" s="1" t="n">
        <v>46302</v>
      </c>
      <c r="F244" t="inlineStr">
        <is>
          <t>VÄSTRA GÖTALANDS LÄN</t>
        </is>
      </c>
      <c r="G244" t="inlineStr">
        <is>
          <t>MARIESTAD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46302</v>
      </c>
      <c r="F245" t="inlineStr">
        <is>
          <t>VÄSTRA GÖTALANDS LÄN</t>
        </is>
      </c>
      <c r="G245" t="inlineStr">
        <is>
          <t>MARIESTAD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46302</v>
      </c>
      <c r="F246" t="inlineStr">
        <is>
          <t>VÄSTRA GÖTALANDS LÄN</t>
        </is>
      </c>
      <c r="G246" t="inlineStr">
        <is>
          <t>MARIESTAD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46302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46302</v>
      </c>
      <c r="F248" t="inlineStr">
        <is>
          <t>VÄSTRA GÖTALANDS LÄN</t>
        </is>
      </c>
      <c r="G248" t="inlineStr">
        <is>
          <t>MARIESTAD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53097-2022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44876</v>
      </c>
      <c r="E249" s="1" t="n">
        <v>46302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58077-2022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44900</v>
      </c>
      <c r="E250" s="1" t="n">
        <v>46302</v>
      </c>
      <c r="F250" t="inlineStr">
        <is>
          <t>VÄSTRA GÖTALANDS LÄN</t>
        </is>
      </c>
      <c r="G250" t="inlineStr">
        <is>
          <t>MARIESTAD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46302</v>
      </c>
      <c r="F251" t="inlineStr">
        <is>
          <t>VÄSTRA GÖTALANDS LÄN</t>
        </is>
      </c>
      <c r="G251" t="inlineStr">
        <is>
          <t>MARIESTAD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46302</v>
      </c>
      <c r="F252" t="inlineStr">
        <is>
          <t>VÄSTRA GÖTALANDS LÄN</t>
        </is>
      </c>
      <c r="G252" t="inlineStr">
        <is>
          <t>MARIESTAD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45371</v>
      </c>
      <c r="E253" s="1" t="n">
        <v>46302</v>
      </c>
      <c r="F253" t="inlineStr">
        <is>
          <t>VÄSTRA GÖTALANDS LÄN</t>
        </is>
      </c>
      <c r="G253" t="inlineStr">
        <is>
          <t>MARIESTAD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46302</v>
      </c>
      <c r="F254" t="inlineStr">
        <is>
          <t>VÄSTRA GÖTALANDS LÄN</t>
        </is>
      </c>
      <c r="G254" t="inlineStr">
        <is>
          <t>MARIESTAD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45516</v>
      </c>
      <c r="E255" s="1" t="n">
        <v>46302</v>
      </c>
      <c r="F255" t="inlineStr">
        <is>
          <t>VÄSTRA GÖTALANDS LÄN</t>
        </is>
      </c>
      <c r="G255" t="inlineStr">
        <is>
          <t>MARIESTAD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46302</v>
      </c>
      <c r="F256" t="inlineStr">
        <is>
          <t>VÄSTRA GÖTALANDS LÄN</t>
        </is>
      </c>
      <c r="G256" t="inlineStr">
        <is>
          <t>MARIESTAD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46302</v>
      </c>
      <c r="F257" t="inlineStr">
        <is>
          <t>VÄSTRA GÖTALANDS LÄN</t>
        </is>
      </c>
      <c r="G257" t="inlineStr">
        <is>
          <t>MARIESTAD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46302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8021-2024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45350</v>
      </c>
      <c r="E259" s="1" t="n">
        <v>46302</v>
      </c>
      <c r="F259" t="inlineStr">
        <is>
          <t>VÄSTRA GÖTALANDS LÄN</t>
        </is>
      </c>
      <c r="G259" t="inlineStr">
        <is>
          <t>MARIESTAD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46302</v>
      </c>
      <c r="F260" t="inlineStr">
        <is>
          <t>VÄSTRA GÖTALANDS LÄN</t>
        </is>
      </c>
      <c r="G260" t="inlineStr">
        <is>
          <t>MARIESTAD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44993</v>
      </c>
      <c r="E261" s="1" t="n">
        <v>46302</v>
      </c>
      <c r="F261" t="inlineStr">
        <is>
          <t>VÄSTRA GÖTALANDS LÄN</t>
        </is>
      </c>
      <c r="G261" t="inlineStr">
        <is>
          <t>MARIESTAD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45702</v>
      </c>
      <c r="E262" s="1" t="n">
        <v>46302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46302</v>
      </c>
      <c r="F263" t="inlineStr">
        <is>
          <t>VÄSTRA GÖTALANDS LÄN</t>
        </is>
      </c>
      <c r="G263" t="inlineStr">
        <is>
          <t>MARIESTAD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46302</v>
      </c>
      <c r="F264" t="inlineStr">
        <is>
          <t>VÄSTRA GÖTALANDS LÄN</t>
        </is>
      </c>
      <c r="G264" t="inlineStr">
        <is>
          <t>MARIESTAD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44973</v>
      </c>
      <c r="E265" s="1" t="n">
        <v>46302</v>
      </c>
      <c r="F265" t="inlineStr">
        <is>
          <t>VÄSTRA GÖTALANDS LÄN</t>
        </is>
      </c>
      <c r="G265" t="inlineStr">
        <is>
          <t>MARIESTAD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44614</v>
      </c>
      <c r="E266" s="1" t="n">
        <v>46302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Kyrkan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44816</v>
      </c>
      <c r="E267" s="1" t="n">
        <v>46302</v>
      </c>
      <c r="F267" t="inlineStr">
        <is>
          <t>VÄSTRA GÖTALANDS LÄN</t>
        </is>
      </c>
      <c r="G267" t="inlineStr">
        <is>
          <t>MARIESTAD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39286-2026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46288</v>
      </c>
      <c r="E268" s="1" t="n">
        <v>46302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46302</v>
      </c>
      <c r="F269" t="inlineStr">
        <is>
          <t>VÄSTRA GÖTALANDS LÄN</t>
        </is>
      </c>
      <c r="G269" t="inlineStr">
        <is>
          <t>MARIESTAD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46288</v>
      </c>
      <c r="E270" s="1" t="n">
        <v>46302</v>
      </c>
      <c r="F270" t="inlineStr">
        <is>
          <t>VÄSTRA GÖTALANDS LÄN</t>
        </is>
      </c>
      <c r="G270" t="inlineStr">
        <is>
          <t>MARIESTAD</t>
        </is>
      </c>
      <c r="H270" t="inlineStr">
        <is>
          <t>Sveaskog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39632-2026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46289</v>
      </c>
      <c r="E271" s="1" t="n">
        <v>46302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Kyrkan</t>
        </is>
      </c>
      <c r="I271" t="n">
        <v>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46288</v>
      </c>
      <c r="E272" s="1" t="n">
        <v>46302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46302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46302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46302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46302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44943</v>
      </c>
      <c r="E277" s="1" t="n">
        <v>46302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46302</v>
      </c>
      <c r="F278" t="inlineStr">
        <is>
          <t>VÄSTRA GÖTALANDS LÄN</t>
        </is>
      </c>
      <c r="G278" t="inlineStr">
        <is>
          <t>MARIESTAD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45210</v>
      </c>
      <c r="E279" s="1" t="n">
        <v>46302</v>
      </c>
      <c r="F279" t="inlineStr">
        <is>
          <t>VÄSTRA GÖTALANDS LÄN</t>
        </is>
      </c>
      <c r="G279" t="inlineStr">
        <is>
          <t>MARIESTAD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29857-2022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44756</v>
      </c>
      <c r="E280" s="1" t="n">
        <v>46302</v>
      </c>
      <c r="F280" t="inlineStr">
        <is>
          <t>VÄSTRA GÖTALANDS LÄN</t>
        </is>
      </c>
      <c r="G280" t="inlineStr">
        <is>
          <t>MARIESTAD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46302</v>
      </c>
      <c r="F281" t="inlineStr">
        <is>
          <t>VÄSTRA GÖTALANDS LÄN</t>
        </is>
      </c>
      <c r="G281" t="inlineStr">
        <is>
          <t>MARIESTAD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45412</v>
      </c>
      <c r="E282" s="1" t="n">
        <v>46302</v>
      </c>
      <c r="F282" t="inlineStr">
        <is>
          <t>VÄSTRA GÖTALANDS LÄN</t>
        </is>
      </c>
      <c r="G282" t="inlineStr">
        <is>
          <t>MARIESTAD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46290</v>
      </c>
      <c r="E283" s="1" t="n">
        <v>46302</v>
      </c>
      <c r="F283" t="inlineStr">
        <is>
          <t>VÄSTRA GÖTALANDS LÄN</t>
        </is>
      </c>
      <c r="G283" t="inlineStr">
        <is>
          <t>MARIESTAD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46302</v>
      </c>
      <c r="F284" t="inlineStr">
        <is>
          <t>VÄSTRA GÖTALANDS LÄN</t>
        </is>
      </c>
      <c r="G284" t="inlineStr">
        <is>
          <t>MARIESTAD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46302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45200</v>
      </c>
      <c r="E286" s="1" t="n">
        <v>46302</v>
      </c>
      <c r="F286" t="inlineStr">
        <is>
          <t>VÄSTRA GÖTALANDS LÄN</t>
        </is>
      </c>
      <c r="G286" t="inlineStr">
        <is>
          <t>MARIESTAD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45590</v>
      </c>
      <c r="E287" s="1" t="n">
        <v>46302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Kyrkan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46302</v>
      </c>
      <c r="F288" t="inlineStr">
        <is>
          <t>VÄSTRA GÖTALANDS LÄN</t>
        </is>
      </c>
      <c r="G288" t="inlineStr">
        <is>
          <t>MARIESTAD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46293</v>
      </c>
      <c r="E289" s="1" t="n">
        <v>46302</v>
      </c>
      <c r="F289" t="inlineStr">
        <is>
          <t>VÄSTRA GÖTALANDS LÄN</t>
        </is>
      </c>
      <c r="G289" t="inlineStr">
        <is>
          <t>MARIESTAD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46302</v>
      </c>
      <c r="F290" t="inlineStr">
        <is>
          <t>VÄSTRA GÖTALANDS LÄN</t>
        </is>
      </c>
      <c r="G290" t="inlineStr">
        <is>
          <t>MARIESTAD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46302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58598-2021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44489</v>
      </c>
      <c r="E292" s="1" t="n">
        <v>46302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65197-2023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45289</v>
      </c>
      <c r="E293" s="1" t="n">
        <v>46302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45548</v>
      </c>
      <c r="E294" s="1" t="n">
        <v>46302</v>
      </c>
      <c r="F294" t="inlineStr">
        <is>
          <t>VÄSTRA GÖTALANDS LÄN</t>
        </is>
      </c>
      <c r="G294" t="inlineStr">
        <is>
          <t>MARIESTAD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46302</v>
      </c>
      <c r="F295" t="inlineStr">
        <is>
          <t>VÄSTRA GÖTALANDS LÄN</t>
        </is>
      </c>
      <c r="G295" t="inlineStr">
        <is>
          <t>MARIESTAD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54225-2022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44881</v>
      </c>
      <c r="E296" s="1" t="n">
        <v>46302</v>
      </c>
      <c r="F296" t="inlineStr">
        <is>
          <t>VÄSTRA GÖTALANDS LÄN</t>
        </is>
      </c>
      <c r="G296" t="inlineStr">
        <is>
          <t>MARIESTAD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46302</v>
      </c>
      <c r="F297" t="inlineStr">
        <is>
          <t>VÄSTRA GÖTALANDS LÄN</t>
        </is>
      </c>
      <c r="G297" t="inlineStr">
        <is>
          <t>MARIESTAD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46302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45524</v>
      </c>
      <c r="E299" s="1" t="n">
        <v>46302</v>
      </c>
      <c r="F299" t="inlineStr">
        <is>
          <t>VÄSTRA GÖTALANDS LÄN</t>
        </is>
      </c>
      <c r="G299" t="inlineStr">
        <is>
          <t>MARIESTAD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44553</v>
      </c>
      <c r="E300" s="1" t="n">
        <v>46302</v>
      </c>
      <c r="F300" t="inlineStr">
        <is>
          <t>VÄSTRA GÖTALANDS LÄN</t>
        </is>
      </c>
      <c r="G300" t="inlineStr">
        <is>
          <t>MARIESTAD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45590</v>
      </c>
      <c r="E301" s="1" t="n">
        <v>46302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Kyrkan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46302</v>
      </c>
      <c r="F302" t="inlineStr">
        <is>
          <t>VÄSTRA GÖTALANDS LÄN</t>
        </is>
      </c>
      <c r="G302" t="inlineStr">
        <is>
          <t>MARIESTAD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46302</v>
      </c>
      <c r="F303" t="inlineStr">
        <is>
          <t>VÄSTRA GÖTALANDS LÄN</t>
        </is>
      </c>
      <c r="G303" t="inlineStr">
        <is>
          <t>MARIESTAD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46300</v>
      </c>
      <c r="E304" s="1" t="n">
        <v>46302</v>
      </c>
      <c r="F304" t="inlineStr">
        <is>
          <t>VÄSTRA GÖTALANDS LÄN</t>
        </is>
      </c>
      <c r="G304" t="inlineStr">
        <is>
          <t>MARIESTAD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46302</v>
      </c>
      <c r="F305" t="inlineStr">
        <is>
          <t>VÄSTRA GÖTALANDS LÄN</t>
        </is>
      </c>
      <c r="G305" t="inlineStr">
        <is>
          <t>MARIESTAD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46302</v>
      </c>
      <c r="F306" t="inlineStr">
        <is>
          <t>VÄSTRA GÖTALANDS LÄN</t>
        </is>
      </c>
      <c r="G306" t="inlineStr">
        <is>
          <t>MARIESTAD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13798-2022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44649</v>
      </c>
      <c r="E307" s="1" t="n">
        <v>46302</v>
      </c>
      <c r="F307" t="inlineStr">
        <is>
          <t>VÄSTRA GÖTALANDS LÄN</t>
        </is>
      </c>
      <c r="G307" t="inlineStr">
        <is>
          <t>MARIESTAD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44617</v>
      </c>
      <c r="E308" s="1" t="n">
        <v>46302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46302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45706</v>
      </c>
      <c r="E310" s="1" t="n">
        <v>46302</v>
      </c>
      <c r="F310" t="inlineStr">
        <is>
          <t>VÄSTRA GÖTALANDS LÄN</t>
        </is>
      </c>
      <c r="G310" t="inlineStr">
        <is>
          <t>MARIESTAD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45722</v>
      </c>
      <c r="E311" s="1" t="n">
        <v>46302</v>
      </c>
      <c r="F311" t="inlineStr">
        <is>
          <t>VÄSTRA GÖTALANDS LÄN</t>
        </is>
      </c>
      <c r="G311" t="inlineStr">
        <is>
          <t>MARIESTAD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46302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45590</v>
      </c>
      <c r="E313" s="1" t="n">
        <v>46302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45070</v>
      </c>
      <c r="E314" s="1" t="n">
        <v>46302</v>
      </c>
      <c r="F314" t="inlineStr">
        <is>
          <t>VÄSTRA GÖTALANDS LÄN</t>
        </is>
      </c>
      <c r="G314" t="inlineStr">
        <is>
          <t>MARIESTAD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45751</v>
      </c>
      <c r="E315" s="1" t="n">
        <v>46302</v>
      </c>
      <c r="F315" t="inlineStr">
        <is>
          <t>VÄSTRA GÖTALANDS LÄN</t>
        </is>
      </c>
      <c r="G315" t="inlineStr">
        <is>
          <t>MARIESTAD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44999</v>
      </c>
      <c r="E316" s="1" t="n">
        <v>46302</v>
      </c>
      <c r="F316" t="inlineStr">
        <is>
          <t>VÄSTRA GÖTALANDS LÄN</t>
        </is>
      </c>
      <c r="G316" t="inlineStr">
        <is>
          <t>MARIESTAD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46875-2023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45200</v>
      </c>
      <c r="E317" s="1" t="n">
        <v>46302</v>
      </c>
      <c r="F317" t="inlineStr">
        <is>
          <t>VÄSTRA GÖTALANDS LÄN</t>
        </is>
      </c>
      <c r="G317" t="inlineStr">
        <is>
          <t>MARIESTAD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45528</v>
      </c>
      <c r="E318" s="1" t="n">
        <v>46302</v>
      </c>
      <c r="F318" t="inlineStr">
        <is>
          <t>VÄSTRA GÖTALANDS LÄN</t>
        </is>
      </c>
      <c r="G318" t="inlineStr">
        <is>
          <t>MARIESTAD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49166-2023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46302</v>
      </c>
      <c r="F319" t="inlineStr">
        <is>
          <t>VÄSTRA GÖTALANDS LÄN</t>
        </is>
      </c>
      <c r="G319" t="inlineStr">
        <is>
          <t>MARIESTAD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46555-2022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44848</v>
      </c>
      <c r="E320" s="1" t="n">
        <v>46302</v>
      </c>
      <c r="F320" t="inlineStr">
        <is>
          <t>VÄSTRA GÖTALANDS LÄN</t>
        </is>
      </c>
      <c r="G320" t="inlineStr">
        <is>
          <t>MARIESTAD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60812-2023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45260</v>
      </c>
      <c r="E321" s="1" t="n">
        <v>46302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46302</v>
      </c>
      <c r="F322" t="inlineStr">
        <is>
          <t>VÄSTRA GÖTALANDS LÄN</t>
        </is>
      </c>
      <c r="G322" t="inlineStr">
        <is>
          <t>MARIESTAD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45516</v>
      </c>
      <c r="E323" s="1" t="n">
        <v>46302</v>
      </c>
      <c r="F323" t="inlineStr">
        <is>
          <t>VÄSTRA GÖTALANDS LÄN</t>
        </is>
      </c>
      <c r="G323" t="inlineStr">
        <is>
          <t>MARIESTAD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44746</v>
      </c>
      <c r="E324" s="1" t="n">
        <v>46302</v>
      </c>
      <c r="F324" t="inlineStr">
        <is>
          <t>VÄSTRA GÖTALANDS LÄN</t>
        </is>
      </c>
      <c r="G324" t="inlineStr">
        <is>
          <t>MARIESTAD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46302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45674</v>
      </c>
      <c r="E326" s="1" t="n">
        <v>46302</v>
      </c>
      <c r="F326" t="inlineStr">
        <is>
          <t>VÄSTRA GÖTALANDS LÄN</t>
        </is>
      </c>
      <c r="G326" t="inlineStr">
        <is>
          <t>MARIESTAD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46302</v>
      </c>
      <c r="F327" t="inlineStr">
        <is>
          <t>VÄSTRA GÖTALANDS LÄN</t>
        </is>
      </c>
      <c r="G327" t="inlineStr">
        <is>
          <t>MARIESTAD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45691</v>
      </c>
      <c r="E328" s="1" t="n">
        <v>46302</v>
      </c>
      <c r="F328" t="inlineStr">
        <is>
          <t>VÄSTRA GÖTALANDS LÄN</t>
        </is>
      </c>
      <c r="G328" t="inlineStr">
        <is>
          <t>MARIESTAD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61603-2023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45265</v>
      </c>
      <c r="E329" s="1" t="n">
        <v>46302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46302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45720</v>
      </c>
      <c r="E331" s="1" t="n">
        <v>46302</v>
      </c>
      <c r="F331" t="inlineStr">
        <is>
          <t>VÄSTRA GÖTALANDS LÄN</t>
        </is>
      </c>
      <c r="G331" t="inlineStr">
        <is>
          <t>MARIESTAD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46302</v>
      </c>
      <c r="F332" t="inlineStr">
        <is>
          <t>VÄSTRA GÖTALANDS LÄN</t>
        </is>
      </c>
      <c r="G332" t="inlineStr">
        <is>
          <t>MARIESTAD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45720</v>
      </c>
      <c r="E333" s="1" t="n">
        <v>46302</v>
      </c>
      <c r="F333" t="inlineStr">
        <is>
          <t>VÄSTRA GÖTALANDS LÄN</t>
        </is>
      </c>
      <c r="G333" t="inlineStr">
        <is>
          <t>MARIESTAD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46302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Kyrkan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45307</v>
      </c>
      <c r="E335" s="1" t="n">
        <v>46302</v>
      </c>
      <c r="F335" t="inlineStr">
        <is>
          <t>VÄSTRA GÖTALANDS LÄN</t>
        </is>
      </c>
      <c r="G335" t="inlineStr">
        <is>
          <t>MARIESTAD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46302</v>
      </c>
      <c r="F336" t="inlineStr">
        <is>
          <t>VÄSTRA GÖTALANDS LÄN</t>
        </is>
      </c>
      <c r="G336" t="inlineStr">
        <is>
          <t>MARIESTAD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46302</v>
      </c>
      <c r="F337" t="inlineStr">
        <is>
          <t>VÄSTRA GÖTALANDS LÄN</t>
        </is>
      </c>
      <c r="G337" t="inlineStr">
        <is>
          <t>MARIESTAD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46302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66772-2021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44521</v>
      </c>
      <c r="E339" s="1" t="n">
        <v>46302</v>
      </c>
      <c r="F339" t="inlineStr">
        <is>
          <t>VÄSTRA GÖTALANDS LÄN</t>
        </is>
      </c>
      <c r="G339" t="inlineStr">
        <is>
          <t>MARIESTAD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46302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54263-2024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45616</v>
      </c>
      <c r="E341" s="1" t="n">
        <v>46302</v>
      </c>
      <c r="F341" t="inlineStr">
        <is>
          <t>VÄSTRA GÖTALANDS LÄN</t>
        </is>
      </c>
      <c r="G341" t="inlineStr">
        <is>
          <t>MARIESTAD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46302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46302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46302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45709</v>
      </c>
      <c r="E345" s="1" t="n">
        <v>46302</v>
      </c>
      <c r="F345" t="inlineStr">
        <is>
          <t>VÄSTRA GÖTALANDS LÄN</t>
        </is>
      </c>
      <c r="G345" t="inlineStr">
        <is>
          <t>MARIESTAD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46302</v>
      </c>
      <c r="F346" t="inlineStr">
        <is>
          <t>VÄSTRA GÖTALANDS LÄN</t>
        </is>
      </c>
      <c r="G346" t="inlineStr">
        <is>
          <t>MARIESTAD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46302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45331</v>
      </c>
      <c r="E348" s="1" t="n">
        <v>46302</v>
      </c>
      <c r="F348" t="inlineStr">
        <is>
          <t>VÄSTRA GÖTALANDS LÄN</t>
        </is>
      </c>
      <c r="G348" t="inlineStr">
        <is>
          <t>MARIESTAD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52869-2024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45610</v>
      </c>
      <c r="E349" s="1" t="n">
        <v>46302</v>
      </c>
      <c r="F349" t="inlineStr">
        <is>
          <t>VÄSTRA GÖTALANDS LÄN</t>
        </is>
      </c>
      <c r="G349" t="inlineStr">
        <is>
          <t>MARIESTAD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46302</v>
      </c>
      <c r="F350" t="inlineStr">
        <is>
          <t>VÄSTRA GÖTALANDS LÄN</t>
        </is>
      </c>
      <c r="G350" t="inlineStr">
        <is>
          <t>MARIESTAD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45798</v>
      </c>
      <c r="E351" s="1" t="n">
        <v>46302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46302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46302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46302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46302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2026-10-07T02:08:26Z</dcterms:created>
  <dcterms:modified xmlns:dcterms="http://purl.org/dc/terms/" xmlns:xsi="http://www.w3.org/2001/XMLSchema-instance" xsi:type="dcterms:W3CDTF">2026-10-07T02:08:27Z</dcterms:modified>
</cp:coreProperties>
</file>