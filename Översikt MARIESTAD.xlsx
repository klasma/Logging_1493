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2044-2026</t>
        </is>
      </c>
      <c r="B2" t="inlineStr">
        <is>
          <t>samrådsanmälan</t>
        </is>
      </c>
      <c r="C2" t="inlineStr">
        <is>
          <t>Askåterföring</t>
        </is>
      </c>
      <c r="D2" s="1" t="n">
        <v>46213</v>
      </c>
      <c r="E2" s="1" t="n">
        <v>46314</v>
      </c>
      <c r="F2" t="inlineStr">
        <is>
          <t>VÄSTRA GÖTALANDS LÄN</t>
        </is>
      </c>
      <c r="G2" t="inlineStr">
        <is>
          <t>MARIESTAD</t>
        </is>
      </c>
      <c r="H2" t="inlineStr">
        <is>
          <t>Kyrkan</t>
        </is>
      </c>
      <c r="I2" t="n">
        <v>347.5</v>
      </c>
      <c r="J2" t="n">
        <v>7</v>
      </c>
      <c r="K2" t="n">
        <v>5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18</v>
      </c>
      <c r="T2" t="n">
        <v>22</v>
      </c>
      <c r="U2" t="n">
        <v>0</v>
      </c>
      <c r="V2" s="2" t="inlineStr">
        <is>
          <t>Gul dropplav
Järnsparv
Ladusvala
Talltita
Brun nållav
Gulpudrad spiklav
Hasselticka
Rostfläck
Skogsbräsma
Blåsippa
Ekbräken
Getrams
Hässlebrodd
Liljekonvalj
Ormbär
Spillkråka
Gröngöling
Gullviva</t>
        </is>
      </c>
      <c r="W2">
        <f>HYPERLINK("https://klasma.github.io/Logging_1493/artfynd/S 2044-2026 artfynd.xlsx", "S 2044-2026")</f>
        <v/>
      </c>
      <c r="X2">
        <f>HYPERLINK("https://klasma.github.io/Logging_1493/kartor/S 2044-2026 karta.png", "S 2044-2026")</f>
        <v/>
      </c>
      <c r="Y2">
        <f>HYPERLINK("https://klasma.github.io/Logging_1493/kartor_geotiff/S 2044-2026 georefererad karta.tif", "S 2044-2026")</f>
        <v/>
      </c>
      <c r="AA2">
        <f>HYPERLINK("https://klasma.github.io/Logging_1493/klagomål/S 2044-2026 FSC-klagomål.docx", "S 2044-2026")</f>
        <v/>
      </c>
      <c r="AB2">
        <f>HYPERLINK("https://klasma.github.io/Logging_1493/klagomålsmail/S 2044-2026 FSC-klagomål mail.docx", "S 2044-2026")</f>
        <v/>
      </c>
      <c r="AC2">
        <f>HYPERLINK("https://klasma.github.io/Logging_1493/tillsyn/S 2044-2026 tillsynsbegäran.docx", "S 2044-2026")</f>
        <v/>
      </c>
      <c r="AD2">
        <f>HYPERLINK("https://klasma.github.io/Logging_1493/tillsynsmail/S 2044-2026 tillsynsbegäran mail.docx", "S 2044-2026")</f>
        <v/>
      </c>
      <c r="AE2">
        <f>HYPERLINK("https://klasma.github.io/Logging_1493/fåglar/S 2044-2026 prioriterade fågelarter.docx", "S 2044-2026")</f>
        <v/>
      </c>
    </row>
    <row r="3" ht="15" customHeight="1">
      <c r="A3" t="inlineStr">
        <is>
          <t>A 5141-2025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45691</v>
      </c>
      <c r="E3" s="1" t="n">
        <v>46314</v>
      </c>
      <c r="F3" t="inlineStr">
        <is>
          <t>VÄSTRA GÖTALANDS LÄN</t>
        </is>
      </c>
      <c r="G3" t="inlineStr">
        <is>
          <t>MARIESTAD</t>
        </is>
      </c>
      <c r="I3" t="n">
        <v>8.800000000000001</v>
      </c>
      <c r="J3" t="n">
        <v>7</v>
      </c>
      <c r="K3" t="n">
        <v>1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9</v>
      </c>
      <c r="T3" t="n">
        <v>15</v>
      </c>
      <c r="U3" t="n">
        <v>1</v>
      </c>
      <c r="V3" s="2" t="inlineStr">
        <is>
          <t>Entita
Gulsparv
Järnsparv
Kortskaftad ärgspik
Talltita
Björksplintborre
Spillkråka
Kungsfågel
Svartvit flugsnappare</t>
        </is>
      </c>
      <c r="W3">
        <f>HYPERLINK("https://klasma.github.io/Logging_1493/artfynd/A 5141-2025 artfynd.xlsx", "A 5141-2025")</f>
        <v/>
      </c>
      <c r="X3">
        <f>HYPERLINK("https://klasma.github.io/Logging_1493/kartor/A 5141-2025 karta.png", "A 5141-2025")</f>
        <v/>
      </c>
      <c r="Y3">
        <f>HYPERLINK("https://klasma.github.io/Logging_1493/kartor_geotiff/A 5141-2025 georefererad karta.tif", "A 5141-2025")</f>
        <v/>
      </c>
      <c r="AA3">
        <f>HYPERLINK("https://klasma.github.io/Logging_1493/klagomål/A 5141-2025 FSC-klagomål.docx", "A 5141-2025")</f>
        <v/>
      </c>
      <c r="AB3">
        <f>HYPERLINK("https://klasma.github.io/Logging_1493/klagomålsmail/A 5141-2025 FSC-klagomål mail.docx", "A 5141-2025")</f>
        <v/>
      </c>
      <c r="AC3">
        <f>HYPERLINK("https://klasma.github.io/Logging_1493/tillsyn/A 5141-2025 tillsynsbegäran.docx", "A 5141-2025")</f>
        <v/>
      </c>
      <c r="AD3">
        <f>HYPERLINK("https://klasma.github.io/Logging_1493/tillsynsmail/A 5141-2025 tillsynsbegäran mail.docx", "A 5141-2025")</f>
        <v/>
      </c>
      <c r="AE3">
        <f>HYPERLINK("https://klasma.github.io/Logging_1493/fåglar/A 5141-2025 prioriterade fågelarter.docx", "A 5141-2025")</f>
        <v/>
      </c>
    </row>
    <row r="4" ht="15" customHeight="1">
      <c r="A4" t="inlineStr">
        <is>
          <t>A 631-2025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45664</v>
      </c>
      <c r="E4" s="1" t="n">
        <v>46314</v>
      </c>
      <c r="F4" t="inlineStr">
        <is>
          <t>VÄSTRA GÖTALANDS LÄN</t>
        </is>
      </c>
      <c r="G4" t="inlineStr">
        <is>
          <t>MARIESTAD</t>
        </is>
      </c>
      <c r="I4" t="n">
        <v>2.5</v>
      </c>
      <c r="J4" t="n">
        <v>5</v>
      </c>
      <c r="K4" t="n">
        <v>0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4</v>
      </c>
      <c r="R4" t="n">
        <v>3</v>
      </c>
      <c r="S4" t="n">
        <v>6</v>
      </c>
      <c r="T4" t="n">
        <v>19</v>
      </c>
      <c r="U4" t="n">
        <v>0</v>
      </c>
      <c r="V4" s="2" t="inlineStr">
        <is>
          <t>Grönfink
Knärot
Ryl
Mindre hackspett
Nattskärra
Revlummer</t>
        </is>
      </c>
      <c r="W4">
        <f>HYPERLINK("https://klasma.github.io/Logging_1493/artfynd/A 631-2025 artfynd.xlsx", "A 631-2025")</f>
        <v/>
      </c>
      <c r="X4">
        <f>HYPERLINK("https://klasma.github.io/Logging_1493/kartor/A 631-2025 karta.png", "A 631-2025")</f>
        <v/>
      </c>
      <c r="Y4">
        <f>HYPERLINK("https://klasma.github.io/Logging_1493/kartor_geotiff/A 631-2025 georefererad karta.tif", "A 631-2025")</f>
        <v/>
      </c>
      <c r="Z4">
        <f>HYPERLINK("https://klasma.github.io/Logging_1493/knärot/A 631-2025 karta knärot.png", "A 631-2025")</f>
        <v/>
      </c>
      <c r="AA4">
        <f>HYPERLINK("https://klasma.github.io/Logging_1493/klagomål/A 631-2025 FSC-klagomål.docx", "A 631-2025")</f>
        <v/>
      </c>
      <c r="AB4">
        <f>HYPERLINK("https://klasma.github.io/Logging_1493/klagomålsmail/A 631-2025 FSC-klagomål mail.docx", "A 631-2025")</f>
        <v/>
      </c>
      <c r="AC4">
        <f>HYPERLINK("https://klasma.github.io/Logging_1493/tillsyn/A 631-2025 tillsynsbegäran.docx", "A 631-2025")</f>
        <v/>
      </c>
      <c r="AD4">
        <f>HYPERLINK("https://klasma.github.io/Logging_1493/tillsynsmail/A 631-2025 tillsynsbegäran mail.docx", "A 631-2025")</f>
        <v/>
      </c>
      <c r="AE4">
        <f>HYPERLINK("https://klasma.github.io/Logging_1493/fåglar/A 631-2025 prioriterade fågelarter.docx", "A 631-2025")</f>
        <v/>
      </c>
    </row>
    <row r="5" ht="15" customHeight="1">
      <c r="A5" t="inlineStr">
        <is>
          <t>S 2401-2026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46279</v>
      </c>
      <c r="E5" s="1" t="n">
        <v>46314</v>
      </c>
      <c r="F5" t="inlineStr">
        <is>
          <t>VÄSTRA GÖTALANDS LÄN</t>
        </is>
      </c>
      <c r="G5" t="inlineStr">
        <is>
          <t>MARIESTAD</t>
        </is>
      </c>
      <c r="I5" t="n">
        <v>4.9</v>
      </c>
      <c r="J5" t="n">
        <v>1</v>
      </c>
      <c r="K5" t="n">
        <v>2</v>
      </c>
      <c r="L5" t="n">
        <v>0</v>
      </c>
      <c r="M5" t="n">
        <v>1</v>
      </c>
      <c r="N5" t="n">
        <v>2</v>
      </c>
      <c r="O5" t="n">
        <v>0</v>
      </c>
      <c r="P5" t="n">
        <v>0</v>
      </c>
      <c r="Q5" t="n">
        <v>3</v>
      </c>
      <c r="R5" t="n">
        <v>3</v>
      </c>
      <c r="S5" t="n">
        <v>6</v>
      </c>
      <c r="T5" t="n">
        <v>7</v>
      </c>
      <c r="U5" t="n">
        <v>0</v>
      </c>
      <c r="V5" s="2" t="inlineStr">
        <is>
          <t>Ask
Skogsalm
Solfingersvamp
Barkticka
Platt fjädermossa
Blåsippa</t>
        </is>
      </c>
      <c r="W5">
        <f>HYPERLINK("https://klasma.github.io/Logging_1493/artfynd/S 2401-2026 artfynd.xlsx", "S 2401-2026")</f>
        <v/>
      </c>
      <c r="X5">
        <f>HYPERLINK("https://klasma.github.io/Logging_1493/kartor/S 2401-2026 karta.png", "S 2401-2026")</f>
        <v/>
      </c>
      <c r="Y5">
        <f>HYPERLINK("https://klasma.github.io/Logging_1493/kartor_geotiff/S 2401-2026 georefererad karta.tif", "S 2401-2026")</f>
        <v/>
      </c>
      <c r="AA5">
        <f>HYPERLINK("https://klasma.github.io/Logging_1493/klagomål/S 2401-2026 FSC-klagomål.docx", "S 2401-2026")</f>
        <v/>
      </c>
      <c r="AB5">
        <f>HYPERLINK("https://klasma.github.io/Logging_1493/klagomålsmail/S 2401-2026 FSC-klagomål mail.docx", "S 2401-2026")</f>
        <v/>
      </c>
      <c r="AC5">
        <f>HYPERLINK("https://klasma.github.io/Logging_1493/tillsyn/S 2401-2026 tillsynsbegäran.docx", "S 2401-2026")</f>
        <v/>
      </c>
      <c r="AD5">
        <f>HYPERLINK("https://klasma.github.io/Logging_1493/tillsynsmail/S 2401-2026 tillsynsbegäran mail.docx", "S 2401-2026")</f>
        <v/>
      </c>
    </row>
    <row r="6" ht="15" customHeight="1">
      <c r="A6" t="inlineStr">
        <is>
          <t>A 8319-2025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45708</v>
      </c>
      <c r="E6" s="1" t="n">
        <v>46314</v>
      </c>
      <c r="F6" t="inlineStr">
        <is>
          <t>VÄSTRA GÖTALANDS LÄN</t>
        </is>
      </c>
      <c r="G6" t="inlineStr">
        <is>
          <t>MARIESTAD</t>
        </is>
      </c>
      <c r="I6" t="n">
        <v>4.5</v>
      </c>
      <c r="J6" t="n">
        <v>4</v>
      </c>
      <c r="K6" t="n">
        <v>0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5</v>
      </c>
      <c r="T6" t="n">
        <v>6</v>
      </c>
      <c r="U6" t="n">
        <v>0</v>
      </c>
      <c r="V6" s="2" t="inlineStr">
        <is>
          <t>Igelkott
Järnsparv
Talltita
Spillkråka
Kungsfågel</t>
        </is>
      </c>
      <c r="W6">
        <f>HYPERLINK("https://klasma.github.io/Logging_1493/artfynd/A 8319-2025 artfynd.xlsx", "A 8319-2025")</f>
        <v/>
      </c>
      <c r="X6">
        <f>HYPERLINK("https://klasma.github.io/Logging_1493/kartor/A 8319-2025 karta.png", "A 8319-2025")</f>
        <v/>
      </c>
      <c r="Y6">
        <f>HYPERLINK("https://klasma.github.io/Logging_1493/kartor_geotiff/A 8319-2025 georefererad karta.tif", "A 8319-2025")</f>
        <v/>
      </c>
      <c r="AA6">
        <f>HYPERLINK("https://klasma.github.io/Logging_1493/klagomål/A 8319-2025 FSC-klagomål.docx", "A 8319-2025")</f>
        <v/>
      </c>
      <c r="AB6">
        <f>HYPERLINK("https://klasma.github.io/Logging_1493/klagomålsmail/A 8319-2025 FSC-klagomål mail.docx", "A 8319-2025")</f>
        <v/>
      </c>
      <c r="AC6">
        <f>HYPERLINK("https://klasma.github.io/Logging_1493/tillsyn/A 8319-2025 tillsynsbegäran.docx", "A 8319-2025")</f>
        <v/>
      </c>
      <c r="AD6">
        <f>HYPERLINK("https://klasma.github.io/Logging_1493/tillsynsmail/A 8319-2025 tillsynsbegäran mail.docx", "A 8319-2025")</f>
        <v/>
      </c>
      <c r="AE6">
        <f>HYPERLINK("https://klasma.github.io/Logging_1493/fåglar/A 8319-2025 prioriterade fågelarter.docx", "A 8319-2025")</f>
        <v/>
      </c>
    </row>
    <row r="7" ht="15" customHeight="1">
      <c r="A7" t="inlineStr">
        <is>
          <t>A 13606-2022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44648</v>
      </c>
      <c r="E7" s="1" t="n">
        <v>46314</v>
      </c>
      <c r="F7" t="inlineStr">
        <is>
          <t>VÄSTRA GÖTALANDS LÄN</t>
        </is>
      </c>
      <c r="G7" t="inlineStr">
        <is>
          <t>MARIESTAD</t>
        </is>
      </c>
      <c r="I7" t="n">
        <v>1.8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4</v>
      </c>
      <c r="U7" t="n">
        <v>3</v>
      </c>
      <c r="V7" s="2" t="inlineStr">
        <is>
          <t>Större vattensalamander
Mindre vattensalamander
Vanlig padda</t>
        </is>
      </c>
      <c r="W7">
        <f>HYPERLINK("https://klasma.github.io/Logging_1493/artfynd/A 13606-2022 artfynd.xlsx", "A 13606-2022")</f>
        <v/>
      </c>
      <c r="X7">
        <f>HYPERLINK("https://klasma.github.io/Logging_1493/kartor/A 13606-2022 karta.png", "A 13606-2022")</f>
        <v/>
      </c>
      <c r="Y7">
        <f>HYPERLINK("https://klasma.github.io/Logging_1493/kartor_geotiff/A 13606-2022 georefererad karta.tif", "A 13606-2022")</f>
        <v/>
      </c>
      <c r="AA7">
        <f>HYPERLINK("https://klasma.github.io/Logging_1493/klagomål/A 13606-2022 FSC-klagomål.docx", "A 13606-2022")</f>
        <v/>
      </c>
      <c r="AB7">
        <f>HYPERLINK("https://klasma.github.io/Logging_1493/klagomålsmail/A 13606-2022 FSC-klagomål mail.docx", "A 13606-2022")</f>
        <v/>
      </c>
      <c r="AC7">
        <f>HYPERLINK("https://klasma.github.io/Logging_1493/tillsyn/A 13606-2022 tillsynsbegäran.docx", "A 13606-2022")</f>
        <v/>
      </c>
      <c r="AD7">
        <f>HYPERLINK("https://klasma.github.io/Logging_1493/tillsynsmail/A 13606-2022 tillsynsbegäran mail.docx", "A 13606-2022")</f>
        <v/>
      </c>
    </row>
    <row r="8" ht="15" customHeight="1">
      <c r="A8" t="inlineStr">
        <is>
          <t>A 2769-2022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44581</v>
      </c>
      <c r="E8" s="1" t="n">
        <v>46314</v>
      </c>
      <c r="F8" t="inlineStr">
        <is>
          <t>VÄSTRA GÖTALANDS LÄN</t>
        </is>
      </c>
      <c r="G8" t="inlineStr">
        <is>
          <t>MARIESTAD</t>
        </is>
      </c>
      <c r="H8" t="inlineStr">
        <is>
          <t>Sveaskog</t>
        </is>
      </c>
      <c r="I8" t="n">
        <v>4.7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2</v>
      </c>
      <c r="U8" t="n">
        <v>2</v>
      </c>
      <c r="V8" s="2" t="inlineStr">
        <is>
          <t>Tallticka
Blodticka</t>
        </is>
      </c>
      <c r="W8">
        <f>HYPERLINK("https://klasma.github.io/Logging_1493/artfynd/A 2769-2022 artfynd.xlsx", "A 2769-2022")</f>
        <v/>
      </c>
      <c r="X8">
        <f>HYPERLINK("https://klasma.github.io/Logging_1493/kartor/A 2769-2022 karta.png", "A 2769-2022")</f>
        <v/>
      </c>
      <c r="Y8">
        <f>HYPERLINK("https://klasma.github.io/Logging_1493/kartor_geotiff/A 2769-2022 georefererad karta.tif", "A 2769-2022")</f>
        <v/>
      </c>
      <c r="AA8">
        <f>HYPERLINK("https://klasma.github.io/Logging_1493/klagomål/A 2769-2022 FSC-klagomål.docx", "A 2769-2022")</f>
        <v/>
      </c>
      <c r="AB8">
        <f>HYPERLINK("https://klasma.github.io/Logging_1493/klagomålsmail/A 2769-2022 FSC-klagomål mail.docx", "A 2769-2022")</f>
        <v/>
      </c>
      <c r="AC8">
        <f>HYPERLINK("https://klasma.github.io/Logging_1493/tillsyn/A 2769-2022 tillsynsbegäran.docx", "A 2769-2022")</f>
        <v/>
      </c>
      <c r="AD8">
        <f>HYPERLINK("https://klasma.github.io/Logging_1493/tillsynsmail/A 2769-2022 tillsynsbegäran mail.docx", "A 2769-2022")</f>
        <v/>
      </c>
    </row>
    <row r="9" ht="15" customHeight="1">
      <c r="A9" t="inlineStr">
        <is>
          <t>A 8262-2022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44610</v>
      </c>
      <c r="E9" s="1" t="n">
        <v>46314</v>
      </c>
      <c r="F9" t="inlineStr">
        <is>
          <t>VÄSTRA GÖTALANDS LÄN</t>
        </is>
      </c>
      <c r="G9" t="inlineStr">
        <is>
          <t>MARIESTAD</t>
        </is>
      </c>
      <c r="I9" t="n">
        <v>0.9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3</v>
      </c>
      <c r="U9" t="n">
        <v>3</v>
      </c>
      <c r="V9" s="2" t="inlineStr">
        <is>
          <t>Gulsparv
Kungsfågel</t>
        </is>
      </c>
      <c r="W9">
        <f>HYPERLINK("https://klasma.github.io/Logging_1493/artfynd/A 8262-2022 artfynd.xlsx", "A 8262-2022")</f>
        <v/>
      </c>
      <c r="X9">
        <f>HYPERLINK("https://klasma.github.io/Logging_1493/kartor/A 8262-2022 karta.png", "A 8262-2022")</f>
        <v/>
      </c>
      <c r="Y9">
        <f>HYPERLINK("https://klasma.github.io/Logging_1493/kartor_geotiff/A 8262-2022 georefererad karta.tif", "A 8262-2022")</f>
        <v/>
      </c>
      <c r="AA9">
        <f>HYPERLINK("https://klasma.github.io/Logging_1493/klagomål/A 8262-2022 FSC-klagomål.docx", "A 8262-2022")</f>
        <v/>
      </c>
      <c r="AB9">
        <f>HYPERLINK("https://klasma.github.io/Logging_1493/klagomålsmail/A 8262-2022 FSC-klagomål mail.docx", "A 8262-2022")</f>
        <v/>
      </c>
      <c r="AC9">
        <f>HYPERLINK("https://klasma.github.io/Logging_1493/tillsyn/A 8262-2022 tillsynsbegäran.docx", "A 8262-2022")</f>
        <v/>
      </c>
      <c r="AD9">
        <f>HYPERLINK("https://klasma.github.io/Logging_1493/tillsynsmail/A 8262-2022 tillsynsbegäran mail.docx", "A 8262-2022")</f>
        <v/>
      </c>
      <c r="AE9">
        <f>HYPERLINK("https://klasma.github.io/Logging_1493/fåglar/A 8262-2022 prioriterade fågelarter.docx", "A 8262-2022")</f>
        <v/>
      </c>
    </row>
    <row r="10" ht="15" customHeight="1">
      <c r="A10" t="inlineStr">
        <is>
          <t>A 27444-2023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45097</v>
      </c>
      <c r="E10" s="1" t="n">
        <v>46314</v>
      </c>
      <c r="F10" t="inlineStr">
        <is>
          <t>VÄSTRA GÖTALANDS LÄN</t>
        </is>
      </c>
      <c r="G10" t="inlineStr">
        <is>
          <t>MARIESTAD</t>
        </is>
      </c>
      <c r="I10" t="n">
        <v>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3</v>
      </c>
      <c r="U10" t="n">
        <v>3</v>
      </c>
      <c r="V10" s="2" t="inlineStr">
        <is>
          <t>Svinrot
Gullviva</t>
        </is>
      </c>
      <c r="W10">
        <f>HYPERLINK("https://klasma.github.io/Logging_1493/artfynd/A 27444-2023 artfynd.xlsx", "A 27444-2023")</f>
        <v/>
      </c>
      <c r="X10">
        <f>HYPERLINK("https://klasma.github.io/Logging_1493/kartor/A 27444-2023 karta.png", "A 27444-2023")</f>
        <v/>
      </c>
      <c r="Y10">
        <f>HYPERLINK("https://klasma.github.io/Logging_1493/kartor_geotiff/A 27444-2023 georefererad karta.tif", "A 27444-2023")</f>
        <v/>
      </c>
      <c r="AA10">
        <f>HYPERLINK("https://klasma.github.io/Logging_1493/klagomål/A 27444-2023 FSC-klagomål.docx", "A 27444-2023")</f>
        <v/>
      </c>
      <c r="AB10">
        <f>HYPERLINK("https://klasma.github.io/Logging_1493/klagomålsmail/A 27444-2023 FSC-klagomål mail.docx", "A 27444-2023")</f>
        <v/>
      </c>
      <c r="AC10">
        <f>HYPERLINK("https://klasma.github.io/Logging_1493/tillsyn/A 27444-2023 tillsynsbegäran.docx", "A 27444-2023")</f>
        <v/>
      </c>
      <c r="AD10">
        <f>HYPERLINK("https://klasma.github.io/Logging_1493/tillsynsmail/A 27444-2023 tillsynsbegäran mail.docx", "A 27444-2023")</f>
        <v/>
      </c>
    </row>
    <row r="11" ht="15" customHeight="1">
      <c r="A11" t="inlineStr">
        <is>
          <t>A 47764-2023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45203</v>
      </c>
      <c r="E11" s="1" t="n">
        <v>46314</v>
      </c>
      <c r="F11" t="inlineStr">
        <is>
          <t>VÄSTRA GÖTALANDS LÄN</t>
        </is>
      </c>
      <c r="G11" t="inlineStr">
        <is>
          <t>MARIESTAD</t>
        </is>
      </c>
      <c r="I11" t="n">
        <v>0.7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Blåsippa
Gullviva</t>
        </is>
      </c>
      <c r="W11">
        <f>HYPERLINK("https://klasma.github.io/Logging_1493/artfynd/A 47764-2023 artfynd.xlsx", "A 47764-2023")</f>
        <v/>
      </c>
      <c r="X11">
        <f>HYPERLINK("https://klasma.github.io/Logging_1493/kartor/A 47764-2023 karta.png", "A 47764-2023")</f>
        <v/>
      </c>
      <c r="Y11">
        <f>HYPERLINK("https://klasma.github.io/Logging_1493/kartor_geotiff/A 47764-2023 georefererad karta.tif", "A 47764-2023")</f>
        <v/>
      </c>
      <c r="AA11">
        <f>HYPERLINK("https://klasma.github.io/Logging_1493/klagomål/A 47764-2023 FSC-klagomål.docx", "A 47764-2023")</f>
        <v/>
      </c>
      <c r="AB11">
        <f>HYPERLINK("https://klasma.github.io/Logging_1493/klagomålsmail/A 47764-2023 FSC-klagomål mail.docx", "A 47764-2023")</f>
        <v/>
      </c>
      <c r="AC11">
        <f>HYPERLINK("https://klasma.github.io/Logging_1493/tillsyn/A 47764-2023 tillsynsbegäran.docx", "A 47764-2023")</f>
        <v/>
      </c>
      <c r="AD11">
        <f>HYPERLINK("https://klasma.github.io/Logging_1493/tillsynsmail/A 47764-2023 tillsynsbegäran mail.docx", "A 47764-2023")</f>
        <v/>
      </c>
    </row>
    <row r="12" ht="15" customHeight="1">
      <c r="A12" t="inlineStr">
        <is>
          <t>A 67507-2021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44524</v>
      </c>
      <c r="E12" s="1" t="n">
        <v>46314</v>
      </c>
      <c r="F12" t="inlineStr">
        <is>
          <t>VÄSTRA GÖTALANDS LÄN</t>
        </is>
      </c>
      <c r="G12" t="inlineStr">
        <is>
          <t>MARIESTAD</t>
        </is>
      </c>
      <c r="H12" t="inlineStr">
        <is>
          <t>Sveaskog</t>
        </is>
      </c>
      <c r="I12" t="n">
        <v>23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Brandticka
Vågbandad barkbock</t>
        </is>
      </c>
      <c r="W12">
        <f>HYPERLINK("https://klasma.github.io/Logging_1493/artfynd/A 67507-2021 artfynd.xlsx", "A 67507-2021")</f>
        <v/>
      </c>
      <c r="X12">
        <f>HYPERLINK("https://klasma.github.io/Logging_1493/kartor/A 67507-2021 karta.png", "A 67507-2021")</f>
        <v/>
      </c>
      <c r="Y12">
        <f>HYPERLINK("https://klasma.github.io/Logging_1493/kartor_geotiff/A 67507-2021 georefererad karta.tif", "A 67507-2021")</f>
        <v/>
      </c>
      <c r="AA12">
        <f>HYPERLINK("https://klasma.github.io/Logging_1493/klagomål/A 67507-2021 FSC-klagomål.docx", "A 67507-2021")</f>
        <v/>
      </c>
      <c r="AB12">
        <f>HYPERLINK("https://klasma.github.io/Logging_1493/klagomålsmail/A 67507-2021 FSC-klagomål mail.docx", "A 67507-2021")</f>
        <v/>
      </c>
      <c r="AC12">
        <f>HYPERLINK("https://klasma.github.io/Logging_1493/tillsyn/A 67507-2021 tillsynsbegäran.docx", "A 67507-2021")</f>
        <v/>
      </c>
      <c r="AD12">
        <f>HYPERLINK("https://klasma.github.io/Logging_1493/tillsynsmail/A 67507-2021 tillsynsbegäran mail.docx", "A 67507-2021")</f>
        <v/>
      </c>
    </row>
    <row r="13" ht="15" customHeight="1">
      <c r="A13" t="inlineStr">
        <is>
          <t>A 53880-2022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44880</v>
      </c>
      <c r="E13" s="1" t="n">
        <v>46314</v>
      </c>
      <c r="F13" t="inlineStr">
        <is>
          <t>VÄSTRA GÖTALANDS LÄN</t>
        </is>
      </c>
      <c r="G13" t="inlineStr">
        <is>
          <t>MARIESTAD</t>
        </is>
      </c>
      <c r="I13" t="n">
        <v>2.2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2</v>
      </c>
      <c r="T13" t="n">
        <v>3</v>
      </c>
      <c r="U13" t="n">
        <v>2</v>
      </c>
      <c r="V13" s="2" t="inlineStr">
        <is>
          <t>Igelkott
Svinrot</t>
        </is>
      </c>
      <c r="W13">
        <f>HYPERLINK("https://klasma.github.io/Logging_1493/artfynd/A 53880-2022 artfynd.xlsx", "A 53880-2022")</f>
        <v/>
      </c>
      <c r="X13">
        <f>HYPERLINK("https://klasma.github.io/Logging_1493/kartor/A 53880-2022 karta.png", "A 53880-2022")</f>
        <v/>
      </c>
      <c r="Y13">
        <f>HYPERLINK("https://klasma.github.io/Logging_1493/kartor_geotiff/A 53880-2022 georefererad karta.tif", "A 53880-2022")</f>
        <v/>
      </c>
      <c r="AA13">
        <f>HYPERLINK("https://klasma.github.io/Logging_1493/klagomål/A 53880-2022 FSC-klagomål.docx", "A 53880-2022")</f>
        <v/>
      </c>
      <c r="AB13">
        <f>HYPERLINK("https://klasma.github.io/Logging_1493/klagomålsmail/A 53880-2022 FSC-klagomål mail.docx", "A 53880-2022")</f>
        <v/>
      </c>
      <c r="AC13">
        <f>HYPERLINK("https://klasma.github.io/Logging_1493/tillsyn/A 53880-2022 tillsynsbegäran.docx", "A 53880-2022")</f>
        <v/>
      </c>
      <c r="AD13">
        <f>HYPERLINK("https://klasma.github.io/Logging_1493/tillsynsmail/A 53880-2022 tillsynsbegäran mail.docx", "A 53880-2022")</f>
        <v/>
      </c>
    </row>
    <row r="14" ht="15" customHeight="1">
      <c r="A14" t="inlineStr">
        <is>
          <t>A 63287-2025</t>
        </is>
      </c>
      <c r="B14" t="inlineStr">
        <is>
          <t>avverkningsanmälan</t>
        </is>
      </c>
      <c r="C14" t="inlineStr">
        <is>
          <t>Avverkning för att bevara och utveckla /försöksver</t>
        </is>
      </c>
      <c r="D14" s="1" t="n">
        <v>46009</v>
      </c>
      <c r="E14" s="1" t="n">
        <v>46314</v>
      </c>
      <c r="F14" t="inlineStr">
        <is>
          <t>VÄSTRA GÖTALANDS LÄN</t>
        </is>
      </c>
      <c r="G14" t="inlineStr">
        <is>
          <t>MARIESTAD</t>
        </is>
      </c>
      <c r="H14" t="inlineStr">
        <is>
          <t>Kyrkan</t>
        </is>
      </c>
      <c r="I14" t="n">
        <v>0.3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1</v>
      </c>
      <c r="S14" t="n">
        <v>2</v>
      </c>
      <c r="T14" t="n">
        <v>2</v>
      </c>
      <c r="U14" t="n">
        <v>1</v>
      </c>
      <c r="V14" s="2" t="inlineStr">
        <is>
          <t>Ask
Tallticka</t>
        </is>
      </c>
      <c r="W14">
        <f>HYPERLINK("https://klasma.github.io/Logging_1493/artfynd/A 63287-2025 artfynd.xlsx", "A 63287-2025")</f>
        <v/>
      </c>
      <c r="X14">
        <f>HYPERLINK("https://klasma.github.io/Logging_1493/kartor/A 63287-2025 karta.png", "A 63287-2025")</f>
        <v/>
      </c>
      <c r="Y14">
        <f>HYPERLINK("https://klasma.github.io/Logging_1493/kartor_geotiff/A 63287-2025 georefererad karta.tif", "A 63287-2025")</f>
        <v/>
      </c>
      <c r="AA14">
        <f>HYPERLINK("https://klasma.github.io/Logging_1493/klagomål/A 63287-2025 FSC-klagomål.docx", "A 63287-2025")</f>
        <v/>
      </c>
      <c r="AB14">
        <f>HYPERLINK("https://klasma.github.io/Logging_1493/klagomålsmail/A 63287-2025 FSC-klagomål mail.docx", "A 63287-2025")</f>
        <v/>
      </c>
      <c r="AC14">
        <f>HYPERLINK("https://klasma.github.io/Logging_1493/tillsyn/A 63287-2025 tillsynsbegäran.docx", "A 63287-2025")</f>
        <v/>
      </c>
      <c r="AD14">
        <f>HYPERLINK("https://klasma.github.io/Logging_1493/tillsynsmail/A 63287-2025 tillsynsbegäran mail.docx", "A 63287-2025")</f>
        <v/>
      </c>
    </row>
    <row r="15" ht="15" customHeight="1">
      <c r="A15" t="inlineStr">
        <is>
          <t>A 5162-2024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45330</v>
      </c>
      <c r="E15" s="1" t="n">
        <v>46314</v>
      </c>
      <c r="F15" t="inlineStr">
        <is>
          <t>VÄSTRA GÖTALANDS LÄN</t>
        </is>
      </c>
      <c r="G15" t="inlineStr">
        <is>
          <t>MARIESTAD</t>
        </is>
      </c>
      <c r="I15" t="n">
        <v>0.5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Större brunfladdermus
Revlummer</t>
        </is>
      </c>
      <c r="W15">
        <f>HYPERLINK("https://klasma.github.io/Logging_1493/artfynd/A 5162-2024 artfynd.xlsx", "A 5162-2024")</f>
        <v/>
      </c>
      <c r="X15">
        <f>HYPERLINK("https://klasma.github.io/Logging_1493/kartor/A 5162-2024 karta.png", "A 5162-2024")</f>
        <v/>
      </c>
      <c r="Y15">
        <f>HYPERLINK("https://klasma.github.io/Logging_1493/kartor_geotiff/A 5162-2024 georefererad karta.tif", "A 5162-2024")</f>
        <v/>
      </c>
      <c r="AA15">
        <f>HYPERLINK("https://klasma.github.io/Logging_1493/klagomål/A 5162-2024 FSC-klagomål.docx", "A 5162-2024")</f>
        <v/>
      </c>
      <c r="AB15">
        <f>HYPERLINK("https://klasma.github.io/Logging_1493/klagomålsmail/A 5162-2024 FSC-klagomål mail.docx", "A 5162-2024")</f>
        <v/>
      </c>
      <c r="AC15">
        <f>HYPERLINK("https://klasma.github.io/Logging_1493/tillsyn/A 5162-2024 tillsynsbegäran.docx", "A 5162-2024")</f>
        <v/>
      </c>
      <c r="AD15">
        <f>HYPERLINK("https://klasma.github.io/Logging_1493/tillsynsmail/A 5162-2024 tillsynsbegäran mail.docx", "A 5162-2024")</f>
        <v/>
      </c>
    </row>
    <row r="16" ht="15" customHeight="1">
      <c r="A16" t="inlineStr">
        <is>
          <t>A 11073-2022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44628</v>
      </c>
      <c r="E16" s="1" t="n">
        <v>46314</v>
      </c>
      <c r="F16" t="inlineStr">
        <is>
          <t>VÄSTRA GÖTALANDS LÄN</t>
        </is>
      </c>
      <c r="G16" t="inlineStr">
        <is>
          <t>MARIESTAD</t>
        </is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2</v>
      </c>
      <c r="V16" s="2" t="inlineStr">
        <is>
          <t>Spillkråka
Skogsduva</t>
        </is>
      </c>
      <c r="W16">
        <f>HYPERLINK("https://klasma.github.io/Logging_1493/artfynd/A 11073-2022 artfynd.xlsx", "A 11073-2022")</f>
        <v/>
      </c>
      <c r="X16">
        <f>HYPERLINK("https://klasma.github.io/Logging_1493/kartor/A 11073-2022 karta.png", "A 11073-2022")</f>
        <v/>
      </c>
      <c r="Y16">
        <f>HYPERLINK("https://klasma.github.io/Logging_1493/kartor_geotiff/A 11073-2022 georefererad karta.tif", "A 11073-2022")</f>
        <v/>
      </c>
      <c r="AA16">
        <f>HYPERLINK("https://klasma.github.io/Logging_1493/klagomål/A 11073-2022 FSC-klagomål.docx", "A 11073-2022")</f>
        <v/>
      </c>
      <c r="AB16">
        <f>HYPERLINK("https://klasma.github.io/Logging_1493/klagomålsmail/A 11073-2022 FSC-klagomål mail.docx", "A 11073-2022")</f>
        <v/>
      </c>
      <c r="AC16">
        <f>HYPERLINK("https://klasma.github.io/Logging_1493/tillsyn/A 11073-2022 tillsynsbegäran.docx", "A 11073-2022")</f>
        <v/>
      </c>
      <c r="AD16">
        <f>HYPERLINK("https://klasma.github.io/Logging_1493/tillsynsmail/A 11073-2022 tillsynsbegäran mail.docx", "A 11073-2022")</f>
        <v/>
      </c>
      <c r="AE16">
        <f>HYPERLINK("https://klasma.github.io/Logging_1493/fåglar/A 11073-2022 prioriterade fågelarter.docx", "A 11073-2022")</f>
        <v/>
      </c>
    </row>
    <row r="17" ht="15" customHeight="1">
      <c r="A17" t="inlineStr">
        <is>
          <t>A 50053-2023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45215</v>
      </c>
      <c r="E17" s="1" t="n">
        <v>46314</v>
      </c>
      <c r="F17" t="inlineStr">
        <is>
          <t>VÄSTRA GÖTALANDS LÄN</t>
        </is>
      </c>
      <c r="G17" t="inlineStr">
        <is>
          <t>MARIESTAD</t>
        </is>
      </c>
      <c r="I17" t="n">
        <v>1.9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2</v>
      </c>
      <c r="U17" t="n">
        <v>0</v>
      </c>
      <c r="V17" s="2" t="inlineStr">
        <is>
          <t>Knärot
Grovticka</t>
        </is>
      </c>
      <c r="W17">
        <f>HYPERLINK("https://klasma.github.io/Logging_1493/artfynd/A 50053-2023 artfynd.xlsx", "A 50053-2023")</f>
        <v/>
      </c>
      <c r="X17">
        <f>HYPERLINK("https://klasma.github.io/Logging_1493/kartor/A 50053-2023 karta.png", "A 50053-2023")</f>
        <v/>
      </c>
      <c r="Y17">
        <f>HYPERLINK("https://klasma.github.io/Logging_1493/kartor_geotiff/A 50053-2023 georefererad karta.tif", "A 50053-2023")</f>
        <v/>
      </c>
      <c r="Z17">
        <f>HYPERLINK("https://klasma.github.io/Logging_1493/knärot/A 50053-2023 karta knärot.png", "A 50053-2023")</f>
        <v/>
      </c>
      <c r="AA17">
        <f>HYPERLINK("https://klasma.github.io/Logging_1493/klagomål/A 50053-2023 FSC-klagomål.docx", "A 50053-2023")</f>
        <v/>
      </c>
      <c r="AB17">
        <f>HYPERLINK("https://klasma.github.io/Logging_1493/klagomålsmail/A 50053-2023 FSC-klagomål mail.docx", "A 50053-2023")</f>
        <v/>
      </c>
      <c r="AC17">
        <f>HYPERLINK("https://klasma.github.io/Logging_1493/tillsyn/A 50053-2023 tillsynsbegäran.docx", "A 50053-2023")</f>
        <v/>
      </c>
      <c r="AD17">
        <f>HYPERLINK("https://klasma.github.io/Logging_1493/tillsynsmail/A 50053-2023 tillsynsbegäran mail.docx", "A 50053-2023")</f>
        <v/>
      </c>
    </row>
    <row r="18" ht="15" customHeight="1">
      <c r="A18" t="inlineStr">
        <is>
          <t>A 21503-2024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45441</v>
      </c>
      <c r="E18" s="1" t="n">
        <v>46314</v>
      </c>
      <c r="F18" t="inlineStr">
        <is>
          <t>VÄSTRA GÖTALANDS LÄN</t>
        </is>
      </c>
      <c r="G18" t="inlineStr">
        <is>
          <t>MARIESTAD</t>
        </is>
      </c>
      <c r="H18" t="inlineStr">
        <is>
          <t>Kommuner</t>
        </is>
      </c>
      <c r="I18" t="n">
        <v>3.3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Krusfrö
Svinrot</t>
        </is>
      </c>
      <c r="W18">
        <f>HYPERLINK("https://klasma.github.io/Logging_1493/artfynd/A 21503-2024 artfynd.xlsx", "A 21503-2024")</f>
        <v/>
      </c>
      <c r="X18">
        <f>HYPERLINK("https://klasma.github.io/Logging_1493/kartor/A 21503-2024 karta.png", "A 21503-2024")</f>
        <v/>
      </c>
      <c r="Y18">
        <f>HYPERLINK("https://klasma.github.io/Logging_1493/kartor_geotiff/A 21503-2024 georefererad karta.tif", "A 21503-2024")</f>
        <v/>
      </c>
      <c r="AA18">
        <f>HYPERLINK("https://klasma.github.io/Logging_1493/klagomål/A 21503-2024 FSC-klagomål.docx", "A 21503-2024")</f>
        <v/>
      </c>
      <c r="AB18">
        <f>HYPERLINK("https://klasma.github.io/Logging_1493/klagomålsmail/A 21503-2024 FSC-klagomål mail.docx", "A 21503-2024")</f>
        <v/>
      </c>
      <c r="AC18">
        <f>HYPERLINK("https://klasma.github.io/Logging_1493/tillsyn/A 21503-2024 tillsynsbegäran.docx", "A 21503-2024")</f>
        <v/>
      </c>
      <c r="AD18">
        <f>HYPERLINK("https://klasma.github.io/Logging_1493/tillsynsmail/A 21503-2024 tillsynsbegäran mail.docx", "A 21503-2024")</f>
        <v/>
      </c>
    </row>
    <row r="19" ht="15" customHeight="1">
      <c r="A19" t="inlineStr">
        <is>
          <t>A 14947-2023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45015</v>
      </c>
      <c r="E19" s="1" t="n">
        <v>46314</v>
      </c>
      <c r="F19" t="inlineStr">
        <is>
          <t>VÄSTRA GÖTALANDS LÄN</t>
        </is>
      </c>
      <c r="G19" t="inlineStr">
        <is>
          <t>MARIESTAD</t>
        </is>
      </c>
      <c r="I19" t="n">
        <v>1.9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5</v>
      </c>
      <c r="U19" t="n">
        <v>0</v>
      </c>
      <c r="V19" s="2" t="inlineStr">
        <is>
          <t>Knärot
Grönpyrola</t>
        </is>
      </c>
      <c r="W19">
        <f>HYPERLINK("https://klasma.github.io/Logging_1493/artfynd/A 14947-2023 artfynd.xlsx", "A 14947-2023")</f>
        <v/>
      </c>
      <c r="X19">
        <f>HYPERLINK("https://klasma.github.io/Logging_1493/kartor/A 14947-2023 karta.png", "A 14947-2023")</f>
        <v/>
      </c>
      <c r="Y19">
        <f>HYPERLINK("https://klasma.github.io/Logging_1493/kartor_geotiff/A 14947-2023 georefererad karta.tif", "A 14947-2023")</f>
        <v/>
      </c>
      <c r="Z19">
        <f>HYPERLINK("https://klasma.github.io/Logging_1493/knärot/A 14947-2023 karta knärot.png", "A 14947-2023")</f>
        <v/>
      </c>
      <c r="AA19">
        <f>HYPERLINK("https://klasma.github.io/Logging_1493/klagomål/A 14947-2023 FSC-klagomål.docx", "A 14947-2023")</f>
        <v/>
      </c>
      <c r="AB19">
        <f>HYPERLINK("https://klasma.github.io/Logging_1493/klagomålsmail/A 14947-2023 FSC-klagomål mail.docx", "A 14947-2023")</f>
        <v/>
      </c>
      <c r="AC19">
        <f>HYPERLINK("https://klasma.github.io/Logging_1493/tillsyn/A 14947-2023 tillsynsbegäran.docx", "A 14947-2023")</f>
        <v/>
      </c>
      <c r="AD19">
        <f>HYPERLINK("https://klasma.github.io/Logging_1493/tillsynsmail/A 14947-2023 tillsynsbegäran mail.docx", "A 14947-2023")</f>
        <v/>
      </c>
    </row>
    <row r="20" ht="15" customHeight="1">
      <c r="A20" t="inlineStr">
        <is>
          <t>A 46886-2023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45201</v>
      </c>
      <c r="E20" s="1" t="n">
        <v>46314</v>
      </c>
      <c r="F20" t="inlineStr">
        <is>
          <t>VÄSTRA GÖTALANDS LÄN</t>
        </is>
      </c>
      <c r="G20" t="inlineStr">
        <is>
          <t>MARIESTAD</t>
        </is>
      </c>
      <c r="I20" t="n">
        <v>2.5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Skogshare
Spillkråka</t>
        </is>
      </c>
      <c r="W20">
        <f>HYPERLINK("https://klasma.github.io/Logging_1493/artfynd/A 46886-2023 artfynd.xlsx", "A 46886-2023")</f>
        <v/>
      </c>
      <c r="X20">
        <f>HYPERLINK("https://klasma.github.io/Logging_1493/kartor/A 46886-2023 karta.png", "A 46886-2023")</f>
        <v/>
      </c>
      <c r="Y20">
        <f>HYPERLINK("https://klasma.github.io/Logging_1493/kartor_geotiff/A 46886-2023 georefererad karta.tif", "A 46886-2023")</f>
        <v/>
      </c>
      <c r="AA20">
        <f>HYPERLINK("https://klasma.github.io/Logging_1493/klagomål/A 46886-2023 FSC-klagomål.docx", "A 46886-2023")</f>
        <v/>
      </c>
      <c r="AB20">
        <f>HYPERLINK("https://klasma.github.io/Logging_1493/klagomålsmail/A 46886-2023 FSC-klagomål mail.docx", "A 46886-2023")</f>
        <v/>
      </c>
      <c r="AC20">
        <f>HYPERLINK("https://klasma.github.io/Logging_1493/tillsyn/A 46886-2023 tillsynsbegäran.docx", "A 46886-2023")</f>
        <v/>
      </c>
      <c r="AD20">
        <f>HYPERLINK("https://klasma.github.io/Logging_1493/tillsynsmail/A 46886-2023 tillsynsbegäran mail.docx", "A 46886-2023")</f>
        <v/>
      </c>
      <c r="AE20">
        <f>HYPERLINK("https://klasma.github.io/Logging_1493/fåglar/A 46886-2023 prioriterade fågelarter.docx", "A 46886-2023")</f>
        <v/>
      </c>
    </row>
    <row r="21" ht="15" customHeight="1">
      <c r="A21" t="inlineStr">
        <is>
          <t>A 41069-2026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46300</v>
      </c>
      <c r="E21" s="1" t="n">
        <v>46314</v>
      </c>
      <c r="F21" t="inlineStr">
        <is>
          <t>VÄSTRA GÖTALANDS LÄN</t>
        </is>
      </c>
      <c r="G21" t="inlineStr">
        <is>
          <t>MARIESTAD</t>
        </is>
      </c>
      <c r="I21" t="n">
        <v>3.6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Åkergroda
Vanlig groda</t>
        </is>
      </c>
      <c r="W21">
        <f>HYPERLINK("https://klasma.github.io/Logging_1493/artfynd/A 41069-2026 artfynd.xlsx", "A 41069-2026")</f>
        <v/>
      </c>
      <c r="X21">
        <f>HYPERLINK("https://klasma.github.io/Logging_1493/kartor/A 41069-2026 karta.png", "A 41069-2026")</f>
        <v/>
      </c>
      <c r="Y21">
        <f>HYPERLINK("https://klasma.github.io/Logging_1493/kartor_geotiff/A 41069-2026 georefererad karta.tif", "A 41069-2026")</f>
        <v/>
      </c>
      <c r="AA21">
        <f>HYPERLINK("https://klasma.github.io/Logging_1493/klagomål/A 41069-2026 FSC-klagomål.docx", "A 41069-2026")</f>
        <v/>
      </c>
      <c r="AB21">
        <f>HYPERLINK("https://klasma.github.io/Logging_1493/klagomålsmail/A 41069-2026 FSC-klagomål mail.docx", "A 41069-2026")</f>
        <v/>
      </c>
      <c r="AC21">
        <f>HYPERLINK("https://klasma.github.io/Logging_1493/tillsyn/A 41069-2026 tillsynsbegäran.docx", "A 41069-2026")</f>
        <v/>
      </c>
      <c r="AD21">
        <f>HYPERLINK("https://klasma.github.io/Logging_1493/tillsynsmail/A 41069-2026 tillsynsbegäran mail.docx", "A 41069-2026")</f>
        <v/>
      </c>
    </row>
    <row r="22" ht="15" customHeight="1">
      <c r="A22" t="inlineStr">
        <is>
          <t>A 72651-2021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44546</v>
      </c>
      <c r="E22" s="1" t="n">
        <v>46314</v>
      </c>
      <c r="F22" t="inlineStr">
        <is>
          <t>VÄSTRA GÖTALANDS LÄN</t>
        </is>
      </c>
      <c r="G22" t="inlineStr">
        <is>
          <t>MARIESTAD</t>
        </is>
      </c>
      <c r="I22" t="n">
        <v>0.5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Skogsödla</t>
        </is>
      </c>
      <c r="W22">
        <f>HYPERLINK("https://klasma.github.io/Logging_1493/artfynd/A 72651-2021 artfynd.xlsx", "A 72651-2021")</f>
        <v/>
      </c>
      <c r="X22">
        <f>HYPERLINK("https://klasma.github.io/Logging_1493/kartor/A 72651-2021 karta.png", "A 72651-2021")</f>
        <v/>
      </c>
      <c r="Y22">
        <f>HYPERLINK("https://klasma.github.io/Logging_1493/kartor_geotiff/A 72651-2021 georefererad karta.tif", "A 72651-2021")</f>
        <v/>
      </c>
      <c r="AA22">
        <f>HYPERLINK("https://klasma.github.io/Logging_1493/klagomål/A 72651-2021 FSC-klagomål.docx", "A 72651-2021")</f>
        <v/>
      </c>
      <c r="AB22">
        <f>HYPERLINK("https://klasma.github.io/Logging_1493/klagomålsmail/A 72651-2021 FSC-klagomål mail.docx", "A 72651-2021")</f>
        <v/>
      </c>
      <c r="AC22">
        <f>HYPERLINK("https://klasma.github.io/Logging_1493/tillsyn/A 72651-2021 tillsynsbegäran.docx", "A 72651-2021")</f>
        <v/>
      </c>
      <c r="AD22">
        <f>HYPERLINK("https://klasma.github.io/Logging_1493/tillsynsmail/A 72651-2021 tillsynsbegäran mail.docx", "A 72651-2021")</f>
        <v/>
      </c>
    </row>
    <row r="23" ht="15" customHeight="1">
      <c r="A23" t="inlineStr">
        <is>
          <t>A 20438-2024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45435</v>
      </c>
      <c r="E23" s="1" t="n">
        <v>46314</v>
      </c>
      <c r="F23" t="inlineStr">
        <is>
          <t>VÄSTRA GÖTALANDS LÄN</t>
        </is>
      </c>
      <c r="G23" t="inlineStr">
        <is>
          <t>MARIESTAD</t>
        </is>
      </c>
      <c r="H23" t="inlineStr">
        <is>
          <t>Kommuner</t>
        </is>
      </c>
      <c r="I23" t="n">
        <v>0.7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Griffelblomfluga</t>
        </is>
      </c>
      <c r="W23">
        <f>HYPERLINK("https://klasma.github.io/Logging_1493/artfynd/A 20438-2024 artfynd.xlsx", "A 20438-2024")</f>
        <v/>
      </c>
      <c r="X23">
        <f>HYPERLINK("https://klasma.github.io/Logging_1493/kartor/A 20438-2024 karta.png", "A 20438-2024")</f>
        <v/>
      </c>
      <c r="Y23">
        <f>HYPERLINK("https://klasma.github.io/Logging_1493/kartor_geotiff/A 20438-2024 georefererad karta.tif", "A 20438-2024")</f>
        <v/>
      </c>
      <c r="AA23">
        <f>HYPERLINK("https://klasma.github.io/Logging_1493/klagomål/A 20438-2024 FSC-klagomål.docx", "A 20438-2024")</f>
        <v/>
      </c>
      <c r="AB23">
        <f>HYPERLINK("https://klasma.github.io/Logging_1493/klagomålsmail/A 20438-2024 FSC-klagomål mail.docx", "A 20438-2024")</f>
        <v/>
      </c>
      <c r="AC23">
        <f>HYPERLINK("https://klasma.github.io/Logging_1493/tillsyn/A 20438-2024 tillsynsbegäran.docx", "A 20438-2024")</f>
        <v/>
      </c>
      <c r="AD23">
        <f>HYPERLINK("https://klasma.github.io/Logging_1493/tillsynsmail/A 20438-2024 tillsynsbegäran mail.docx", "A 20438-2024")</f>
        <v/>
      </c>
    </row>
    <row r="24" ht="15" customHeight="1">
      <c r="A24" t="inlineStr">
        <is>
          <t>A 17272-2023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45035</v>
      </c>
      <c r="E24" s="1" t="n">
        <v>46314</v>
      </c>
      <c r="F24" t="inlineStr">
        <is>
          <t>VÄSTRA GÖTALANDS LÄN</t>
        </is>
      </c>
      <c r="G24" t="inlineStr">
        <is>
          <t>MARIESTAD</t>
        </is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Gullklöver</t>
        </is>
      </c>
      <c r="W24">
        <f>HYPERLINK("https://klasma.github.io/Logging_1493/artfynd/A 17272-2023 artfynd.xlsx", "A 17272-2023")</f>
        <v/>
      </c>
      <c r="X24">
        <f>HYPERLINK("https://klasma.github.io/Logging_1493/kartor/A 17272-2023 karta.png", "A 17272-2023")</f>
        <v/>
      </c>
      <c r="Y24">
        <f>HYPERLINK("https://klasma.github.io/Logging_1493/kartor_geotiff/A 17272-2023 georefererad karta.tif", "A 17272-2023")</f>
        <v/>
      </c>
      <c r="AA24">
        <f>HYPERLINK("https://klasma.github.io/Logging_1493/klagomål/A 17272-2023 FSC-klagomål.docx", "A 17272-2023")</f>
        <v/>
      </c>
      <c r="AB24">
        <f>HYPERLINK("https://klasma.github.io/Logging_1493/klagomålsmail/A 17272-2023 FSC-klagomål mail.docx", "A 17272-2023")</f>
        <v/>
      </c>
      <c r="AC24">
        <f>HYPERLINK("https://klasma.github.io/Logging_1493/tillsyn/A 17272-2023 tillsynsbegäran.docx", "A 17272-2023")</f>
        <v/>
      </c>
      <c r="AD24">
        <f>HYPERLINK("https://klasma.github.io/Logging_1493/tillsynsmail/A 17272-2023 tillsynsbegäran mail.docx", "A 17272-2023")</f>
        <v/>
      </c>
    </row>
    <row r="25" ht="15" customHeight="1">
      <c r="A25" t="inlineStr">
        <is>
          <t>A 7578-2025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45705</v>
      </c>
      <c r="E25" s="1" t="n">
        <v>46314</v>
      </c>
      <c r="F25" t="inlineStr">
        <is>
          <t>VÄSTRA GÖTALANDS LÄN</t>
        </is>
      </c>
      <c r="G25" t="inlineStr">
        <is>
          <t>MARIESTAD</t>
        </is>
      </c>
      <c r="I25" t="n">
        <v>1.1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Svartvit flugsnappare</t>
        </is>
      </c>
      <c r="W25">
        <f>HYPERLINK("https://klasma.github.io/Logging_1493/artfynd/A 7578-2025 artfynd.xlsx", "A 7578-2025")</f>
        <v/>
      </c>
      <c r="X25">
        <f>HYPERLINK("https://klasma.github.io/Logging_1493/kartor/A 7578-2025 karta.png", "A 7578-2025")</f>
        <v/>
      </c>
      <c r="Y25">
        <f>HYPERLINK("https://klasma.github.io/Logging_1493/kartor_geotiff/A 7578-2025 georefererad karta.tif", "A 7578-2025")</f>
        <v/>
      </c>
      <c r="AA25">
        <f>HYPERLINK("https://klasma.github.io/Logging_1493/klagomål/A 7578-2025 FSC-klagomål.docx", "A 7578-2025")</f>
        <v/>
      </c>
      <c r="AB25">
        <f>HYPERLINK("https://klasma.github.io/Logging_1493/klagomålsmail/A 7578-2025 FSC-klagomål mail.docx", "A 7578-2025")</f>
        <v/>
      </c>
      <c r="AC25">
        <f>HYPERLINK("https://klasma.github.io/Logging_1493/tillsyn/A 7578-2025 tillsynsbegäran.docx", "A 7578-2025")</f>
        <v/>
      </c>
      <c r="AD25">
        <f>HYPERLINK("https://klasma.github.io/Logging_1493/tillsynsmail/A 7578-2025 tillsynsbegäran mail.docx", "A 7578-2025")</f>
        <v/>
      </c>
    </row>
    <row r="26" ht="15" customHeight="1">
      <c r="A26" t="inlineStr">
        <is>
          <t>A 7612-2023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44972</v>
      </c>
      <c r="E26" s="1" t="n">
        <v>46314</v>
      </c>
      <c r="F26" t="inlineStr">
        <is>
          <t>VÄSTRA GÖTALANDS LÄN</t>
        </is>
      </c>
      <c r="G26" t="inlineStr">
        <is>
          <t>MARIESTAD</t>
        </is>
      </c>
      <c r="I26" t="n">
        <v>2.3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Skogsödla</t>
        </is>
      </c>
      <c r="W26">
        <f>HYPERLINK("https://klasma.github.io/Logging_1493/artfynd/A 7612-2023 artfynd.xlsx", "A 7612-2023")</f>
        <v/>
      </c>
      <c r="X26">
        <f>HYPERLINK("https://klasma.github.io/Logging_1493/kartor/A 7612-2023 karta.png", "A 7612-2023")</f>
        <v/>
      </c>
      <c r="Y26">
        <f>HYPERLINK("https://klasma.github.io/Logging_1493/kartor_geotiff/A 7612-2023 georefererad karta.tif", "A 7612-2023")</f>
        <v/>
      </c>
      <c r="AA26">
        <f>HYPERLINK("https://klasma.github.io/Logging_1493/klagomål/A 7612-2023 FSC-klagomål.docx", "A 7612-2023")</f>
        <v/>
      </c>
      <c r="AB26">
        <f>HYPERLINK("https://klasma.github.io/Logging_1493/klagomålsmail/A 7612-2023 FSC-klagomål mail.docx", "A 7612-2023")</f>
        <v/>
      </c>
      <c r="AC26">
        <f>HYPERLINK("https://klasma.github.io/Logging_1493/tillsyn/A 7612-2023 tillsynsbegäran.docx", "A 7612-2023")</f>
        <v/>
      </c>
      <c r="AD26">
        <f>HYPERLINK("https://klasma.github.io/Logging_1493/tillsynsmail/A 7612-2023 tillsynsbegäran mail.docx", "A 7612-2023")</f>
        <v/>
      </c>
    </row>
    <row r="27" ht="15" customHeight="1">
      <c r="A27" t="inlineStr">
        <is>
          <t>A 42647-2023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45181</v>
      </c>
      <c r="E27" s="1" t="n">
        <v>46314</v>
      </c>
      <c r="F27" t="inlineStr">
        <is>
          <t>VÄSTRA GÖTALANDS LÄN</t>
        </is>
      </c>
      <c r="G27" t="inlineStr">
        <is>
          <t>MARIESTAD</t>
        </is>
      </c>
      <c r="I27" t="n">
        <v>2.5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Ärtsångare</t>
        </is>
      </c>
      <c r="W27">
        <f>HYPERLINK("https://klasma.github.io/Logging_1493/artfynd/A 42647-2023 artfynd.xlsx", "A 42647-2023")</f>
        <v/>
      </c>
      <c r="X27">
        <f>HYPERLINK("https://klasma.github.io/Logging_1493/kartor/A 42647-2023 karta.png", "A 42647-2023")</f>
        <v/>
      </c>
      <c r="Y27">
        <f>HYPERLINK("https://klasma.github.io/Logging_1493/kartor_geotiff/A 42647-2023 georefererad karta.tif", "A 42647-2023")</f>
        <v/>
      </c>
      <c r="AA27">
        <f>HYPERLINK("https://klasma.github.io/Logging_1493/klagomål/A 42647-2023 FSC-klagomål.docx", "A 42647-2023")</f>
        <v/>
      </c>
      <c r="AB27">
        <f>HYPERLINK("https://klasma.github.io/Logging_1493/klagomålsmail/A 42647-2023 FSC-klagomål mail.docx", "A 42647-2023")</f>
        <v/>
      </c>
      <c r="AC27">
        <f>HYPERLINK("https://klasma.github.io/Logging_1493/tillsyn/A 42647-2023 tillsynsbegäran.docx", "A 42647-2023")</f>
        <v/>
      </c>
      <c r="AD27">
        <f>HYPERLINK("https://klasma.github.io/Logging_1493/tillsynsmail/A 42647-2023 tillsynsbegäran mail.docx", "A 42647-2023")</f>
        <v/>
      </c>
    </row>
    <row r="28" ht="15" customHeight="1">
      <c r="A28" t="inlineStr">
        <is>
          <t>A 51220-2025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45947</v>
      </c>
      <c r="E28" s="1" t="n">
        <v>46314</v>
      </c>
      <c r="F28" t="inlineStr">
        <is>
          <t>VÄSTRA GÖTALANDS LÄN</t>
        </is>
      </c>
      <c r="G28" t="inlineStr">
        <is>
          <t>MARIESTAD</t>
        </is>
      </c>
      <c r="I28" t="n">
        <v>7.3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Blomkålssvamp</t>
        </is>
      </c>
      <c r="W28">
        <f>HYPERLINK("https://klasma.github.io/Logging_1493/artfynd/A 51220-2025 artfynd.xlsx", "A 51220-2025")</f>
        <v/>
      </c>
      <c r="X28">
        <f>HYPERLINK("https://klasma.github.io/Logging_1493/kartor/A 51220-2025 karta.png", "A 51220-2025")</f>
        <v/>
      </c>
      <c r="Y28">
        <f>HYPERLINK("https://klasma.github.io/Logging_1493/kartor_geotiff/A 51220-2025 georefererad karta.tif", "A 51220-2025")</f>
        <v/>
      </c>
      <c r="AA28">
        <f>HYPERLINK("https://klasma.github.io/Logging_1493/klagomål/A 51220-2025 FSC-klagomål.docx", "A 51220-2025")</f>
        <v/>
      </c>
      <c r="AB28">
        <f>HYPERLINK("https://klasma.github.io/Logging_1493/klagomålsmail/A 51220-2025 FSC-klagomål mail.docx", "A 51220-2025")</f>
        <v/>
      </c>
      <c r="AC28">
        <f>HYPERLINK("https://klasma.github.io/Logging_1493/tillsyn/A 51220-2025 tillsynsbegäran.docx", "A 51220-2025")</f>
        <v/>
      </c>
      <c r="AD28">
        <f>HYPERLINK("https://klasma.github.io/Logging_1493/tillsynsmail/A 51220-2025 tillsynsbegäran mail.docx", "A 51220-2025")</f>
        <v/>
      </c>
    </row>
    <row r="29" ht="15" customHeight="1">
      <c r="A29" t="inlineStr">
        <is>
          <t>A 15052-2023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45015</v>
      </c>
      <c r="E29" s="1" t="n">
        <v>46314</v>
      </c>
      <c r="F29" t="inlineStr">
        <is>
          <t>VÄSTRA GÖTALANDS LÄN</t>
        </is>
      </c>
      <c r="G29" t="inlineStr">
        <is>
          <t>MARIESTAD</t>
        </is>
      </c>
      <c r="I29" t="n">
        <v>15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Bivråk</t>
        </is>
      </c>
      <c r="W29">
        <f>HYPERLINK("https://klasma.github.io/Logging_1493/artfynd/A 15052-2023 artfynd.xlsx", "A 15052-2023")</f>
        <v/>
      </c>
      <c r="X29">
        <f>HYPERLINK("https://klasma.github.io/Logging_1493/kartor/A 15052-2023 karta.png", "A 15052-2023")</f>
        <v/>
      </c>
      <c r="Y29">
        <f>HYPERLINK("https://klasma.github.io/Logging_1493/kartor_geotiff/A 15052-2023 georefererad karta.tif", "A 15052-2023")</f>
        <v/>
      </c>
      <c r="AA29">
        <f>HYPERLINK("https://klasma.github.io/Logging_1493/klagomål/A 15052-2023 FSC-klagomål.docx", "A 15052-2023")</f>
        <v/>
      </c>
      <c r="AB29">
        <f>HYPERLINK("https://klasma.github.io/Logging_1493/klagomålsmail/A 15052-2023 FSC-klagomål mail.docx", "A 15052-2023")</f>
        <v/>
      </c>
      <c r="AC29">
        <f>HYPERLINK("https://klasma.github.io/Logging_1493/tillsyn/A 15052-2023 tillsynsbegäran.docx", "A 15052-2023")</f>
        <v/>
      </c>
      <c r="AD29">
        <f>HYPERLINK("https://klasma.github.io/Logging_1493/tillsynsmail/A 15052-2023 tillsynsbegäran mail.docx", "A 15052-2023")</f>
        <v/>
      </c>
      <c r="AE29">
        <f>HYPERLINK("https://klasma.github.io/Logging_1493/fåglar/A 15052-2023 prioriterade fågelarter.docx", "A 15052-2023")</f>
        <v/>
      </c>
    </row>
    <row r="30" ht="15" customHeight="1">
      <c r="A30" t="inlineStr">
        <is>
          <t>A 38580-2023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45162</v>
      </c>
      <c r="E30" s="1" t="n">
        <v>46314</v>
      </c>
      <c r="F30" t="inlineStr">
        <is>
          <t>VÄSTRA GÖTALANDS LÄN</t>
        </is>
      </c>
      <c r="G30" t="inlineStr">
        <is>
          <t>MARIESTAD</t>
        </is>
      </c>
      <c r="H30" t="inlineStr">
        <is>
          <t>Kommuner</t>
        </is>
      </c>
      <c r="I30" t="n">
        <v>4.6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s="2" t="inlineStr">
        <is>
          <t>Nattviol</t>
        </is>
      </c>
      <c r="W30">
        <f>HYPERLINK("https://klasma.github.io/Logging_1493/artfynd/A 38580-2023 artfynd.xlsx", "A 38580-2023")</f>
        <v/>
      </c>
      <c r="X30">
        <f>HYPERLINK("https://klasma.github.io/Logging_1493/kartor/A 38580-2023 karta.png", "A 38580-2023")</f>
        <v/>
      </c>
      <c r="Y30">
        <f>HYPERLINK("https://klasma.github.io/Logging_1493/kartor_geotiff/A 38580-2023 georefererad karta.tif", "A 38580-2023")</f>
        <v/>
      </c>
      <c r="AA30">
        <f>HYPERLINK("https://klasma.github.io/Logging_1493/klagomål/A 38580-2023 FSC-klagomål.docx", "A 38580-2023")</f>
        <v/>
      </c>
      <c r="AB30">
        <f>HYPERLINK("https://klasma.github.io/Logging_1493/klagomålsmail/A 38580-2023 FSC-klagomål mail.docx", "A 38580-2023")</f>
        <v/>
      </c>
      <c r="AC30">
        <f>HYPERLINK("https://klasma.github.io/Logging_1493/tillsyn/A 38580-2023 tillsynsbegäran.docx", "A 38580-2023")</f>
        <v/>
      </c>
      <c r="AD30">
        <f>HYPERLINK("https://klasma.github.io/Logging_1493/tillsynsmail/A 38580-2023 tillsynsbegäran mail.docx", "A 38580-2023")</f>
        <v/>
      </c>
    </row>
    <row r="31" ht="15" customHeight="1">
      <c r="A31" t="inlineStr">
        <is>
          <t>A 18176-2025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45761</v>
      </c>
      <c r="E31" s="1" t="n">
        <v>46314</v>
      </c>
      <c r="F31" t="inlineStr">
        <is>
          <t>VÄSTRA GÖTALANDS LÄN</t>
        </is>
      </c>
      <c r="G31" t="inlineStr">
        <is>
          <t>MARIESTAD</t>
        </is>
      </c>
      <c r="I31" t="n">
        <v>6.9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Grovticka</t>
        </is>
      </c>
      <c r="W31">
        <f>HYPERLINK("https://klasma.github.io/Logging_1493/artfynd/A 18176-2025 artfynd.xlsx", "A 18176-2025")</f>
        <v/>
      </c>
      <c r="X31">
        <f>HYPERLINK("https://klasma.github.io/Logging_1493/kartor/A 18176-2025 karta.png", "A 18176-2025")</f>
        <v/>
      </c>
      <c r="Y31">
        <f>HYPERLINK("https://klasma.github.io/Logging_1493/kartor_geotiff/A 18176-2025 georefererad karta.tif", "A 18176-2025")</f>
        <v/>
      </c>
      <c r="AA31">
        <f>HYPERLINK("https://klasma.github.io/Logging_1493/klagomål/A 18176-2025 FSC-klagomål.docx", "A 18176-2025")</f>
        <v/>
      </c>
      <c r="AB31">
        <f>HYPERLINK("https://klasma.github.io/Logging_1493/klagomålsmail/A 18176-2025 FSC-klagomål mail.docx", "A 18176-2025")</f>
        <v/>
      </c>
      <c r="AC31">
        <f>HYPERLINK("https://klasma.github.io/Logging_1493/tillsyn/A 18176-2025 tillsynsbegäran.docx", "A 18176-2025")</f>
        <v/>
      </c>
      <c r="AD31">
        <f>HYPERLINK("https://klasma.github.io/Logging_1493/tillsynsmail/A 18176-2025 tillsynsbegäran mail.docx", "A 18176-2025")</f>
        <v/>
      </c>
    </row>
    <row r="32" ht="15" customHeight="1">
      <c r="A32" t="inlineStr">
        <is>
          <t>A 49233-2023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45210</v>
      </c>
      <c r="E32" s="1" t="n">
        <v>46314</v>
      </c>
      <c r="F32" t="inlineStr">
        <is>
          <t>VÄSTRA GÖTALANDS LÄN</t>
        </is>
      </c>
      <c r="G32" t="inlineStr">
        <is>
          <t>MARIESTAD</t>
        </is>
      </c>
      <c r="I32" t="n">
        <v>6.1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Lönnlav</t>
        </is>
      </c>
      <c r="W32">
        <f>HYPERLINK("https://klasma.github.io/Logging_1493/artfynd/A 49233-2023 artfynd.xlsx", "A 49233-2023")</f>
        <v/>
      </c>
      <c r="X32">
        <f>HYPERLINK("https://klasma.github.io/Logging_1493/kartor/A 49233-2023 karta.png", "A 49233-2023")</f>
        <v/>
      </c>
      <c r="Y32">
        <f>HYPERLINK("https://klasma.github.io/Logging_1493/kartor_geotiff/A 49233-2023 georefererad karta.tif", "A 49233-2023")</f>
        <v/>
      </c>
      <c r="AA32">
        <f>HYPERLINK("https://klasma.github.io/Logging_1493/klagomål/A 49233-2023 FSC-klagomål.docx", "A 49233-2023")</f>
        <v/>
      </c>
      <c r="AB32">
        <f>HYPERLINK("https://klasma.github.io/Logging_1493/klagomålsmail/A 49233-2023 FSC-klagomål mail.docx", "A 49233-2023")</f>
        <v/>
      </c>
      <c r="AC32">
        <f>HYPERLINK("https://klasma.github.io/Logging_1493/tillsyn/A 49233-2023 tillsynsbegäran.docx", "A 49233-2023")</f>
        <v/>
      </c>
      <c r="AD32">
        <f>HYPERLINK("https://klasma.github.io/Logging_1493/tillsynsmail/A 49233-2023 tillsynsbegäran mail.docx", "A 49233-2023")</f>
        <v/>
      </c>
    </row>
    <row r="33" ht="15" customHeight="1">
      <c r="A33" t="inlineStr">
        <is>
          <t>A 30652-2023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45112</v>
      </c>
      <c r="E33" s="1" t="n">
        <v>46314</v>
      </c>
      <c r="F33" t="inlineStr">
        <is>
          <t>VÄSTRA GÖTALANDS LÄN</t>
        </is>
      </c>
      <c r="G33" t="inlineStr">
        <is>
          <t>MARIESTAD</t>
        </is>
      </c>
      <c r="H33" t="inlineStr">
        <is>
          <t>Kommuner</t>
        </is>
      </c>
      <c r="I33" t="n">
        <v>2.6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1</v>
      </c>
      <c r="V33" s="2" t="inlineStr">
        <is>
          <t>Nattviol</t>
        </is>
      </c>
      <c r="W33">
        <f>HYPERLINK("https://klasma.github.io/Logging_1493/artfynd/A 30652-2023 artfynd.xlsx", "A 30652-2023")</f>
        <v/>
      </c>
      <c r="X33">
        <f>HYPERLINK("https://klasma.github.io/Logging_1493/kartor/A 30652-2023 karta.png", "A 30652-2023")</f>
        <v/>
      </c>
      <c r="Y33">
        <f>HYPERLINK("https://klasma.github.io/Logging_1493/kartor_geotiff/A 30652-2023 georefererad karta.tif", "A 30652-2023")</f>
        <v/>
      </c>
      <c r="AA33">
        <f>HYPERLINK("https://klasma.github.io/Logging_1493/klagomål/A 30652-2023 FSC-klagomål.docx", "A 30652-2023")</f>
        <v/>
      </c>
      <c r="AB33">
        <f>HYPERLINK("https://klasma.github.io/Logging_1493/klagomålsmail/A 30652-2023 FSC-klagomål mail.docx", "A 30652-2023")</f>
        <v/>
      </c>
      <c r="AC33">
        <f>HYPERLINK("https://klasma.github.io/Logging_1493/tillsyn/A 30652-2023 tillsynsbegäran.docx", "A 30652-2023")</f>
        <v/>
      </c>
      <c r="AD33">
        <f>HYPERLINK("https://klasma.github.io/Logging_1493/tillsynsmail/A 30652-2023 tillsynsbegäran mail.docx", "A 30652-2023")</f>
        <v/>
      </c>
    </row>
    <row r="34" ht="15" customHeight="1">
      <c r="A34" t="inlineStr">
        <is>
          <t>A 9650-2025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45716</v>
      </c>
      <c r="E34" s="1" t="n">
        <v>46314</v>
      </c>
      <c r="F34" t="inlineStr">
        <is>
          <t>VÄSTRA GÖTALANDS LÄN</t>
        </is>
      </c>
      <c r="G34" t="inlineStr">
        <is>
          <t>MARIESTAD</t>
        </is>
      </c>
      <c r="H34" t="inlineStr">
        <is>
          <t>Sveaskog</t>
        </is>
      </c>
      <c r="I34" t="n">
        <v>2.8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Revlummer</t>
        </is>
      </c>
      <c r="W34">
        <f>HYPERLINK("https://klasma.github.io/Logging_1493/artfynd/A 9650-2025 artfynd.xlsx", "A 9650-2025")</f>
        <v/>
      </c>
      <c r="X34">
        <f>HYPERLINK("https://klasma.github.io/Logging_1493/kartor/A 9650-2025 karta.png", "A 9650-2025")</f>
        <v/>
      </c>
      <c r="Y34">
        <f>HYPERLINK("https://klasma.github.io/Logging_1493/kartor_geotiff/A 9650-2025 georefererad karta.tif", "A 9650-2025")</f>
        <v/>
      </c>
      <c r="AA34">
        <f>HYPERLINK("https://klasma.github.io/Logging_1493/klagomål/A 9650-2025 FSC-klagomål.docx", "A 9650-2025")</f>
        <v/>
      </c>
      <c r="AB34">
        <f>HYPERLINK("https://klasma.github.io/Logging_1493/klagomålsmail/A 9650-2025 FSC-klagomål mail.docx", "A 9650-2025")</f>
        <v/>
      </c>
      <c r="AC34">
        <f>HYPERLINK("https://klasma.github.io/Logging_1493/tillsyn/A 9650-2025 tillsynsbegäran.docx", "A 9650-2025")</f>
        <v/>
      </c>
      <c r="AD34">
        <f>HYPERLINK("https://klasma.github.io/Logging_1493/tillsynsmail/A 9650-2025 tillsynsbegäran mail.docx", "A 9650-2025")</f>
        <v/>
      </c>
    </row>
    <row r="35" ht="15" customHeight="1">
      <c r="A35" t="inlineStr">
        <is>
          <t>A 29151-2025</t>
        </is>
      </c>
      <c r="B35" t="inlineStr">
        <is>
          <t>avverkningsanmälan</t>
        </is>
      </c>
      <c r="C35" t="inlineStr">
        <is>
          <t>Avverkning för att bevara och utveckla /försöksver</t>
        </is>
      </c>
      <c r="D35" s="1" t="n">
        <v>45821</v>
      </c>
      <c r="E35" s="1" t="n">
        <v>46314</v>
      </c>
      <c r="F35" t="inlineStr">
        <is>
          <t>VÄSTRA GÖTALANDS LÄN</t>
        </is>
      </c>
      <c r="G35" t="inlineStr">
        <is>
          <t>MARIESTAD</t>
        </is>
      </c>
      <c r="H35" t="inlineStr">
        <is>
          <t>Sveaskog</t>
        </is>
      </c>
      <c r="I35" t="n">
        <v>2.5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Fällmossa</t>
        </is>
      </c>
      <c r="W35">
        <f>HYPERLINK("https://klasma.github.io/Logging_1493/artfynd/A 29151-2025 artfynd.xlsx", "A 29151-2025")</f>
        <v/>
      </c>
      <c r="X35">
        <f>HYPERLINK("https://klasma.github.io/Logging_1493/kartor/A 29151-2025 karta.png", "A 29151-2025")</f>
        <v/>
      </c>
      <c r="Y35">
        <f>HYPERLINK("https://klasma.github.io/Logging_1493/kartor_geotiff/A 29151-2025 georefererad karta.tif", "A 29151-2025")</f>
        <v/>
      </c>
      <c r="AA35">
        <f>HYPERLINK("https://klasma.github.io/Logging_1493/klagomål/A 29151-2025 FSC-klagomål.docx", "A 29151-2025")</f>
        <v/>
      </c>
      <c r="AB35">
        <f>HYPERLINK("https://klasma.github.io/Logging_1493/klagomålsmail/A 29151-2025 FSC-klagomål mail.docx", "A 29151-2025")</f>
        <v/>
      </c>
      <c r="AC35">
        <f>HYPERLINK("https://klasma.github.io/Logging_1493/tillsyn/A 29151-2025 tillsynsbegäran.docx", "A 29151-2025")</f>
        <v/>
      </c>
      <c r="AD35">
        <f>HYPERLINK("https://klasma.github.io/Logging_1493/tillsynsmail/A 29151-2025 tillsynsbegäran mail.docx", "A 29151-2025")</f>
        <v/>
      </c>
    </row>
    <row r="36" ht="15" customHeight="1">
      <c r="A36" t="inlineStr">
        <is>
          <t>A 29152-2025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45821</v>
      </c>
      <c r="E36" s="1" t="n">
        <v>46314</v>
      </c>
      <c r="F36" t="inlineStr">
        <is>
          <t>VÄSTRA GÖTALANDS LÄN</t>
        </is>
      </c>
      <c r="G36" t="inlineStr">
        <is>
          <t>MARIESTAD</t>
        </is>
      </c>
      <c r="H36" t="inlineStr">
        <is>
          <t>Sveaskog</t>
        </is>
      </c>
      <c r="I36" t="n">
        <v>4.6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Blodticka</t>
        </is>
      </c>
      <c r="W36">
        <f>HYPERLINK("https://klasma.github.io/Logging_1493/artfynd/A 29152-2025 artfynd.xlsx", "A 29152-2025")</f>
        <v/>
      </c>
      <c r="X36">
        <f>HYPERLINK("https://klasma.github.io/Logging_1493/kartor/A 29152-2025 karta.png", "A 29152-2025")</f>
        <v/>
      </c>
      <c r="Y36">
        <f>HYPERLINK("https://klasma.github.io/Logging_1493/kartor_geotiff/A 29152-2025 georefererad karta.tif", "A 29152-2025")</f>
        <v/>
      </c>
      <c r="AA36">
        <f>HYPERLINK("https://klasma.github.io/Logging_1493/klagomål/A 29152-2025 FSC-klagomål.docx", "A 29152-2025")</f>
        <v/>
      </c>
      <c r="AB36">
        <f>HYPERLINK("https://klasma.github.io/Logging_1493/klagomålsmail/A 29152-2025 FSC-klagomål mail.docx", "A 29152-2025")</f>
        <v/>
      </c>
      <c r="AC36">
        <f>HYPERLINK("https://klasma.github.io/Logging_1493/tillsyn/A 29152-2025 tillsynsbegäran.docx", "A 29152-2025")</f>
        <v/>
      </c>
      <c r="AD36">
        <f>HYPERLINK("https://klasma.github.io/Logging_1493/tillsynsmail/A 29152-2025 tillsynsbegäran mail.docx", "A 29152-2025")</f>
        <v/>
      </c>
    </row>
    <row r="37" ht="15" customHeight="1">
      <c r="A37" t="inlineStr">
        <is>
          <t>S 669-2025</t>
        </is>
      </c>
      <c r="B37" t="inlineStr">
        <is>
          <t>samrådsanmälan</t>
        </is>
      </c>
      <c r="C37" t="inlineStr">
        <is>
          <t>Askåterföring</t>
        </is>
      </c>
      <c r="D37" s="1" t="n">
        <v>45716</v>
      </c>
      <c r="E37" s="1" t="n">
        <v>46314</v>
      </c>
      <c r="F37" t="inlineStr">
        <is>
          <t>VÄSTRA GÖTALANDS LÄN</t>
        </is>
      </c>
      <c r="G37" t="inlineStr">
        <is>
          <t>MARIESTAD</t>
        </is>
      </c>
      <c r="I37" t="n">
        <v>14.4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0</v>
      </c>
      <c r="V37" s="2" t="inlineStr">
        <is>
          <t>Revlummer</t>
        </is>
      </c>
      <c r="W37">
        <f>HYPERLINK("https://klasma.github.io/Logging_1493/artfynd/S 669-2025 artfynd.xlsx", "S 669-2025")</f>
        <v/>
      </c>
      <c r="X37">
        <f>HYPERLINK("https://klasma.github.io/Logging_1493/kartor/S 669-2025 karta.png", "S 669-2025")</f>
        <v/>
      </c>
      <c r="Y37">
        <f>HYPERLINK("https://klasma.github.io/Logging_1493/kartor_geotiff/S 669-2025 georefererad karta.tif", "S 669-2025")</f>
        <v/>
      </c>
      <c r="AA37">
        <f>HYPERLINK("https://klasma.github.io/Logging_1493/klagomål/S 669-2025 FSC-klagomål.docx", "S 669-2025")</f>
        <v/>
      </c>
      <c r="AB37">
        <f>HYPERLINK("https://klasma.github.io/Logging_1493/klagomålsmail/S 669-2025 FSC-klagomål mail.docx", "S 669-2025")</f>
        <v/>
      </c>
      <c r="AC37">
        <f>HYPERLINK("https://klasma.github.io/Logging_1493/tillsyn/S 669-2025 tillsynsbegäran.docx", "S 669-2025")</f>
        <v/>
      </c>
      <c r="AD37">
        <f>HYPERLINK("https://klasma.github.io/Logging_1493/tillsynsmail/S 669-2025 tillsynsbegäran mail.docx", "S 669-2025")</f>
        <v/>
      </c>
    </row>
    <row r="38" ht="15" customHeight="1">
      <c r="A38" t="inlineStr">
        <is>
          <t>S 1616-2025</t>
        </is>
      </c>
      <c r="B38" t="inlineStr">
        <is>
          <t>samrådsanmälan</t>
        </is>
      </c>
      <c r="C38" t="inlineStr">
        <is>
          <t>Annan skogsbruksåtgärd</t>
        </is>
      </c>
      <c r="D38" s="1" t="n">
        <v>45797</v>
      </c>
      <c r="E38" s="1" t="n">
        <v>46314</v>
      </c>
      <c r="F38" t="inlineStr">
        <is>
          <t>VÄSTRA GÖTALANDS LÄN</t>
        </is>
      </c>
      <c r="G38" t="inlineStr">
        <is>
          <t>MARIESTAD</t>
        </is>
      </c>
      <c r="H38" t="inlineStr">
        <is>
          <t>Sveaskog</t>
        </is>
      </c>
      <c r="I38" t="n">
        <v>2.4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Fällmossa</t>
        </is>
      </c>
      <c r="W38">
        <f>HYPERLINK("https://klasma.github.io/Logging_1493/artfynd/S 1616-2025 artfynd.xlsx", "S 1616-2025")</f>
        <v/>
      </c>
      <c r="X38">
        <f>HYPERLINK("https://klasma.github.io/Logging_1493/kartor/S 1616-2025 karta.png", "S 1616-2025")</f>
        <v/>
      </c>
      <c r="Y38">
        <f>HYPERLINK("https://klasma.github.io/Logging_1493/kartor_geotiff/S 1616-2025 georefererad karta.tif", "S 1616-2025")</f>
        <v/>
      </c>
      <c r="AA38">
        <f>HYPERLINK("https://klasma.github.io/Logging_1493/klagomål/S 1616-2025 FSC-klagomål.docx", "S 1616-2025")</f>
        <v/>
      </c>
      <c r="AB38">
        <f>HYPERLINK("https://klasma.github.io/Logging_1493/klagomålsmail/S 1616-2025 FSC-klagomål mail.docx", "S 1616-2025")</f>
        <v/>
      </c>
      <c r="AC38">
        <f>HYPERLINK("https://klasma.github.io/Logging_1493/tillsyn/S 1616-2025 tillsynsbegäran.docx", "S 1616-2025")</f>
        <v/>
      </c>
      <c r="AD38">
        <f>HYPERLINK("https://klasma.github.io/Logging_1493/tillsynsmail/S 1616-2025 tillsynsbegäran mail.docx", "S 1616-2025")</f>
        <v/>
      </c>
    </row>
    <row r="39" ht="15" customHeight="1">
      <c r="A39" t="inlineStr">
        <is>
          <t>S 1867-2025</t>
        </is>
      </c>
      <c r="B39" t="inlineStr">
        <is>
          <t>samrådsanmälan</t>
        </is>
      </c>
      <c r="C39" t="inlineStr">
        <is>
          <t>Annan skogsbruksåtgärd</t>
        </is>
      </c>
      <c r="D39" s="1" t="n">
        <v>45821</v>
      </c>
      <c r="E39" s="1" t="n">
        <v>46314</v>
      </c>
      <c r="F39" t="inlineStr">
        <is>
          <t>VÄSTRA GÖTALANDS LÄN</t>
        </is>
      </c>
      <c r="G39" t="inlineStr">
        <is>
          <t>MARIESTAD</t>
        </is>
      </c>
      <c r="H39" t="inlineStr">
        <is>
          <t>Sveaskog</t>
        </is>
      </c>
      <c r="I39" t="n">
        <v>4.6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Blodticka</t>
        </is>
      </c>
      <c r="W39">
        <f>HYPERLINK("https://klasma.github.io/Logging_1493/artfynd/S 1867-2025 artfynd.xlsx", "S 1867-2025")</f>
        <v/>
      </c>
      <c r="X39">
        <f>HYPERLINK("https://klasma.github.io/Logging_1493/kartor/S 1867-2025 karta.png", "S 1867-2025")</f>
        <v/>
      </c>
      <c r="Y39">
        <f>HYPERLINK("https://klasma.github.io/Logging_1493/kartor_geotiff/S 1867-2025 georefererad karta.tif", "S 1867-2025")</f>
        <v/>
      </c>
      <c r="AA39">
        <f>HYPERLINK("https://klasma.github.io/Logging_1493/klagomål/S 1867-2025 FSC-klagomål.docx", "S 1867-2025")</f>
        <v/>
      </c>
      <c r="AB39">
        <f>HYPERLINK("https://klasma.github.io/Logging_1493/klagomålsmail/S 1867-2025 FSC-klagomål mail.docx", "S 1867-2025")</f>
        <v/>
      </c>
      <c r="AC39">
        <f>HYPERLINK("https://klasma.github.io/Logging_1493/tillsyn/S 1867-2025 tillsynsbegäran.docx", "S 1867-2025")</f>
        <v/>
      </c>
      <c r="AD39">
        <f>HYPERLINK("https://klasma.github.io/Logging_1493/tillsynsmail/S 1867-2025 tillsynsbegäran mail.docx", "S 1867-2025")</f>
        <v/>
      </c>
    </row>
    <row r="40" ht="15" customHeight="1">
      <c r="A40" t="inlineStr">
        <is>
          <t>S 484-2025</t>
        </is>
      </c>
      <c r="B40" t="inlineStr">
        <is>
          <t>samrådsanmälan</t>
        </is>
      </c>
      <c r="C40" t="inlineStr">
        <is>
          <t>Annan skogsbruksåtgärd</t>
        </is>
      </c>
      <c r="D40" s="1" t="n">
        <v>45703</v>
      </c>
      <c r="E40" s="1" t="n">
        <v>46314</v>
      </c>
      <c r="F40" t="inlineStr">
        <is>
          <t>VÄSTRA GÖTALANDS LÄN</t>
        </is>
      </c>
      <c r="G40" t="inlineStr">
        <is>
          <t>MARIESTAD</t>
        </is>
      </c>
      <c r="H40" t="inlineStr">
        <is>
          <t>Sveaskog</t>
        </is>
      </c>
      <c r="I40" t="n">
        <v>2.2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Oxtungssvamp</t>
        </is>
      </c>
      <c r="W40">
        <f>HYPERLINK("https://klasma.github.io/Logging_1493/artfynd/S 484-2025 artfynd.xlsx", "S 484-2025")</f>
        <v/>
      </c>
      <c r="X40">
        <f>HYPERLINK("https://klasma.github.io/Logging_1493/kartor/S 484-2025 karta.png", "S 484-2025")</f>
        <v/>
      </c>
      <c r="Y40">
        <f>HYPERLINK("https://klasma.github.io/Logging_1493/kartor_geotiff/S 484-2025 georefererad karta.tif", "S 484-2025")</f>
        <v/>
      </c>
      <c r="AA40">
        <f>HYPERLINK("https://klasma.github.io/Logging_1493/klagomål/S 484-2025 FSC-klagomål.docx", "S 484-2025")</f>
        <v/>
      </c>
      <c r="AB40">
        <f>HYPERLINK("https://klasma.github.io/Logging_1493/klagomålsmail/S 484-2025 FSC-klagomål mail.docx", "S 484-2025")</f>
        <v/>
      </c>
      <c r="AC40">
        <f>HYPERLINK("https://klasma.github.io/Logging_1493/tillsyn/S 484-2025 tillsynsbegäran.docx", "S 484-2025")</f>
        <v/>
      </c>
      <c r="AD40">
        <f>HYPERLINK("https://klasma.github.io/Logging_1493/tillsynsmail/S 484-2025 tillsynsbegäran mail.docx", "S 484-2025")</f>
        <v/>
      </c>
    </row>
    <row r="41" ht="15" customHeight="1">
      <c r="A41" t="inlineStr">
        <is>
          <t>S 483-2025</t>
        </is>
      </c>
      <c r="B41" t="inlineStr">
        <is>
          <t>samrådsanmälan</t>
        </is>
      </c>
      <c r="C41" t="inlineStr">
        <is>
          <t>Annan skogsbruksåtgärd</t>
        </is>
      </c>
      <c r="D41" s="1" t="n">
        <v>45703</v>
      </c>
      <c r="E41" s="1" t="n">
        <v>46314</v>
      </c>
      <c r="F41" t="inlineStr">
        <is>
          <t>VÄSTRA GÖTALANDS LÄN</t>
        </is>
      </c>
      <c r="G41" t="inlineStr">
        <is>
          <t>MARIESTAD</t>
        </is>
      </c>
      <c r="H41" t="inlineStr">
        <is>
          <t>Sveaskog</t>
        </is>
      </c>
      <c r="I41" t="n">
        <v>2.1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Fällmossa</t>
        </is>
      </c>
      <c r="W41">
        <f>HYPERLINK("https://klasma.github.io/Logging_1493/artfynd/S 483-2025 artfynd.xlsx", "S 483-2025")</f>
        <v/>
      </c>
      <c r="X41">
        <f>HYPERLINK("https://klasma.github.io/Logging_1493/kartor/S 483-2025 karta.png", "S 483-2025")</f>
        <v/>
      </c>
      <c r="Y41">
        <f>HYPERLINK("https://klasma.github.io/Logging_1493/kartor_geotiff/S 483-2025 georefererad karta.tif", "S 483-2025")</f>
        <v/>
      </c>
      <c r="AA41">
        <f>HYPERLINK("https://klasma.github.io/Logging_1493/klagomål/S 483-2025 FSC-klagomål.docx", "S 483-2025")</f>
        <v/>
      </c>
      <c r="AB41">
        <f>HYPERLINK("https://klasma.github.io/Logging_1493/klagomålsmail/S 483-2025 FSC-klagomål mail.docx", "S 483-2025")</f>
        <v/>
      </c>
      <c r="AC41">
        <f>HYPERLINK("https://klasma.github.io/Logging_1493/tillsyn/S 483-2025 tillsynsbegäran.docx", "S 483-2025")</f>
        <v/>
      </c>
      <c r="AD41">
        <f>HYPERLINK("https://klasma.github.io/Logging_1493/tillsynsmail/S 483-2025 tillsynsbegäran mail.docx", "S 483-2025")</f>
        <v/>
      </c>
    </row>
    <row r="42" ht="15" customHeight="1">
      <c r="A42" t="inlineStr">
        <is>
          <t>A 9774-2022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44619</v>
      </c>
      <c r="E42" s="1" t="n">
        <v>46314</v>
      </c>
      <c r="F42" t="inlineStr">
        <is>
          <t>VÄSTRA GÖTALANDS LÄN</t>
        </is>
      </c>
      <c r="G42" t="inlineStr">
        <is>
          <t>MARIESTAD</t>
        </is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1640-2022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44574</v>
      </c>
      <c r="E43" s="1" t="n">
        <v>46314</v>
      </c>
      <c r="F43" t="inlineStr">
        <is>
          <t>VÄSTRA GÖTALANDS LÄN</t>
        </is>
      </c>
      <c r="G43" t="inlineStr">
        <is>
          <t>MARIESTAD</t>
        </is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28099-2022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44746</v>
      </c>
      <c r="E44" s="1" t="n">
        <v>46314</v>
      </c>
      <c r="F44" t="inlineStr">
        <is>
          <t>VÄSTRA GÖTALANDS LÄN</t>
        </is>
      </c>
      <c r="G44" t="inlineStr">
        <is>
          <t>MARIESTAD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44464-2022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44840</v>
      </c>
      <c r="E45" s="1" t="n">
        <v>46314</v>
      </c>
      <c r="F45" t="inlineStr">
        <is>
          <t>VÄSTRA GÖTALANDS LÄN</t>
        </is>
      </c>
      <c r="G45" t="inlineStr">
        <is>
          <t>MARIESTAD</t>
        </is>
      </c>
      <c r="I45" t="n">
        <v>3.7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47034-2022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44852</v>
      </c>
      <c r="E46" s="1" t="n">
        <v>46314</v>
      </c>
      <c r="F46" t="inlineStr">
        <is>
          <t>VÄSTRA GÖTALANDS LÄN</t>
        </is>
      </c>
      <c r="G46" t="inlineStr">
        <is>
          <t>MARIESTAD</t>
        </is>
      </c>
      <c r="I46" t="n">
        <v>10.5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71210-2021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44539</v>
      </c>
      <c r="E47" s="1" t="n">
        <v>46314</v>
      </c>
      <c r="F47" t="inlineStr">
        <is>
          <t>VÄSTRA GÖTALANDS LÄN</t>
        </is>
      </c>
      <c r="G47" t="inlineStr">
        <is>
          <t>MARIESTAD</t>
        </is>
      </c>
      <c r="I47" t="n">
        <v>2.8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67146-2021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44523</v>
      </c>
      <c r="E48" s="1" t="n">
        <v>46314</v>
      </c>
      <c r="F48" t="inlineStr">
        <is>
          <t>VÄSTRA GÖTALANDS LÄN</t>
        </is>
      </c>
      <c r="G48" t="inlineStr">
        <is>
          <t>MARIESTAD</t>
        </is>
      </c>
      <c r="I48" t="n">
        <v>2.4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8853-2022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44614</v>
      </c>
      <c r="E49" s="1" t="n">
        <v>46314</v>
      </c>
      <c r="F49" t="inlineStr">
        <is>
          <t>VÄSTRA GÖTALANDS LÄN</t>
        </is>
      </c>
      <c r="G49" t="inlineStr">
        <is>
          <t>MARIESTAD</t>
        </is>
      </c>
      <c r="H49" t="inlineStr">
        <is>
          <t>Kyrkan</t>
        </is>
      </c>
      <c r="I49" t="n">
        <v>1.9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30820-2022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44766</v>
      </c>
      <c r="E50" s="1" t="n">
        <v>46314</v>
      </c>
      <c r="F50" t="inlineStr">
        <is>
          <t>VÄSTRA GÖTALANDS LÄN</t>
        </is>
      </c>
      <c r="G50" t="inlineStr">
        <is>
          <t>MARIESTAD</t>
        </is>
      </c>
      <c r="I50" t="n">
        <v>0.9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53758-2022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44880</v>
      </c>
      <c r="E51" s="1" t="n">
        <v>46314</v>
      </c>
      <c r="F51" t="inlineStr">
        <is>
          <t>VÄSTRA GÖTALANDS LÄN</t>
        </is>
      </c>
      <c r="G51" t="inlineStr">
        <is>
          <t>MARIESTAD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60335-2021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44496</v>
      </c>
      <c r="E52" s="1" t="n">
        <v>46314</v>
      </c>
      <c r="F52" t="inlineStr">
        <is>
          <t>VÄSTRA GÖTALANDS LÄN</t>
        </is>
      </c>
      <c r="G52" t="inlineStr">
        <is>
          <t>MARIESTAD</t>
        </is>
      </c>
      <c r="H52" t="inlineStr">
        <is>
          <t>Sveaskog</t>
        </is>
      </c>
      <c r="I52" t="n">
        <v>1.5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30827-2022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44758</v>
      </c>
      <c r="E53" s="1" t="n">
        <v>46314</v>
      </c>
      <c r="F53" t="inlineStr">
        <is>
          <t>VÄSTRA GÖTALANDS LÄN</t>
        </is>
      </c>
      <c r="G53" t="inlineStr">
        <is>
          <t>MARIESTAD</t>
        </is>
      </c>
      <c r="I53" t="n">
        <v>0.7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19544-2022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44693</v>
      </c>
      <c r="E54" s="1" t="n">
        <v>46314</v>
      </c>
      <c r="F54" t="inlineStr">
        <is>
          <t>VÄSTRA GÖTALANDS LÄN</t>
        </is>
      </c>
      <c r="G54" t="inlineStr">
        <is>
          <t>MARIESTAD</t>
        </is>
      </c>
      <c r="I54" t="n">
        <v>2.6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13790-2022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44649</v>
      </c>
      <c r="E55" s="1" t="n">
        <v>46314</v>
      </c>
      <c r="F55" t="inlineStr">
        <is>
          <t>VÄSTRA GÖTALANDS LÄN</t>
        </is>
      </c>
      <c r="G55" t="inlineStr">
        <is>
          <t>MARIESTAD</t>
        </is>
      </c>
      <c r="I55" t="n">
        <v>2.5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813-2022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44571</v>
      </c>
      <c r="E56" s="1" t="n">
        <v>46314</v>
      </c>
      <c r="F56" t="inlineStr">
        <is>
          <t>VÄSTRA GÖTALANDS LÄN</t>
        </is>
      </c>
      <c r="G56" t="inlineStr">
        <is>
          <t>MARIESTAD</t>
        </is>
      </c>
      <c r="I56" t="n">
        <v>2.2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53822-2022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44880</v>
      </c>
      <c r="E57" s="1" t="n">
        <v>46314</v>
      </c>
      <c r="F57" t="inlineStr">
        <is>
          <t>VÄSTRA GÖTALANDS LÄN</t>
        </is>
      </c>
      <c r="G57" t="inlineStr">
        <is>
          <t>MARIESTAD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68081-2021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44526</v>
      </c>
      <c r="E58" s="1" t="n">
        <v>46314</v>
      </c>
      <c r="F58" t="inlineStr">
        <is>
          <t>VÄSTRA GÖTALANDS LÄN</t>
        </is>
      </c>
      <c r="G58" t="inlineStr">
        <is>
          <t>MARIESTAD</t>
        </is>
      </c>
      <c r="H58" t="inlineStr">
        <is>
          <t>Sveaskog</t>
        </is>
      </c>
      <c r="I58" t="n">
        <v>0.8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67142-2021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44523</v>
      </c>
      <c r="E59" s="1" t="n">
        <v>46314</v>
      </c>
      <c r="F59" t="inlineStr">
        <is>
          <t>VÄSTRA GÖTALANDS LÄN</t>
        </is>
      </c>
      <c r="G59" t="inlineStr">
        <is>
          <t>MARIESTAD</t>
        </is>
      </c>
      <c r="I59" t="n">
        <v>3.7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4631-2022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44592</v>
      </c>
      <c r="E60" s="1" t="n">
        <v>46314</v>
      </c>
      <c r="F60" t="inlineStr">
        <is>
          <t>VÄSTRA GÖTALANDS LÄN</t>
        </is>
      </c>
      <c r="G60" t="inlineStr">
        <is>
          <t>MARIESTAD</t>
        </is>
      </c>
      <c r="I60" t="n">
        <v>0.7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68922-2021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44530</v>
      </c>
      <c r="E61" s="1" t="n">
        <v>46314</v>
      </c>
      <c r="F61" t="inlineStr">
        <is>
          <t>VÄSTRA GÖTALANDS LÄN</t>
        </is>
      </c>
      <c r="G61" t="inlineStr">
        <is>
          <t>MARIESTAD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2394-2025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45674</v>
      </c>
      <c r="E62" s="1" t="n">
        <v>46314</v>
      </c>
      <c r="F62" t="inlineStr">
        <is>
          <t>VÄSTRA GÖTALANDS LÄN</t>
        </is>
      </c>
      <c r="G62" t="inlineStr">
        <is>
          <t>MARIESTAD</t>
        </is>
      </c>
      <c r="I62" t="n">
        <v>1.3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11397-2022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44630</v>
      </c>
      <c r="E63" s="1" t="n">
        <v>46314</v>
      </c>
      <c r="F63" t="inlineStr">
        <is>
          <t>VÄSTRA GÖTALANDS LÄN</t>
        </is>
      </c>
      <c r="G63" t="inlineStr">
        <is>
          <t>MARIESTAD</t>
        </is>
      </c>
      <c r="I63" t="n">
        <v>1.5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48255-2024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45590</v>
      </c>
      <c r="E64" s="1" t="n">
        <v>46314</v>
      </c>
      <c r="F64" t="inlineStr">
        <is>
          <t>VÄSTRA GÖTALANDS LÄN</t>
        </is>
      </c>
      <c r="G64" t="inlineStr">
        <is>
          <t>MARIESTAD</t>
        </is>
      </c>
      <c r="H64" t="inlineStr">
        <is>
          <t>Kyrkan</t>
        </is>
      </c>
      <c r="I64" t="n">
        <v>2.8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45110-2022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44843</v>
      </c>
      <c r="E65" s="1" t="n">
        <v>46314</v>
      </c>
      <c r="F65" t="inlineStr">
        <is>
          <t>VÄSTRA GÖTALANDS LÄN</t>
        </is>
      </c>
      <c r="G65" t="inlineStr">
        <is>
          <t>MARIESTAD</t>
        </is>
      </c>
      <c r="I65" t="n">
        <v>2.3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2908-2025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45677</v>
      </c>
      <c r="E66" s="1" t="n">
        <v>46314</v>
      </c>
      <c r="F66" t="inlineStr">
        <is>
          <t>VÄSTRA GÖTALANDS LÄN</t>
        </is>
      </c>
      <c r="G66" t="inlineStr">
        <is>
          <t>MARIESTAD</t>
        </is>
      </c>
      <c r="I66" t="n">
        <v>8.800000000000001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41993-2022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44830</v>
      </c>
      <c r="E67" s="1" t="n">
        <v>46314</v>
      </c>
      <c r="F67" t="inlineStr">
        <is>
          <t>VÄSTRA GÖTALANDS LÄN</t>
        </is>
      </c>
      <c r="G67" t="inlineStr">
        <is>
          <t>MARIESTAD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1636-2022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44574</v>
      </c>
      <c r="E68" s="1" t="n">
        <v>46314</v>
      </c>
      <c r="F68" t="inlineStr">
        <is>
          <t>VÄSTRA GÖTALANDS LÄN</t>
        </is>
      </c>
      <c r="G68" t="inlineStr">
        <is>
          <t>MARIESTAD</t>
        </is>
      </c>
      <c r="I68" t="n">
        <v>1.1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14657-2024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45397</v>
      </c>
      <c r="E69" s="1" t="n">
        <v>46314</v>
      </c>
      <c r="F69" t="inlineStr">
        <is>
          <t>VÄSTRA GÖTALANDS LÄN</t>
        </is>
      </c>
      <c r="G69" t="inlineStr">
        <is>
          <t>MARIESTAD</t>
        </is>
      </c>
      <c r="I69" t="n">
        <v>0.9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7490-2025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45705</v>
      </c>
      <c r="E70" s="1" t="n">
        <v>46314</v>
      </c>
      <c r="F70" t="inlineStr">
        <is>
          <t>VÄSTRA GÖTALANDS LÄN</t>
        </is>
      </c>
      <c r="G70" t="inlineStr">
        <is>
          <t>MARIESTAD</t>
        </is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11147-2022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44629</v>
      </c>
      <c r="E71" s="1" t="n">
        <v>46314</v>
      </c>
      <c r="F71" t="inlineStr">
        <is>
          <t>VÄSTRA GÖTALANDS LÄN</t>
        </is>
      </c>
      <c r="G71" t="inlineStr">
        <is>
          <t>MARIESTAD</t>
        </is>
      </c>
      <c r="H71" t="inlineStr">
        <is>
          <t>Kommuner</t>
        </is>
      </c>
      <c r="I71" t="n">
        <v>1.6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48297-2024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45590</v>
      </c>
      <c r="E72" s="1" t="n">
        <v>46314</v>
      </c>
      <c r="F72" t="inlineStr">
        <is>
          <t>VÄSTRA GÖTALANDS LÄN</t>
        </is>
      </c>
      <c r="G72" t="inlineStr">
        <is>
          <t>MARIESTAD</t>
        </is>
      </c>
      <c r="I72" t="n">
        <v>2.6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42000-2022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44830</v>
      </c>
      <c r="E73" s="1" t="n">
        <v>46314</v>
      </c>
      <c r="F73" t="inlineStr">
        <is>
          <t>VÄSTRA GÖTALANDS LÄN</t>
        </is>
      </c>
      <c r="G73" t="inlineStr">
        <is>
          <t>MARIESTAD</t>
        </is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26790-2024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45470</v>
      </c>
      <c r="E74" s="1" t="n">
        <v>46314</v>
      </c>
      <c r="F74" t="inlineStr">
        <is>
          <t>VÄSTRA GÖTALANDS LÄN</t>
        </is>
      </c>
      <c r="G74" t="inlineStr">
        <is>
          <t>MARIESTAD</t>
        </is>
      </c>
      <c r="H74" t="inlineStr">
        <is>
          <t>Kyrkan</t>
        </is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4437-2024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45324</v>
      </c>
      <c r="E75" s="1" t="n">
        <v>46314</v>
      </c>
      <c r="F75" t="inlineStr">
        <is>
          <t>VÄSTRA GÖTALANDS LÄN</t>
        </is>
      </c>
      <c r="G75" t="inlineStr">
        <is>
          <t>MARIESTAD</t>
        </is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46523-2022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44847</v>
      </c>
      <c r="E76" s="1" t="n">
        <v>46314</v>
      </c>
      <c r="F76" t="inlineStr">
        <is>
          <t>VÄSTRA GÖTALANDS LÄN</t>
        </is>
      </c>
      <c r="G76" t="inlineStr">
        <is>
          <t>MARIESTAD</t>
        </is>
      </c>
      <c r="I76" t="n">
        <v>4.2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27451-2023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45097</v>
      </c>
      <c r="E77" s="1" t="n">
        <v>46314</v>
      </c>
      <c r="F77" t="inlineStr">
        <is>
          <t>VÄSTRA GÖTALANDS LÄN</t>
        </is>
      </c>
      <c r="G77" t="inlineStr">
        <is>
          <t>MARIESTAD</t>
        </is>
      </c>
      <c r="I77" t="n">
        <v>0.9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50327-2024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45600</v>
      </c>
      <c r="E78" s="1" t="n">
        <v>46314</v>
      </c>
      <c r="F78" t="inlineStr">
        <is>
          <t>VÄSTRA GÖTALANDS LÄN</t>
        </is>
      </c>
      <c r="G78" t="inlineStr">
        <is>
          <t>MARIESTAD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66771-2021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44521</v>
      </c>
      <c r="E79" s="1" t="n">
        <v>46314</v>
      </c>
      <c r="F79" t="inlineStr">
        <is>
          <t>VÄSTRA GÖTALANDS LÄN</t>
        </is>
      </c>
      <c r="G79" t="inlineStr">
        <is>
          <t>MARIESTAD</t>
        </is>
      </c>
      <c r="I79" t="n">
        <v>5.6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49184-2023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45210</v>
      </c>
      <c r="E80" s="1" t="n">
        <v>46314</v>
      </c>
      <c r="F80" t="inlineStr">
        <is>
          <t>VÄSTRA GÖTALANDS LÄN</t>
        </is>
      </c>
      <c r="G80" t="inlineStr">
        <is>
          <t>MARIESTAD</t>
        </is>
      </c>
      <c r="I80" t="n">
        <v>9.1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49205-2023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45210</v>
      </c>
      <c r="E81" s="1" t="n">
        <v>46314</v>
      </c>
      <c r="F81" t="inlineStr">
        <is>
          <t>VÄSTRA GÖTALANDS LÄN</t>
        </is>
      </c>
      <c r="G81" t="inlineStr">
        <is>
          <t>MARIESTAD</t>
        </is>
      </c>
      <c r="I81" t="n">
        <v>1.9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2386-2023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44942</v>
      </c>
      <c r="E82" s="1" t="n">
        <v>46314</v>
      </c>
      <c r="F82" t="inlineStr">
        <is>
          <t>VÄSTRA GÖTALANDS LÄN</t>
        </is>
      </c>
      <c r="G82" t="inlineStr">
        <is>
          <t>MARIESTAD</t>
        </is>
      </c>
      <c r="I82" t="n">
        <v>0.8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19553-2022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44693</v>
      </c>
      <c r="E83" s="1" t="n">
        <v>46314</v>
      </c>
      <c r="F83" t="inlineStr">
        <is>
          <t>VÄSTRA GÖTALANDS LÄN</t>
        </is>
      </c>
      <c r="G83" t="inlineStr">
        <is>
          <t>MARIESTAD</t>
        </is>
      </c>
      <c r="I83" t="n">
        <v>1.6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28053-2022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44746</v>
      </c>
      <c r="E84" s="1" t="n">
        <v>46314</v>
      </c>
      <c r="F84" t="inlineStr">
        <is>
          <t>VÄSTRA GÖTALANDS LÄN</t>
        </is>
      </c>
      <c r="G84" t="inlineStr">
        <is>
          <t>MARIESTAD</t>
        </is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70295-2021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44536</v>
      </c>
      <c r="E85" s="1" t="n">
        <v>46314</v>
      </c>
      <c r="F85" t="inlineStr">
        <is>
          <t>VÄSTRA GÖTALANDS LÄN</t>
        </is>
      </c>
      <c r="G85" t="inlineStr">
        <is>
          <t>MARIESTAD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56054-2023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45240</v>
      </c>
      <c r="E86" s="1" t="n">
        <v>46314</v>
      </c>
      <c r="F86" t="inlineStr">
        <is>
          <t>VÄSTRA GÖTALANDS LÄN</t>
        </is>
      </c>
      <c r="G86" t="inlineStr">
        <is>
          <t>MARIESTAD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7418-2023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44971</v>
      </c>
      <c r="E87" s="1" t="n">
        <v>46314</v>
      </c>
      <c r="F87" t="inlineStr">
        <is>
          <t>VÄSTRA GÖTALANDS LÄN</t>
        </is>
      </c>
      <c r="G87" t="inlineStr">
        <is>
          <t>MARIESTAD</t>
        </is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35047-2022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44797</v>
      </c>
      <c r="E88" s="1" t="n">
        <v>46314</v>
      </c>
      <c r="F88" t="inlineStr">
        <is>
          <t>VÄSTRA GÖTALANDS LÄN</t>
        </is>
      </c>
      <c r="G88" t="inlineStr">
        <is>
          <t>MARIESTAD</t>
        </is>
      </c>
      <c r="I88" t="n">
        <v>1.3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11414-2023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44993</v>
      </c>
      <c r="E89" s="1" t="n">
        <v>46314</v>
      </c>
      <c r="F89" t="inlineStr">
        <is>
          <t>VÄSTRA GÖTALANDS LÄN</t>
        </is>
      </c>
      <c r="G89" t="inlineStr">
        <is>
          <t>MARIESTAD</t>
        </is>
      </c>
      <c r="H89" t="inlineStr">
        <is>
          <t>Sveaskog</t>
        </is>
      </c>
      <c r="I89" t="n">
        <v>2.6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62772-2023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45268</v>
      </c>
      <c r="E90" s="1" t="n">
        <v>46314</v>
      </c>
      <c r="F90" t="inlineStr">
        <is>
          <t>VÄSTRA GÖTALANDS LÄN</t>
        </is>
      </c>
      <c r="G90" t="inlineStr">
        <is>
          <t>MARIESTAD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38800-2023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45163</v>
      </c>
      <c r="E91" s="1" t="n">
        <v>46314</v>
      </c>
      <c r="F91" t="inlineStr">
        <is>
          <t>VÄSTRA GÖTALANDS LÄN</t>
        </is>
      </c>
      <c r="G91" t="inlineStr">
        <is>
          <t>MARIESTAD</t>
        </is>
      </c>
      <c r="H91" t="inlineStr">
        <is>
          <t>Sveaskog</t>
        </is>
      </c>
      <c r="I91" t="n">
        <v>2.4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7033-2024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45343</v>
      </c>
      <c r="E92" s="1" t="n">
        <v>46314</v>
      </c>
      <c r="F92" t="inlineStr">
        <is>
          <t>VÄSTRA GÖTALANDS LÄN</t>
        </is>
      </c>
      <c r="G92" t="inlineStr">
        <is>
          <t>MARIESTAD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11729-2024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45373</v>
      </c>
      <c r="E93" s="1" t="n">
        <v>46314</v>
      </c>
      <c r="F93" t="inlineStr">
        <is>
          <t>VÄSTRA GÖTALANDS LÄN</t>
        </is>
      </c>
      <c r="G93" t="inlineStr">
        <is>
          <t>MARIESTAD</t>
        </is>
      </c>
      <c r="I93" t="n">
        <v>3.7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61601-2023</t>
        </is>
      </c>
      <c r="B94" t="inlineStr">
        <is>
          <t>avverkningsanmälan</t>
        </is>
      </c>
      <c r="C94" t="inlineStr">
        <is>
          <t>Avverkning för annat ändamål</t>
        </is>
      </c>
      <c r="D94" s="1" t="n">
        <v>45265</v>
      </c>
      <c r="E94" s="1" t="n">
        <v>46314</v>
      </c>
      <c r="F94" t="inlineStr">
        <is>
          <t>VÄSTRA GÖTALANDS LÄN</t>
        </is>
      </c>
      <c r="G94" t="inlineStr">
        <is>
          <t>MARIESTAD</t>
        </is>
      </c>
      <c r="H94" t="inlineStr">
        <is>
          <t>Sveaskog</t>
        </is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70259-2021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44536</v>
      </c>
      <c r="E95" s="1" t="n">
        <v>46314</v>
      </c>
      <c r="F95" t="inlineStr">
        <is>
          <t>VÄSTRA GÖTALANDS LÄN</t>
        </is>
      </c>
      <c r="G95" t="inlineStr">
        <is>
          <t>MARIESTAD</t>
        </is>
      </c>
      <c r="H95" t="inlineStr">
        <is>
          <t>Sveaskog</t>
        </is>
      </c>
      <c r="I95" t="n">
        <v>2.7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41390-2024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45560</v>
      </c>
      <c r="E96" s="1" t="n">
        <v>46314</v>
      </c>
      <c r="F96" t="inlineStr">
        <is>
          <t>VÄSTRA GÖTALANDS LÄN</t>
        </is>
      </c>
      <c r="G96" t="inlineStr">
        <is>
          <t>MARIESTAD</t>
        </is>
      </c>
      <c r="H96" t="inlineStr">
        <is>
          <t>Sveaskog</t>
        </is>
      </c>
      <c r="I96" t="n">
        <v>0.7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14288-2024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45393</v>
      </c>
      <c r="E97" s="1" t="n">
        <v>46314</v>
      </c>
      <c r="F97" t="inlineStr">
        <is>
          <t>VÄSTRA GÖTALANDS LÄN</t>
        </is>
      </c>
      <c r="G97" t="inlineStr">
        <is>
          <t>MARIESTAD</t>
        </is>
      </c>
      <c r="I97" t="n">
        <v>1.5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28050-2022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44746</v>
      </c>
      <c r="E98" s="1" t="n">
        <v>46314</v>
      </c>
      <c r="F98" t="inlineStr">
        <is>
          <t>VÄSTRA GÖTALANDS LÄN</t>
        </is>
      </c>
      <c r="G98" t="inlineStr">
        <is>
          <t>MARIESTAD</t>
        </is>
      </c>
      <c r="I98" t="n">
        <v>2.2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28056-2022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44746</v>
      </c>
      <c r="E99" s="1" t="n">
        <v>46314</v>
      </c>
      <c r="F99" t="inlineStr">
        <is>
          <t>VÄSTRA GÖTALANDS LÄN</t>
        </is>
      </c>
      <c r="G99" t="inlineStr">
        <is>
          <t>MARIESTAD</t>
        </is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58286-2022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44901</v>
      </c>
      <c r="E100" s="1" t="n">
        <v>46314</v>
      </c>
      <c r="F100" t="inlineStr">
        <is>
          <t>VÄSTRA GÖTALANDS LÄN</t>
        </is>
      </c>
      <c r="G100" t="inlineStr">
        <is>
          <t>MARIESTAD</t>
        </is>
      </c>
      <c r="H100" t="inlineStr">
        <is>
          <t>Kyrkan</t>
        </is>
      </c>
      <c r="I100" t="n">
        <v>3.9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54717-2022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44883</v>
      </c>
      <c r="E101" s="1" t="n">
        <v>46314</v>
      </c>
      <c r="F101" t="inlineStr">
        <is>
          <t>VÄSTRA GÖTALANDS LÄN</t>
        </is>
      </c>
      <c r="G101" t="inlineStr">
        <is>
          <t>MARIESTAD</t>
        </is>
      </c>
      <c r="H101" t="inlineStr">
        <is>
          <t>Sveaskog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15206-2025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45744</v>
      </c>
      <c r="E102" s="1" t="n">
        <v>46314</v>
      </c>
      <c r="F102" t="inlineStr">
        <is>
          <t>VÄSTRA GÖTALANDS LÄN</t>
        </is>
      </c>
      <c r="G102" t="inlineStr">
        <is>
          <t>MARIESTAD</t>
        </is>
      </c>
      <c r="I102" t="n">
        <v>4.7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48187-2023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45199</v>
      </c>
      <c r="E103" s="1" t="n">
        <v>46314</v>
      </c>
      <c r="F103" t="inlineStr">
        <is>
          <t>VÄSTRA GÖTALANDS LÄN</t>
        </is>
      </c>
      <c r="G103" t="inlineStr">
        <is>
          <t>MARIESTAD</t>
        </is>
      </c>
      <c r="I103" t="n">
        <v>2.6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5011-2023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44958</v>
      </c>
      <c r="E104" s="1" t="n">
        <v>46314</v>
      </c>
      <c r="F104" t="inlineStr">
        <is>
          <t>VÄSTRA GÖTALANDS LÄN</t>
        </is>
      </c>
      <c r="G104" t="inlineStr">
        <is>
          <t>MARIESTAD</t>
        </is>
      </c>
      <c r="I104" t="n">
        <v>4.4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6176-2023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44964</v>
      </c>
      <c r="E105" s="1" t="n">
        <v>46314</v>
      </c>
      <c r="F105" t="inlineStr">
        <is>
          <t>VÄSTRA GÖTALANDS LÄN</t>
        </is>
      </c>
      <c r="G105" t="inlineStr">
        <is>
          <t>MARIESTAD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39046-2024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45548</v>
      </c>
      <c r="E106" s="1" t="n">
        <v>46314</v>
      </c>
      <c r="F106" t="inlineStr">
        <is>
          <t>VÄSTRA GÖTALANDS LÄN</t>
        </is>
      </c>
      <c r="G106" t="inlineStr">
        <is>
          <t>MARIESTAD</t>
        </is>
      </c>
      <c r="I106" t="n">
        <v>5.7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46945-2023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45201</v>
      </c>
      <c r="E107" s="1" t="n">
        <v>46314</v>
      </c>
      <c r="F107" t="inlineStr">
        <is>
          <t>VÄSTRA GÖTALANDS LÄN</t>
        </is>
      </c>
      <c r="G107" t="inlineStr">
        <is>
          <t>MARIESTAD</t>
        </is>
      </c>
      <c r="I107" t="n">
        <v>1.5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31384-2022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44774</v>
      </c>
      <c r="E108" s="1" t="n">
        <v>46314</v>
      </c>
      <c r="F108" t="inlineStr">
        <is>
          <t>VÄSTRA GÖTALANDS LÄN</t>
        </is>
      </c>
      <c r="G108" t="inlineStr">
        <is>
          <t>MARIESTAD</t>
        </is>
      </c>
      <c r="I108" t="n">
        <v>1.8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18962-2025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45764</v>
      </c>
      <c r="E109" s="1" t="n">
        <v>46314</v>
      </c>
      <c r="F109" t="inlineStr">
        <is>
          <t>VÄSTRA GÖTALANDS LÄN</t>
        </is>
      </c>
      <c r="G109" t="inlineStr">
        <is>
          <t>MARIESTAD</t>
        </is>
      </c>
      <c r="I109" t="n">
        <v>0.6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11814-2023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44994</v>
      </c>
      <c r="E110" s="1" t="n">
        <v>46314</v>
      </c>
      <c r="F110" t="inlineStr">
        <is>
          <t>VÄSTRA GÖTALANDS LÄN</t>
        </is>
      </c>
      <c r="G110" t="inlineStr">
        <is>
          <t>MARIESTAD</t>
        </is>
      </c>
      <c r="I110" t="n">
        <v>1.1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1545-2023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44937</v>
      </c>
      <c r="E111" s="1" t="n">
        <v>46314</v>
      </c>
      <c r="F111" t="inlineStr">
        <is>
          <t>VÄSTRA GÖTALANDS LÄN</t>
        </is>
      </c>
      <c r="G111" t="inlineStr">
        <is>
          <t>MARIESTAD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13315-2022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44645</v>
      </c>
      <c r="E112" s="1" t="n">
        <v>46314</v>
      </c>
      <c r="F112" t="inlineStr">
        <is>
          <t>VÄSTRA GÖTALANDS LÄN</t>
        </is>
      </c>
      <c r="G112" t="inlineStr">
        <is>
          <t>MARIESTAD</t>
        </is>
      </c>
      <c r="H112" t="inlineStr">
        <is>
          <t>Sveaskog</t>
        </is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40455-2023</t>
        </is>
      </c>
      <c r="B113" t="inlineStr">
        <is>
          <t>avverkningsanmälan</t>
        </is>
      </c>
      <c r="C113" t="inlineStr">
        <is>
          <t>Avverkning för annat ändamål</t>
        </is>
      </c>
      <c r="D113" s="1" t="n">
        <v>45170</v>
      </c>
      <c r="E113" s="1" t="n">
        <v>46314</v>
      </c>
      <c r="F113" t="inlineStr">
        <is>
          <t>VÄSTRA GÖTALANDS LÄN</t>
        </is>
      </c>
      <c r="G113" t="inlineStr">
        <is>
          <t>MARIESTAD</t>
        </is>
      </c>
      <c r="I113" t="n">
        <v>34.9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38948-2025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45887</v>
      </c>
      <c r="E114" s="1" t="n">
        <v>46314</v>
      </c>
      <c r="F114" t="inlineStr">
        <is>
          <t>VÄSTRA GÖTALANDS LÄN</t>
        </is>
      </c>
      <c r="G114" t="inlineStr">
        <is>
          <t>MARIESTAD</t>
        </is>
      </c>
      <c r="H114" t="inlineStr">
        <is>
          <t>Sveaskog</t>
        </is>
      </c>
      <c r="I114" t="n">
        <v>2.5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43466-2022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44836</v>
      </c>
      <c r="E115" s="1" t="n">
        <v>46314</v>
      </c>
      <c r="F115" t="inlineStr">
        <is>
          <t>VÄSTRA GÖTALANDS LÄN</t>
        </is>
      </c>
      <c r="G115" t="inlineStr">
        <is>
          <t>MARIESTAD</t>
        </is>
      </c>
      <c r="I115" t="n">
        <v>2.1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10839-2025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45722</v>
      </c>
      <c r="E116" s="1" t="n">
        <v>46314</v>
      </c>
      <c r="F116" t="inlineStr">
        <is>
          <t>VÄSTRA GÖTALANDS LÄN</t>
        </is>
      </c>
      <c r="G116" t="inlineStr">
        <is>
          <t>MARIESTAD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39766-2023</t>
        </is>
      </c>
      <c r="B117" t="inlineStr">
        <is>
          <t>avverkningsanmälan</t>
        </is>
      </c>
      <c r="C117" t="inlineStr">
        <is>
          <t>Avverkning för annat ändamål</t>
        </is>
      </c>
      <c r="D117" s="1" t="n">
        <v>45167</v>
      </c>
      <c r="E117" s="1" t="n">
        <v>46314</v>
      </c>
      <c r="F117" t="inlineStr">
        <is>
          <t>VÄSTRA GÖTALANDS LÄN</t>
        </is>
      </c>
      <c r="G117" t="inlineStr">
        <is>
          <t>MARIESTAD</t>
        </is>
      </c>
      <c r="I117" t="n">
        <v>26.5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51776-2023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45222</v>
      </c>
      <c r="E118" s="1" t="n">
        <v>46314</v>
      </c>
      <c r="F118" t="inlineStr">
        <is>
          <t>VÄSTRA GÖTALANDS LÄN</t>
        </is>
      </c>
      <c r="G118" t="inlineStr">
        <is>
          <t>MARIESTAD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45636-2022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44843</v>
      </c>
      <c r="E119" s="1" t="n">
        <v>46314</v>
      </c>
      <c r="F119" t="inlineStr">
        <is>
          <t>VÄSTRA GÖTALANDS LÄN</t>
        </is>
      </c>
      <c r="G119" t="inlineStr">
        <is>
          <t>MARIESTAD</t>
        </is>
      </c>
      <c r="I119" t="n">
        <v>1.8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49932-2022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44865</v>
      </c>
      <c r="E120" s="1" t="n">
        <v>46314</v>
      </c>
      <c r="F120" t="inlineStr">
        <is>
          <t>VÄSTRA GÖTALANDS LÄN</t>
        </is>
      </c>
      <c r="G120" t="inlineStr">
        <is>
          <t>MARIESTAD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38915-2025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45887</v>
      </c>
      <c r="E121" s="1" t="n">
        <v>46314</v>
      </c>
      <c r="F121" t="inlineStr">
        <is>
          <t>VÄSTRA GÖTALANDS LÄN</t>
        </is>
      </c>
      <c r="G121" t="inlineStr">
        <is>
          <t>MARIESTAD</t>
        </is>
      </c>
      <c r="H121" t="inlineStr">
        <is>
          <t>Sveaskog</t>
        </is>
      </c>
      <c r="I121" t="n">
        <v>0.9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38950-2025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45887</v>
      </c>
      <c r="E122" s="1" t="n">
        <v>46314</v>
      </c>
      <c r="F122" t="inlineStr">
        <is>
          <t>VÄSTRA GÖTALANDS LÄN</t>
        </is>
      </c>
      <c r="G122" t="inlineStr">
        <is>
          <t>MARIESTAD</t>
        </is>
      </c>
      <c r="H122" t="inlineStr">
        <is>
          <t>Sveaskog</t>
        </is>
      </c>
      <c r="I122" t="n">
        <v>2.6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38947-2025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45887</v>
      </c>
      <c r="E123" s="1" t="n">
        <v>46314</v>
      </c>
      <c r="F123" t="inlineStr">
        <is>
          <t>VÄSTRA GÖTALANDS LÄN</t>
        </is>
      </c>
      <c r="G123" t="inlineStr">
        <is>
          <t>MARIESTAD</t>
        </is>
      </c>
      <c r="H123" t="inlineStr">
        <is>
          <t>Sveaskog</t>
        </is>
      </c>
      <c r="I123" t="n">
        <v>3.4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12532-2022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44638</v>
      </c>
      <c r="E124" s="1" t="n">
        <v>46314</v>
      </c>
      <c r="F124" t="inlineStr">
        <is>
          <t>VÄSTRA GÖTALANDS LÄN</t>
        </is>
      </c>
      <c r="G124" t="inlineStr">
        <is>
          <t>MARIESTAD</t>
        </is>
      </c>
      <c r="I124" t="n">
        <v>3.1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40952-2025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45897</v>
      </c>
      <c r="E125" s="1" t="n">
        <v>46314</v>
      </c>
      <c r="F125" t="inlineStr">
        <is>
          <t>VÄSTRA GÖTALANDS LÄN</t>
        </is>
      </c>
      <c r="G125" t="inlineStr">
        <is>
          <t>MARIESTAD</t>
        </is>
      </c>
      <c r="I125" t="n">
        <v>0.7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21965-2024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45443</v>
      </c>
      <c r="E126" s="1" t="n">
        <v>46314</v>
      </c>
      <c r="F126" t="inlineStr">
        <is>
          <t>VÄSTRA GÖTALANDS LÄN</t>
        </is>
      </c>
      <c r="G126" t="inlineStr">
        <is>
          <t>MARIESTAD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37171-2025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45875</v>
      </c>
      <c r="E127" s="1" t="n">
        <v>46314</v>
      </c>
      <c r="F127" t="inlineStr">
        <is>
          <t>VÄSTRA GÖTALANDS LÄN</t>
        </is>
      </c>
      <c r="G127" t="inlineStr">
        <is>
          <t>MARIESTAD</t>
        </is>
      </c>
      <c r="I127" t="n">
        <v>0.7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1283-2023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44936</v>
      </c>
      <c r="E128" s="1" t="n">
        <v>46314</v>
      </c>
      <c r="F128" t="inlineStr">
        <is>
          <t>VÄSTRA GÖTALANDS LÄN</t>
        </is>
      </c>
      <c r="G128" t="inlineStr">
        <is>
          <t>MARIESTAD</t>
        </is>
      </c>
      <c r="I128" t="n">
        <v>4.1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41406-2024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45560</v>
      </c>
      <c r="E129" s="1" t="n">
        <v>46314</v>
      </c>
      <c r="F129" t="inlineStr">
        <is>
          <t>VÄSTRA GÖTALANDS LÄN</t>
        </is>
      </c>
      <c r="G129" t="inlineStr">
        <is>
          <t>MARIESTAD</t>
        </is>
      </c>
      <c r="H129" t="inlineStr">
        <is>
          <t>Sveaskog</t>
        </is>
      </c>
      <c r="I129" t="n">
        <v>1.6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38114-2022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44812</v>
      </c>
      <c r="E130" s="1" t="n">
        <v>46314</v>
      </c>
      <c r="F130" t="inlineStr">
        <is>
          <t>VÄSTRA GÖTALANDS LÄN</t>
        </is>
      </c>
      <c r="G130" t="inlineStr">
        <is>
          <t>MARIESTAD</t>
        </is>
      </c>
      <c r="I130" t="n">
        <v>4.6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12011-2025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45728</v>
      </c>
      <c r="E131" s="1" t="n">
        <v>46314</v>
      </c>
      <c r="F131" t="inlineStr">
        <is>
          <t>VÄSTRA GÖTALANDS LÄN</t>
        </is>
      </c>
      <c r="G131" t="inlineStr">
        <is>
          <t>MARIESTAD</t>
        </is>
      </c>
      <c r="H131" t="inlineStr">
        <is>
          <t>Sveaskog</t>
        </is>
      </c>
      <c r="I131" t="n">
        <v>0.9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46893-2023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45201</v>
      </c>
      <c r="E132" s="1" t="n">
        <v>46314</v>
      </c>
      <c r="F132" t="inlineStr">
        <is>
          <t>VÄSTRA GÖTALANDS LÄN</t>
        </is>
      </c>
      <c r="G132" t="inlineStr">
        <is>
          <t>MARIESTAD</t>
        </is>
      </c>
      <c r="I132" t="n">
        <v>1.5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47777-2023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45203</v>
      </c>
      <c r="E133" s="1" t="n">
        <v>46314</v>
      </c>
      <c r="F133" t="inlineStr">
        <is>
          <t>VÄSTRA GÖTALANDS LÄN</t>
        </is>
      </c>
      <c r="G133" t="inlineStr">
        <is>
          <t>MARIESTAD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6387-2023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44965</v>
      </c>
      <c r="E134" s="1" t="n">
        <v>46314</v>
      </c>
      <c r="F134" t="inlineStr">
        <is>
          <t>VÄSTRA GÖTALANDS LÄN</t>
        </is>
      </c>
      <c r="G134" t="inlineStr">
        <is>
          <t>MARIESTAD</t>
        </is>
      </c>
      <c r="I134" t="n">
        <v>0.9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10182-2023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44986</v>
      </c>
      <c r="E135" s="1" t="n">
        <v>46314</v>
      </c>
      <c r="F135" t="inlineStr">
        <is>
          <t>VÄSTRA GÖTALANDS LÄN</t>
        </is>
      </c>
      <c r="G135" t="inlineStr">
        <is>
          <t>MARIESTAD</t>
        </is>
      </c>
      <c r="I135" t="n">
        <v>0.4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43093-2025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45909</v>
      </c>
      <c r="E136" s="1" t="n">
        <v>46314</v>
      </c>
      <c r="F136" t="inlineStr">
        <is>
          <t>VÄSTRA GÖTALANDS LÄN</t>
        </is>
      </c>
      <c r="G136" t="inlineStr">
        <is>
          <t>MARIESTAD</t>
        </is>
      </c>
      <c r="I136" t="n">
        <v>2.4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43096-2025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45909</v>
      </c>
      <c r="E137" s="1" t="n">
        <v>46314</v>
      </c>
      <c r="F137" t="inlineStr">
        <is>
          <t>VÄSTRA GÖTALANDS LÄN</t>
        </is>
      </c>
      <c r="G137" t="inlineStr">
        <is>
          <t>MARIESTAD</t>
        </is>
      </c>
      <c r="I137" t="n">
        <v>2.1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43580-2025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45911</v>
      </c>
      <c r="E138" s="1" t="n">
        <v>46314</v>
      </c>
      <c r="F138" t="inlineStr">
        <is>
          <t>VÄSTRA GÖTALANDS LÄN</t>
        </is>
      </c>
      <c r="G138" t="inlineStr">
        <is>
          <t>MARIESTAD</t>
        </is>
      </c>
      <c r="I138" t="n">
        <v>2.2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9793-2022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44620</v>
      </c>
      <c r="E139" s="1" t="n">
        <v>46314</v>
      </c>
      <c r="F139" t="inlineStr">
        <is>
          <t>VÄSTRA GÖTALANDS LÄN</t>
        </is>
      </c>
      <c r="G139" t="inlineStr">
        <is>
          <t>MARIESTAD</t>
        </is>
      </c>
      <c r="I139" t="n">
        <v>6.2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49389-2023</t>
        </is>
      </c>
      <c r="B140" t="inlineStr">
        <is>
          <t>avverkningsanmälan</t>
        </is>
      </c>
      <c r="C140" t="inlineStr">
        <is>
          <t>Avverkning för annat ändamål</t>
        </is>
      </c>
      <c r="D140" s="1" t="n">
        <v>45211</v>
      </c>
      <c r="E140" s="1" t="n">
        <v>46314</v>
      </c>
      <c r="F140" t="inlineStr">
        <is>
          <t>VÄSTRA GÖTALANDS LÄN</t>
        </is>
      </c>
      <c r="G140" t="inlineStr">
        <is>
          <t>MARIESTAD</t>
        </is>
      </c>
      <c r="I140" t="n">
        <v>1.9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49563-2023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45211</v>
      </c>
      <c r="E141" s="1" t="n">
        <v>46314</v>
      </c>
      <c r="F141" t="inlineStr">
        <is>
          <t>VÄSTRA GÖTALANDS LÄN</t>
        </is>
      </c>
      <c r="G141" t="inlineStr">
        <is>
          <t>MARIESTAD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62089-2023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45266</v>
      </c>
      <c r="E142" s="1" t="n">
        <v>46314</v>
      </c>
      <c r="F142" t="inlineStr">
        <is>
          <t>VÄSTRA GÖTALANDS LÄN</t>
        </is>
      </c>
      <c r="G142" t="inlineStr">
        <is>
          <t>MARIESTAD</t>
        </is>
      </c>
      <c r="I142" t="n">
        <v>2.7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8144-2023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44974</v>
      </c>
      <c r="E143" s="1" t="n">
        <v>46314</v>
      </c>
      <c r="F143" t="inlineStr">
        <is>
          <t>VÄSTRA GÖTALANDS LÄN</t>
        </is>
      </c>
      <c r="G143" t="inlineStr">
        <is>
          <t>MARIESTAD</t>
        </is>
      </c>
      <c r="I143" t="n">
        <v>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8146-2023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44974</v>
      </c>
      <c r="E144" s="1" t="n">
        <v>46314</v>
      </c>
      <c r="F144" t="inlineStr">
        <is>
          <t>VÄSTRA GÖTALANDS LÄN</t>
        </is>
      </c>
      <c r="G144" t="inlineStr">
        <is>
          <t>MARIESTAD</t>
        </is>
      </c>
      <c r="I144" t="n">
        <v>2.2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22236-2023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45070</v>
      </c>
      <c r="E145" s="1" t="n">
        <v>46314</v>
      </c>
      <c r="F145" t="inlineStr">
        <is>
          <t>VÄSTRA GÖTALANDS LÄN</t>
        </is>
      </c>
      <c r="G145" t="inlineStr">
        <is>
          <t>MARIESTAD</t>
        </is>
      </c>
      <c r="H145" t="inlineStr">
        <is>
          <t>Sveaskog</t>
        </is>
      </c>
      <c r="I145" t="n">
        <v>0.9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33571-2023</t>
        </is>
      </c>
      <c r="B146" t="inlineStr">
        <is>
          <t>avverkningsanmälan</t>
        </is>
      </c>
      <c r="C146" t="inlineStr">
        <is>
          <t>Avverkning för annat ändamål</t>
        </is>
      </c>
      <c r="D146" s="1" t="n">
        <v>45131</v>
      </c>
      <c r="E146" s="1" t="n">
        <v>46314</v>
      </c>
      <c r="F146" t="inlineStr">
        <is>
          <t>VÄSTRA GÖTALANDS LÄN</t>
        </is>
      </c>
      <c r="G146" t="inlineStr">
        <is>
          <t>MARIESTAD</t>
        </is>
      </c>
      <c r="I146" t="n">
        <v>16.1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633-2025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45664</v>
      </c>
      <c r="E147" s="1" t="n">
        <v>46314</v>
      </c>
      <c r="F147" t="inlineStr">
        <is>
          <t>VÄSTRA GÖTALANDS LÄN</t>
        </is>
      </c>
      <c r="G147" t="inlineStr">
        <is>
          <t>MARIESTAD</t>
        </is>
      </c>
      <c r="I147" t="n">
        <v>8.9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11815-2023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44994</v>
      </c>
      <c r="E148" s="1" t="n">
        <v>46314</v>
      </c>
      <c r="F148" t="inlineStr">
        <is>
          <t>VÄSTRA GÖTALANDS LÄN</t>
        </is>
      </c>
      <c r="G148" t="inlineStr">
        <is>
          <t>MARIESTAD</t>
        </is>
      </c>
      <c r="I148" t="n">
        <v>2.5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16867-2023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45033</v>
      </c>
      <c r="E149" s="1" t="n">
        <v>46314</v>
      </c>
      <c r="F149" t="inlineStr">
        <is>
          <t>VÄSTRA GÖTALANDS LÄN</t>
        </is>
      </c>
      <c r="G149" t="inlineStr">
        <is>
          <t>MARIESTAD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40651-2024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45558</v>
      </c>
      <c r="E150" s="1" t="n">
        <v>46314</v>
      </c>
      <c r="F150" t="inlineStr">
        <is>
          <t>VÄSTRA GÖTALANDS LÄN</t>
        </is>
      </c>
      <c r="G150" t="inlineStr">
        <is>
          <t>MARIESTAD</t>
        </is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49188-2023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45210</v>
      </c>
      <c r="E151" s="1" t="n">
        <v>46314</v>
      </c>
      <c r="F151" t="inlineStr">
        <is>
          <t>VÄSTRA GÖTALANDS LÄN</t>
        </is>
      </c>
      <c r="G151" t="inlineStr">
        <is>
          <t>MARIESTAD</t>
        </is>
      </c>
      <c r="I151" t="n">
        <v>5.4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49193-2023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45210</v>
      </c>
      <c r="E152" s="1" t="n">
        <v>46314</v>
      </c>
      <c r="F152" t="inlineStr">
        <is>
          <t>VÄSTRA GÖTALANDS LÄN</t>
        </is>
      </c>
      <c r="G152" t="inlineStr">
        <is>
          <t>MARIESTAD</t>
        </is>
      </c>
      <c r="I152" t="n">
        <v>0.8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2583-2023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44943</v>
      </c>
      <c r="E153" s="1" t="n">
        <v>46314</v>
      </c>
      <c r="F153" t="inlineStr">
        <is>
          <t>VÄSTRA GÖTALANDS LÄN</t>
        </is>
      </c>
      <c r="G153" t="inlineStr">
        <is>
          <t>MARIESTAD</t>
        </is>
      </c>
      <c r="I153" t="n">
        <v>5.9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7032-2024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45343</v>
      </c>
      <c r="E154" s="1" t="n">
        <v>46314</v>
      </c>
      <c r="F154" t="inlineStr">
        <is>
          <t>VÄSTRA GÖTALANDS LÄN</t>
        </is>
      </c>
      <c r="G154" t="inlineStr">
        <is>
          <t>MARIESTAD</t>
        </is>
      </c>
      <c r="I154" t="n">
        <v>1.4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10458-2025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45720</v>
      </c>
      <c r="E155" s="1" t="n">
        <v>46314</v>
      </c>
      <c r="F155" t="inlineStr">
        <is>
          <t>VÄSTRA GÖTALANDS LÄN</t>
        </is>
      </c>
      <c r="G155" t="inlineStr">
        <is>
          <t>MARIESTAD</t>
        </is>
      </c>
      <c r="I155" t="n">
        <v>0.8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51222-2025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45947</v>
      </c>
      <c r="E156" s="1" t="n">
        <v>46314</v>
      </c>
      <c r="F156" t="inlineStr">
        <is>
          <t>VÄSTRA GÖTALANDS LÄN</t>
        </is>
      </c>
      <c r="G156" t="inlineStr">
        <is>
          <t>MARIESTAD</t>
        </is>
      </c>
      <c r="I156" t="n">
        <v>6.9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2551-2023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44943</v>
      </c>
      <c r="E157" s="1" t="n">
        <v>46314</v>
      </c>
      <c r="F157" t="inlineStr">
        <is>
          <t>VÄSTRA GÖTALANDS LÄN</t>
        </is>
      </c>
      <c r="G157" t="inlineStr">
        <is>
          <t>MARIESTAD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35581-2023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45135</v>
      </c>
      <c r="E158" s="1" t="n">
        <v>46314</v>
      </c>
      <c r="F158" t="inlineStr">
        <is>
          <t>VÄSTRA GÖTALANDS LÄN</t>
        </is>
      </c>
      <c r="G158" t="inlineStr">
        <is>
          <t>MARIESTAD</t>
        </is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983-2023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44935</v>
      </c>
      <c r="E159" s="1" t="n">
        <v>46314</v>
      </c>
      <c r="F159" t="inlineStr">
        <is>
          <t>VÄSTRA GÖTALANDS LÄN</t>
        </is>
      </c>
      <c r="G159" t="inlineStr">
        <is>
          <t>MARIESTAD</t>
        </is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22879-2026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46157</v>
      </c>
      <c r="E160" s="1" t="n">
        <v>46314</v>
      </c>
      <c r="F160" t="inlineStr">
        <is>
          <t>VÄSTRA GÖTALANDS LÄN</t>
        </is>
      </c>
      <c r="G160" t="inlineStr">
        <is>
          <t>MARIESTAD</t>
        </is>
      </c>
      <c r="I160" t="n">
        <v>1.1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53104-2025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45958</v>
      </c>
      <c r="E161" s="1" t="n">
        <v>46314</v>
      </c>
      <c r="F161" t="inlineStr">
        <is>
          <t>VÄSTRA GÖTALANDS LÄN</t>
        </is>
      </c>
      <c r="G161" t="inlineStr">
        <is>
          <t>MARIESTAD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12767-2024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45384</v>
      </c>
      <c r="E162" s="1" t="n">
        <v>46314</v>
      </c>
      <c r="F162" t="inlineStr">
        <is>
          <t>VÄSTRA GÖTALANDS LÄN</t>
        </is>
      </c>
      <c r="G162" t="inlineStr">
        <is>
          <t>MARIESTAD</t>
        </is>
      </c>
      <c r="I162" t="n">
        <v>3.3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22878-2026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46157</v>
      </c>
      <c r="E163" s="1" t="n">
        <v>46314</v>
      </c>
      <c r="F163" t="inlineStr">
        <is>
          <t>VÄSTRA GÖTALANDS LÄN</t>
        </is>
      </c>
      <c r="G163" t="inlineStr">
        <is>
          <t>MARIESTAD</t>
        </is>
      </c>
      <c r="I163" t="n">
        <v>1.3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53116-2025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45958</v>
      </c>
      <c r="E164" s="1" t="n">
        <v>46314</v>
      </c>
      <c r="F164" t="inlineStr">
        <is>
          <t>VÄSTRA GÖTALANDS LÄN</t>
        </is>
      </c>
      <c r="G164" t="inlineStr">
        <is>
          <t>MARIESTAD</t>
        </is>
      </c>
      <c r="I164" t="n">
        <v>0.8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53118-2025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45958</v>
      </c>
      <c r="E165" s="1" t="n">
        <v>46314</v>
      </c>
      <c r="F165" t="inlineStr">
        <is>
          <t>VÄSTRA GÖTALANDS LÄN</t>
        </is>
      </c>
      <c r="G165" t="inlineStr">
        <is>
          <t>MARIESTAD</t>
        </is>
      </c>
      <c r="I165" t="n">
        <v>0.4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21361-2026</t>
        </is>
      </c>
      <c r="B166" t="inlineStr">
        <is>
          <t>avverkningsanmälan</t>
        </is>
      </c>
      <c r="C166" t="inlineStr">
        <is>
          <t>Avverkning för att bevara och utveckla /försöksver</t>
        </is>
      </c>
      <c r="D166" s="1" t="n">
        <v>46142</v>
      </c>
      <c r="E166" s="1" t="n">
        <v>46314</v>
      </c>
      <c r="F166" t="inlineStr">
        <is>
          <t>VÄSTRA GÖTALANDS LÄN</t>
        </is>
      </c>
      <c r="G166" t="inlineStr">
        <is>
          <t>MARIESTAD</t>
        </is>
      </c>
      <c r="H166" t="inlineStr">
        <is>
          <t>Kyrkan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54447-2025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45965</v>
      </c>
      <c r="E167" s="1" t="n">
        <v>46314</v>
      </c>
      <c r="F167" t="inlineStr">
        <is>
          <t>VÄSTRA GÖTALANDS LÄN</t>
        </is>
      </c>
      <c r="G167" t="inlineStr">
        <is>
          <t>MARIESTAD</t>
        </is>
      </c>
      <c r="I167" t="n">
        <v>2.9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54828-2025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45966</v>
      </c>
      <c r="E168" s="1" t="n">
        <v>46314</v>
      </c>
      <c r="F168" t="inlineStr">
        <is>
          <t>VÄSTRA GÖTALANDS LÄN</t>
        </is>
      </c>
      <c r="G168" t="inlineStr">
        <is>
          <t>MARIESTAD</t>
        </is>
      </c>
      <c r="I168" t="n">
        <v>1.1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13655-2023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45006</v>
      </c>
      <c r="E169" s="1" t="n">
        <v>46314</v>
      </c>
      <c r="F169" t="inlineStr">
        <is>
          <t>VÄSTRA GÖTALANDS LÄN</t>
        </is>
      </c>
      <c r="G169" t="inlineStr">
        <is>
          <t>MARIESTAD</t>
        </is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52626-2023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45225</v>
      </c>
      <c r="E170" s="1" t="n">
        <v>46314</v>
      </c>
      <c r="F170" t="inlineStr">
        <is>
          <t>VÄSTRA GÖTALANDS LÄN</t>
        </is>
      </c>
      <c r="G170" t="inlineStr">
        <is>
          <t>MARIESTAD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44219-2023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45188</v>
      </c>
      <c r="E171" s="1" t="n">
        <v>46314</v>
      </c>
      <c r="F171" t="inlineStr">
        <is>
          <t>VÄSTRA GÖTALANDS LÄN</t>
        </is>
      </c>
      <c r="G171" t="inlineStr">
        <is>
          <t>MARIESTAD</t>
        </is>
      </c>
      <c r="H171" t="inlineStr">
        <is>
          <t>Sveaskog</t>
        </is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4949-2024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45329</v>
      </c>
      <c r="E172" s="1" t="n">
        <v>46314</v>
      </c>
      <c r="F172" t="inlineStr">
        <is>
          <t>VÄSTRA GÖTALANDS LÄN</t>
        </is>
      </c>
      <c r="G172" t="inlineStr">
        <is>
          <t>MARIESTAD</t>
        </is>
      </c>
      <c r="I172" t="n">
        <v>2.6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23453-2026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46163</v>
      </c>
      <c r="E173" s="1" t="n">
        <v>46314</v>
      </c>
      <c r="F173" t="inlineStr">
        <is>
          <t>VÄSTRA GÖTALANDS LÄN</t>
        </is>
      </c>
      <c r="G173" t="inlineStr">
        <is>
          <t>MARIESTAD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23585-2026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46163</v>
      </c>
      <c r="E174" s="1" t="n">
        <v>46314</v>
      </c>
      <c r="F174" t="inlineStr">
        <is>
          <t>VÄSTRA GÖTALANDS LÄN</t>
        </is>
      </c>
      <c r="G174" t="inlineStr">
        <is>
          <t>MARIESTAD</t>
        </is>
      </c>
      <c r="I174" t="n">
        <v>0.9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23454-2026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46163</v>
      </c>
      <c r="E175" s="1" t="n">
        <v>46314</v>
      </c>
      <c r="F175" t="inlineStr">
        <is>
          <t>VÄSTRA GÖTALANDS LÄN</t>
        </is>
      </c>
      <c r="G175" t="inlineStr">
        <is>
          <t>MARIESTAD</t>
        </is>
      </c>
      <c r="H175" t="inlineStr">
        <is>
          <t>Sveaskog</t>
        </is>
      </c>
      <c r="I175" t="n">
        <v>1.2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26688-2022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44739</v>
      </c>
      <c r="E176" s="1" t="n">
        <v>46314</v>
      </c>
      <c r="F176" t="inlineStr">
        <is>
          <t>VÄSTRA GÖTALANDS LÄN</t>
        </is>
      </c>
      <c r="G176" t="inlineStr">
        <is>
          <t>MARIESTAD</t>
        </is>
      </c>
      <c r="H176" t="inlineStr">
        <is>
          <t>Kommuner</t>
        </is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18129-2025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45761</v>
      </c>
      <c r="E177" s="1" t="n">
        <v>46314</v>
      </c>
      <c r="F177" t="inlineStr">
        <is>
          <t>VÄSTRA GÖTALANDS LÄN</t>
        </is>
      </c>
      <c r="G177" t="inlineStr">
        <is>
          <t>MARIESTAD</t>
        </is>
      </c>
      <c r="I177" t="n">
        <v>10.7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4241-2024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45324</v>
      </c>
      <c r="E178" s="1" t="n">
        <v>46314</v>
      </c>
      <c r="F178" t="inlineStr">
        <is>
          <t>VÄSTRA GÖTALANDS LÄN</t>
        </is>
      </c>
      <c r="G178" t="inlineStr">
        <is>
          <t>MARIESTAD</t>
        </is>
      </c>
      <c r="H178" t="inlineStr">
        <is>
          <t>Sveaskog</t>
        </is>
      </c>
      <c r="I178" t="n">
        <v>1.5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29848-2022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44756</v>
      </c>
      <c r="E179" s="1" t="n">
        <v>46314</v>
      </c>
      <c r="F179" t="inlineStr">
        <is>
          <t>VÄSTRA GÖTALANDS LÄN</t>
        </is>
      </c>
      <c r="G179" t="inlineStr">
        <is>
          <t>MARIESTAD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1315-2023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44936</v>
      </c>
      <c r="E180" s="1" t="n">
        <v>46314</v>
      </c>
      <c r="F180" t="inlineStr">
        <is>
          <t>VÄSTRA GÖTALANDS LÄN</t>
        </is>
      </c>
      <c r="G180" t="inlineStr">
        <is>
          <t>MARIESTAD</t>
        </is>
      </c>
      <c r="I180" t="n">
        <v>0.8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59857-2024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45639</v>
      </c>
      <c r="E181" s="1" t="n">
        <v>46314</v>
      </c>
      <c r="F181" t="inlineStr">
        <is>
          <t>VÄSTRA GÖTALANDS LÄN</t>
        </is>
      </c>
      <c r="G181" t="inlineStr">
        <is>
          <t>MARIESTAD</t>
        </is>
      </c>
      <c r="I181" t="n">
        <v>0.6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36399-2024</t>
        </is>
      </c>
      <c r="B182" t="inlineStr">
        <is>
          <t>avverkningsanmälan</t>
        </is>
      </c>
      <c r="C182" t="inlineStr">
        <is>
          <t>Avverkning för att bevara och utveckla /försöksver</t>
        </is>
      </c>
      <c r="D182" s="1" t="n">
        <v>45535</v>
      </c>
      <c r="E182" s="1" t="n">
        <v>46314</v>
      </c>
      <c r="F182" t="inlineStr">
        <is>
          <t>VÄSTRA GÖTALANDS LÄN</t>
        </is>
      </c>
      <c r="G182" t="inlineStr">
        <is>
          <t>MARIESTAD</t>
        </is>
      </c>
      <c r="I182" t="n">
        <v>0.6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57692-2023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45243</v>
      </c>
      <c r="E183" s="1" t="n">
        <v>46314</v>
      </c>
      <c r="F183" t="inlineStr">
        <is>
          <t>VÄSTRA GÖTALANDS LÄN</t>
        </is>
      </c>
      <c r="G183" t="inlineStr">
        <is>
          <t>MARIESTAD</t>
        </is>
      </c>
      <c r="I183" t="n">
        <v>9.699999999999999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17143-2024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45412</v>
      </c>
      <c r="E184" s="1" t="n">
        <v>46314</v>
      </c>
      <c r="F184" t="inlineStr">
        <is>
          <t>VÄSTRA GÖTALANDS LÄN</t>
        </is>
      </c>
      <c r="G184" t="inlineStr">
        <is>
          <t>MARIESTAD</t>
        </is>
      </c>
      <c r="I184" t="n">
        <v>4.1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17166-2024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45412</v>
      </c>
      <c r="E185" s="1" t="n">
        <v>46314</v>
      </c>
      <c r="F185" t="inlineStr">
        <is>
          <t>VÄSTRA GÖTALANDS LÄN</t>
        </is>
      </c>
      <c r="G185" t="inlineStr">
        <is>
          <t>MARIESTAD</t>
        </is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37917-2024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45544</v>
      </c>
      <c r="E186" s="1" t="n">
        <v>46314</v>
      </c>
      <c r="F186" t="inlineStr">
        <is>
          <t>VÄSTRA GÖTALANDS LÄN</t>
        </is>
      </c>
      <c r="G186" t="inlineStr">
        <is>
          <t>MARIESTAD</t>
        </is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58154-2025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45982</v>
      </c>
      <c r="E187" s="1" t="n">
        <v>46314</v>
      </c>
      <c r="F187" t="inlineStr">
        <is>
          <t>VÄSTRA GÖTALANDS LÄN</t>
        </is>
      </c>
      <c r="G187" t="inlineStr">
        <is>
          <t>MARIESTAD</t>
        </is>
      </c>
      <c r="I187" t="n">
        <v>2.8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62656-2023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45271</v>
      </c>
      <c r="E188" s="1" t="n">
        <v>46314</v>
      </c>
      <c r="F188" t="inlineStr">
        <is>
          <t>VÄSTRA GÖTALANDS LÄN</t>
        </is>
      </c>
      <c r="G188" t="inlineStr">
        <is>
          <t>MARIESTAD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62718-2023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45268</v>
      </c>
      <c r="E189" s="1" t="n">
        <v>46314</v>
      </c>
      <c r="F189" t="inlineStr">
        <is>
          <t>VÄSTRA GÖTALANDS LÄN</t>
        </is>
      </c>
      <c r="G189" t="inlineStr">
        <is>
          <t>MARIESTAD</t>
        </is>
      </c>
      <c r="I189" t="n">
        <v>6.6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35169-2024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45530</v>
      </c>
      <c r="E190" s="1" t="n">
        <v>46314</v>
      </c>
      <c r="F190" t="inlineStr">
        <is>
          <t>VÄSTRA GÖTALANDS LÄN</t>
        </is>
      </c>
      <c r="G190" t="inlineStr">
        <is>
          <t>MARIESTAD</t>
        </is>
      </c>
      <c r="I190" t="n">
        <v>0.7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24412-2026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46169</v>
      </c>
      <c r="E191" s="1" t="n">
        <v>46314</v>
      </c>
      <c r="F191" t="inlineStr">
        <is>
          <t>VÄSTRA GÖTALANDS LÄN</t>
        </is>
      </c>
      <c r="G191" t="inlineStr">
        <is>
          <t>MARIESTAD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1113-2022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44572</v>
      </c>
      <c r="E192" s="1" t="n">
        <v>46314</v>
      </c>
      <c r="F192" t="inlineStr">
        <is>
          <t>VÄSTRA GÖTALANDS LÄN</t>
        </is>
      </c>
      <c r="G192" t="inlineStr">
        <is>
          <t>MARIESTAD</t>
        </is>
      </c>
      <c r="H192" t="inlineStr">
        <is>
          <t>Naturvårdsverket</t>
        </is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58896-2022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44903</v>
      </c>
      <c r="E193" s="1" t="n">
        <v>46314</v>
      </c>
      <c r="F193" t="inlineStr">
        <is>
          <t>VÄSTRA GÖTALANDS LÄN</t>
        </is>
      </c>
      <c r="G193" t="inlineStr">
        <is>
          <t>MARIESTAD</t>
        </is>
      </c>
      <c r="I193" t="n">
        <v>0.8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61863-2025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46003</v>
      </c>
      <c r="E194" s="1" t="n">
        <v>46314</v>
      </c>
      <c r="F194" t="inlineStr">
        <is>
          <t>VÄSTRA GÖTALANDS LÄN</t>
        </is>
      </c>
      <c r="G194" t="inlineStr">
        <is>
          <t>MARIESTAD</t>
        </is>
      </c>
      <c r="I194" t="n">
        <v>0.6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24731-2026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46171</v>
      </c>
      <c r="E195" s="1" t="n">
        <v>46314</v>
      </c>
      <c r="F195" t="inlineStr">
        <is>
          <t>VÄSTRA GÖTALANDS LÄN</t>
        </is>
      </c>
      <c r="G195" t="inlineStr">
        <is>
          <t>MARIESTAD</t>
        </is>
      </c>
      <c r="H195" t="inlineStr">
        <is>
          <t>Sveaskog</t>
        </is>
      </c>
      <c r="I195" t="n">
        <v>6.3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24733-2026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46171</v>
      </c>
      <c r="E196" s="1" t="n">
        <v>46314</v>
      </c>
      <c r="F196" t="inlineStr">
        <is>
          <t>VÄSTRA GÖTALANDS LÄN</t>
        </is>
      </c>
      <c r="G196" t="inlineStr">
        <is>
          <t>MARIESTAD</t>
        </is>
      </c>
      <c r="H196" t="inlineStr">
        <is>
          <t>Sveaskog</t>
        </is>
      </c>
      <c r="I196" t="n">
        <v>3.1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24730-2026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46171</v>
      </c>
      <c r="E197" s="1" t="n">
        <v>46314</v>
      </c>
      <c r="F197" t="inlineStr">
        <is>
          <t>VÄSTRA GÖTALANDS LÄN</t>
        </is>
      </c>
      <c r="G197" t="inlineStr">
        <is>
          <t>MARIESTAD</t>
        </is>
      </c>
      <c r="H197" t="inlineStr">
        <is>
          <t>Sveaskog</t>
        </is>
      </c>
      <c r="I197" t="n">
        <v>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62751-2023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45271</v>
      </c>
      <c r="E198" s="1" t="n">
        <v>46314</v>
      </c>
      <c r="F198" t="inlineStr">
        <is>
          <t>VÄSTRA GÖTALANDS LÄN</t>
        </is>
      </c>
      <c r="G198" t="inlineStr">
        <is>
          <t>MARIESTAD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62633-2025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46008</v>
      </c>
      <c r="E199" s="1" t="n">
        <v>46314</v>
      </c>
      <c r="F199" t="inlineStr">
        <is>
          <t>VÄSTRA GÖTALANDS LÄN</t>
        </is>
      </c>
      <c r="G199" t="inlineStr">
        <is>
          <t>MARIESTAD</t>
        </is>
      </c>
      <c r="H199" t="inlineStr">
        <is>
          <t>Kyrkan</t>
        </is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11089-2023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44986</v>
      </c>
      <c r="E200" s="1" t="n">
        <v>46314</v>
      </c>
      <c r="F200" t="inlineStr">
        <is>
          <t>VÄSTRA GÖTALANDS LÄN</t>
        </is>
      </c>
      <c r="G200" t="inlineStr">
        <is>
          <t>MARIESTAD</t>
        </is>
      </c>
      <c r="I200" t="n">
        <v>1.1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50579-2023</t>
        </is>
      </c>
      <c r="B201" t="inlineStr">
        <is>
          <t>avverkningsanmälan</t>
        </is>
      </c>
      <c r="C201" t="inlineStr">
        <is>
          <t>Avverkning för annat ändamål</t>
        </is>
      </c>
      <c r="D201" s="1" t="n">
        <v>45217</v>
      </c>
      <c r="E201" s="1" t="n">
        <v>46314</v>
      </c>
      <c r="F201" t="inlineStr">
        <is>
          <t>VÄSTRA GÖTALANDS LÄN</t>
        </is>
      </c>
      <c r="G201" t="inlineStr">
        <is>
          <t>MARIESTAD</t>
        </is>
      </c>
      <c r="I201" t="n">
        <v>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24735-2026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46171</v>
      </c>
      <c r="E202" s="1" t="n">
        <v>46314</v>
      </c>
      <c r="F202" t="inlineStr">
        <is>
          <t>VÄSTRA GÖTALANDS LÄN</t>
        </is>
      </c>
      <c r="G202" t="inlineStr">
        <is>
          <t>MARIESTAD</t>
        </is>
      </c>
      <c r="H202" t="inlineStr">
        <is>
          <t>Sveaskog</t>
        </is>
      </c>
      <c r="I202" t="n">
        <v>1.8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629-2023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44930</v>
      </c>
      <c r="E203" s="1" t="n">
        <v>46314</v>
      </c>
      <c r="F203" t="inlineStr">
        <is>
          <t>VÄSTRA GÖTALANDS LÄN</t>
        </is>
      </c>
      <c r="G203" t="inlineStr">
        <is>
          <t>MARIESTAD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5164-2024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45330</v>
      </c>
      <c r="E204" s="1" t="n">
        <v>46314</v>
      </c>
      <c r="F204" t="inlineStr">
        <is>
          <t>VÄSTRA GÖTALANDS LÄN</t>
        </is>
      </c>
      <c r="G204" t="inlineStr">
        <is>
          <t>MARIESTAD</t>
        </is>
      </c>
      <c r="I204" t="n">
        <v>0.6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571-2026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46029</v>
      </c>
      <c r="E205" s="1" t="n">
        <v>46314</v>
      </c>
      <c r="F205" t="inlineStr">
        <is>
          <t>VÄSTRA GÖTALANDS LÄN</t>
        </is>
      </c>
      <c r="G205" t="inlineStr">
        <is>
          <t>MARIESTAD</t>
        </is>
      </c>
      <c r="H205" t="inlineStr">
        <is>
          <t>Sveaskog</t>
        </is>
      </c>
      <c r="I205" t="n">
        <v>5.1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573-2026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46029</v>
      </c>
      <c r="E206" s="1" t="n">
        <v>46314</v>
      </c>
      <c r="F206" t="inlineStr">
        <is>
          <t>VÄSTRA GÖTALANDS LÄN</t>
        </is>
      </c>
      <c r="G206" t="inlineStr">
        <is>
          <t>MARIESTAD</t>
        </is>
      </c>
      <c r="H206" t="inlineStr">
        <is>
          <t>Sveaskog</t>
        </is>
      </c>
      <c r="I206" t="n">
        <v>2.3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14977-2023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45015</v>
      </c>
      <c r="E207" s="1" t="n">
        <v>46314</v>
      </c>
      <c r="F207" t="inlineStr">
        <is>
          <t>VÄSTRA GÖTALANDS LÄN</t>
        </is>
      </c>
      <c r="G207" t="inlineStr">
        <is>
          <t>MARIESTAD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53097-2022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44876</v>
      </c>
      <c r="E208" s="1" t="n">
        <v>46314</v>
      </c>
      <c r="F208" t="inlineStr">
        <is>
          <t>VÄSTRA GÖTALANDS LÄN</t>
        </is>
      </c>
      <c r="G208" t="inlineStr">
        <is>
          <t>MARIESTAD</t>
        </is>
      </c>
      <c r="H208" t="inlineStr">
        <is>
          <t>Kyrkan</t>
        </is>
      </c>
      <c r="I208" t="n">
        <v>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58077-2022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44900</v>
      </c>
      <c r="E209" s="1" t="n">
        <v>46314</v>
      </c>
      <c r="F209" t="inlineStr">
        <is>
          <t>VÄSTRA GÖTALANDS LÄN</t>
        </is>
      </c>
      <c r="G209" t="inlineStr">
        <is>
          <t>MARIESTAD</t>
        </is>
      </c>
      <c r="I209" t="n">
        <v>3.1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3464-2026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46042</v>
      </c>
      <c r="E210" s="1" t="n">
        <v>46314</v>
      </c>
      <c r="F210" t="inlineStr">
        <is>
          <t>VÄSTRA GÖTALANDS LÄN</t>
        </is>
      </c>
      <c r="G210" t="inlineStr">
        <is>
          <t>MARIESTAD</t>
        </is>
      </c>
      <c r="I210" t="n">
        <v>1.5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38108-2022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44812</v>
      </c>
      <c r="E211" s="1" t="n">
        <v>46314</v>
      </c>
      <c r="F211" t="inlineStr">
        <is>
          <t>VÄSTRA GÖTALANDS LÄN</t>
        </is>
      </c>
      <c r="G211" t="inlineStr">
        <is>
          <t>MARIESTAD</t>
        </is>
      </c>
      <c r="I211" t="n">
        <v>1.7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4685-2023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44957</v>
      </c>
      <c r="E212" s="1" t="n">
        <v>46314</v>
      </c>
      <c r="F212" t="inlineStr">
        <is>
          <t>VÄSTRA GÖTALANDS LÄN</t>
        </is>
      </c>
      <c r="G212" t="inlineStr">
        <is>
          <t>MARIESTAD</t>
        </is>
      </c>
      <c r="I212" t="n">
        <v>1.2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11137-2024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45371</v>
      </c>
      <c r="E213" s="1" t="n">
        <v>46314</v>
      </c>
      <c r="F213" t="inlineStr">
        <is>
          <t>VÄSTRA GÖTALANDS LÄN</t>
        </is>
      </c>
      <c r="G213" t="inlineStr">
        <is>
          <t>MARIESTAD</t>
        </is>
      </c>
      <c r="I213" t="n">
        <v>1.1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5407-2026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46050</v>
      </c>
      <c r="E214" s="1" t="n">
        <v>46314</v>
      </c>
      <c r="F214" t="inlineStr">
        <is>
          <t>VÄSTRA GÖTALANDS LÄN</t>
        </is>
      </c>
      <c r="G214" t="inlineStr">
        <is>
          <t>MARIESTAD</t>
        </is>
      </c>
      <c r="I214" t="n">
        <v>2.5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5716-2026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46051</v>
      </c>
      <c r="E215" s="1" t="n">
        <v>46314</v>
      </c>
      <c r="F215" t="inlineStr">
        <is>
          <t>VÄSTRA GÖTALANDS LÄN</t>
        </is>
      </c>
      <c r="G215" t="inlineStr">
        <is>
          <t>MARIESTAD</t>
        </is>
      </c>
      <c r="H215" t="inlineStr">
        <is>
          <t>Kyrkan</t>
        </is>
      </c>
      <c r="I215" t="n">
        <v>5.9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10192-2022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44622</v>
      </c>
      <c r="E216" s="1" t="n">
        <v>46314</v>
      </c>
      <c r="F216" t="inlineStr">
        <is>
          <t>VÄSTRA GÖTALANDS LÄN</t>
        </is>
      </c>
      <c r="G216" t="inlineStr">
        <is>
          <t>MARIESTAD</t>
        </is>
      </c>
      <c r="I216" t="n">
        <v>1.2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6897-2026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46057</v>
      </c>
      <c r="E217" s="1" t="n">
        <v>46314</v>
      </c>
      <c r="F217" t="inlineStr">
        <is>
          <t>VÄSTRA GÖTALANDS LÄN</t>
        </is>
      </c>
      <c r="G217" t="inlineStr">
        <is>
          <t>MARIESTAD</t>
        </is>
      </c>
      <c r="H217" t="inlineStr">
        <is>
          <t>Kyrkan</t>
        </is>
      </c>
      <c r="I217" t="n">
        <v>1.9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7587-2026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46061</v>
      </c>
      <c r="E218" s="1" t="n">
        <v>46314</v>
      </c>
      <c r="F218" t="inlineStr">
        <is>
          <t>VÄSTRA GÖTALANDS LÄN</t>
        </is>
      </c>
      <c r="G218" t="inlineStr">
        <is>
          <t>MARIESTAD</t>
        </is>
      </c>
      <c r="I218" t="n">
        <v>1.1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32798-2024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45516</v>
      </c>
      <c r="E219" s="1" t="n">
        <v>46314</v>
      </c>
      <c r="F219" t="inlineStr">
        <is>
          <t>VÄSTRA GÖTALANDS LÄN</t>
        </is>
      </c>
      <c r="G219" t="inlineStr">
        <is>
          <t>MARIESTAD</t>
        </is>
      </c>
      <c r="I219" t="n">
        <v>2.7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26912-2026</t>
        </is>
      </c>
      <c r="B220" t="inlineStr">
        <is>
          <t>avverkningsanmälan</t>
        </is>
      </c>
      <c r="C220" t="inlineStr">
        <is>
          <t>Avverkning för annat ändamål</t>
        </is>
      </c>
      <c r="D220" s="1" t="n">
        <v>46185</v>
      </c>
      <c r="E220" s="1" t="n">
        <v>46314</v>
      </c>
      <c r="F220" t="inlineStr">
        <is>
          <t>VÄSTRA GÖTALANDS LÄN</t>
        </is>
      </c>
      <c r="G220" t="inlineStr">
        <is>
          <t>MARIESTAD</t>
        </is>
      </c>
      <c r="I220" t="n">
        <v>2.4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27116-2026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46188</v>
      </c>
      <c r="E221" s="1" t="n">
        <v>46314</v>
      </c>
      <c r="F221" t="inlineStr">
        <is>
          <t>VÄSTRA GÖTALANDS LÄN</t>
        </is>
      </c>
      <c r="G221" t="inlineStr">
        <is>
          <t>MARIESTAD</t>
        </is>
      </c>
      <c r="H221" t="inlineStr">
        <is>
          <t>Sveaskog</t>
        </is>
      </c>
      <c r="I221" t="n">
        <v>5.2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62754-2023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45271</v>
      </c>
      <c r="E222" s="1" t="n">
        <v>46314</v>
      </c>
      <c r="F222" t="inlineStr">
        <is>
          <t>VÄSTRA GÖTALANDS LÄN</t>
        </is>
      </c>
      <c r="G222" t="inlineStr">
        <is>
          <t>MARIESTAD</t>
        </is>
      </c>
      <c r="I222" t="n">
        <v>4.1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62765-2023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45268</v>
      </c>
      <c r="E223" s="1" t="n">
        <v>46314</v>
      </c>
      <c r="F223" t="inlineStr">
        <is>
          <t>VÄSTRA GÖTALANDS LÄN</t>
        </is>
      </c>
      <c r="G223" t="inlineStr">
        <is>
          <t>MARIESTAD</t>
        </is>
      </c>
      <c r="I223" t="n">
        <v>1.3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9479-2026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46071</v>
      </c>
      <c r="E224" s="1" t="n">
        <v>46314</v>
      </c>
      <c r="F224" t="inlineStr">
        <is>
          <t>VÄSTRA GÖTALANDS LÄN</t>
        </is>
      </c>
      <c r="G224" t="inlineStr">
        <is>
          <t>MARIESTAD</t>
        </is>
      </c>
      <c r="I224" t="n">
        <v>0.7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9558-2026</t>
        </is>
      </c>
      <c r="B225" t="inlineStr">
        <is>
          <t>avverkningsanmälan</t>
        </is>
      </c>
      <c r="C225" t="inlineStr">
        <is>
          <t>Avverkning för annat ändamål</t>
        </is>
      </c>
      <c r="D225" s="1" t="n">
        <v>46071</v>
      </c>
      <c r="E225" s="1" t="n">
        <v>46314</v>
      </c>
      <c r="F225" t="inlineStr">
        <is>
          <t>VÄSTRA GÖTALANDS LÄN</t>
        </is>
      </c>
      <c r="G225" t="inlineStr">
        <is>
          <t>MARIESTAD</t>
        </is>
      </c>
      <c r="I225" t="n">
        <v>3.6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9563-2026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46071</v>
      </c>
      <c r="E226" s="1" t="n">
        <v>46314</v>
      </c>
      <c r="F226" t="inlineStr">
        <is>
          <t>VÄSTRA GÖTALANDS LÄN</t>
        </is>
      </c>
      <c r="G226" t="inlineStr">
        <is>
          <t>MARIESTAD</t>
        </is>
      </c>
      <c r="I226" t="n">
        <v>0.6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49156-2023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45210</v>
      </c>
      <c r="E227" s="1" t="n">
        <v>46314</v>
      </c>
      <c r="F227" t="inlineStr">
        <is>
          <t>VÄSTRA GÖTALANDS LÄN</t>
        </is>
      </c>
      <c r="G227" t="inlineStr">
        <is>
          <t>MARIESTAD</t>
        </is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10559-2026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46077</v>
      </c>
      <c r="E228" s="1" t="n">
        <v>46314</v>
      </c>
      <c r="F228" t="inlineStr">
        <is>
          <t>VÄSTRA GÖTALANDS LÄN</t>
        </is>
      </c>
      <c r="G228" t="inlineStr">
        <is>
          <t>MARIESTAD</t>
        </is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11216-2026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46080</v>
      </c>
      <c r="E229" s="1" t="n">
        <v>46314</v>
      </c>
      <c r="F229" t="inlineStr">
        <is>
          <t>VÄSTRA GÖTALANDS LÄN</t>
        </is>
      </c>
      <c r="G229" t="inlineStr">
        <is>
          <t>MARIESTAD</t>
        </is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8021-2024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45350</v>
      </c>
      <c r="E230" s="1" t="n">
        <v>46314</v>
      </c>
      <c r="F230" t="inlineStr">
        <is>
          <t>VÄSTRA GÖTALANDS LÄN</t>
        </is>
      </c>
      <c r="G230" t="inlineStr">
        <is>
          <t>MARIESTAD</t>
        </is>
      </c>
      <c r="I230" t="n">
        <v>2.6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49200-2023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45210</v>
      </c>
      <c r="E231" s="1" t="n">
        <v>46314</v>
      </c>
      <c r="F231" t="inlineStr">
        <is>
          <t>VÄSTRA GÖTALANDS LÄN</t>
        </is>
      </c>
      <c r="G231" t="inlineStr">
        <is>
          <t>MARIESTAD</t>
        </is>
      </c>
      <c r="I231" t="n">
        <v>5.5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14337-2026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46100</v>
      </c>
      <c r="E232" s="1" t="n">
        <v>46314</v>
      </c>
      <c r="F232" t="inlineStr">
        <is>
          <t>VÄSTRA GÖTALANDS LÄN</t>
        </is>
      </c>
      <c r="G232" t="inlineStr">
        <is>
          <t>MARIESTAD</t>
        </is>
      </c>
      <c r="I232" t="n">
        <v>2.7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11345-2023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44993</v>
      </c>
      <c r="E233" s="1" t="n">
        <v>46314</v>
      </c>
      <c r="F233" t="inlineStr">
        <is>
          <t>VÄSTRA GÖTALANDS LÄN</t>
        </is>
      </c>
      <c r="G233" t="inlineStr">
        <is>
          <t>MARIESTAD</t>
        </is>
      </c>
      <c r="I233" t="n">
        <v>0.7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7161-2025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45702</v>
      </c>
      <c r="E234" s="1" t="n">
        <v>46314</v>
      </c>
      <c r="F234" t="inlineStr">
        <is>
          <t>VÄSTRA GÖTALANDS LÄN</t>
        </is>
      </c>
      <c r="G234" t="inlineStr">
        <is>
          <t>MARIESTAD</t>
        </is>
      </c>
      <c r="H234" t="inlineStr">
        <is>
          <t>Sveaskog</t>
        </is>
      </c>
      <c r="I234" t="n">
        <v>1.2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56344-2022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44890</v>
      </c>
      <c r="E235" s="1" t="n">
        <v>46314</v>
      </c>
      <c r="F235" t="inlineStr">
        <is>
          <t>VÄSTRA GÖTALANDS LÄN</t>
        </is>
      </c>
      <c r="G235" t="inlineStr">
        <is>
          <t>MARIESTAD</t>
        </is>
      </c>
      <c r="I235" t="n">
        <v>0.7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18133-2025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45761</v>
      </c>
      <c r="E236" s="1" t="n">
        <v>46314</v>
      </c>
      <c r="F236" t="inlineStr">
        <is>
          <t>VÄSTRA GÖTALANDS LÄN</t>
        </is>
      </c>
      <c r="G236" t="inlineStr">
        <is>
          <t>MARIESTAD</t>
        </is>
      </c>
      <c r="I236" t="n">
        <v>11.9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17249-2026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46119</v>
      </c>
      <c r="E237" s="1" t="n">
        <v>46314</v>
      </c>
      <c r="F237" t="inlineStr">
        <is>
          <t>VÄSTRA GÖTALANDS LÄN</t>
        </is>
      </c>
      <c r="G237" t="inlineStr">
        <is>
          <t>MARIESTAD</t>
        </is>
      </c>
      <c r="I237" t="n">
        <v>2.8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8771-2023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44973</v>
      </c>
      <c r="E238" s="1" t="n">
        <v>46314</v>
      </c>
      <c r="F238" t="inlineStr">
        <is>
          <t>VÄSTRA GÖTALANDS LÄN</t>
        </is>
      </c>
      <c r="G238" t="inlineStr">
        <is>
          <t>MARIESTAD</t>
        </is>
      </c>
      <c r="I238" t="n">
        <v>2.5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8849-2022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44614</v>
      </c>
      <c r="E239" s="1" t="n">
        <v>46314</v>
      </c>
      <c r="F239" t="inlineStr">
        <is>
          <t>VÄSTRA GÖTALANDS LÄN</t>
        </is>
      </c>
      <c r="G239" t="inlineStr">
        <is>
          <t>MARIESTAD</t>
        </is>
      </c>
      <c r="H239" t="inlineStr">
        <is>
          <t>Kyrkan</t>
        </is>
      </c>
      <c r="I239" t="n">
        <v>3.3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38817-2022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44816</v>
      </c>
      <c r="E240" s="1" t="n">
        <v>46314</v>
      </c>
      <c r="F240" t="inlineStr">
        <is>
          <t>VÄSTRA GÖTALANDS LÄN</t>
        </is>
      </c>
      <c r="G240" t="inlineStr">
        <is>
          <t>MARIESTAD</t>
        </is>
      </c>
      <c r="I240" t="n">
        <v>3.4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47009-2024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45583</v>
      </c>
      <c r="E241" s="1" t="n">
        <v>46314</v>
      </c>
      <c r="F241" t="inlineStr">
        <is>
          <t>VÄSTRA GÖTALANDS LÄN</t>
        </is>
      </c>
      <c r="G241" t="inlineStr">
        <is>
          <t>MARIESTAD</t>
        </is>
      </c>
      <c r="I241" t="n">
        <v>0.5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2577-2023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44943</v>
      </c>
      <c r="E242" s="1" t="n">
        <v>46314</v>
      </c>
      <c r="F242" t="inlineStr">
        <is>
          <t>VÄSTRA GÖTALANDS LÄN</t>
        </is>
      </c>
      <c r="G242" t="inlineStr">
        <is>
          <t>MARIESTAD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10500-2023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44981</v>
      </c>
      <c r="E243" s="1" t="n">
        <v>46314</v>
      </c>
      <c r="F243" t="inlineStr">
        <is>
          <t>VÄSTRA GÖTALANDS LÄN</t>
        </is>
      </c>
      <c r="G243" t="inlineStr">
        <is>
          <t>MARIESTAD</t>
        </is>
      </c>
      <c r="I243" t="n">
        <v>0.6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49163-2023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45210</v>
      </c>
      <c r="E244" s="1" t="n">
        <v>46314</v>
      </c>
      <c r="F244" t="inlineStr">
        <is>
          <t>VÄSTRA GÖTALANDS LÄN</t>
        </is>
      </c>
      <c r="G244" t="inlineStr">
        <is>
          <t>MARIESTAD</t>
        </is>
      </c>
      <c r="I244" t="n">
        <v>0.8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29857-2022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44756</v>
      </c>
      <c r="E245" s="1" t="n">
        <v>46314</v>
      </c>
      <c r="F245" t="inlineStr">
        <is>
          <t>VÄSTRA GÖTALANDS LÄN</t>
        </is>
      </c>
      <c r="G245" t="inlineStr">
        <is>
          <t>MARIESTAD</t>
        </is>
      </c>
      <c r="I245" t="n">
        <v>1.1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17139-2024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45412</v>
      </c>
      <c r="E246" s="1" t="n">
        <v>46314</v>
      </c>
      <c r="F246" t="inlineStr">
        <is>
          <t>VÄSTRA GÖTALANDS LÄN</t>
        </is>
      </c>
      <c r="G246" t="inlineStr">
        <is>
          <t>MARIESTAD</t>
        </is>
      </c>
      <c r="I246" t="n">
        <v>3.2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17165-2024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45412</v>
      </c>
      <c r="E247" s="1" t="n">
        <v>46314</v>
      </c>
      <c r="F247" t="inlineStr">
        <is>
          <t>VÄSTRA GÖTALANDS LÄN</t>
        </is>
      </c>
      <c r="G247" t="inlineStr">
        <is>
          <t>MARIESTAD</t>
        </is>
      </c>
      <c r="I247" t="n">
        <v>1.5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29890-2026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46205</v>
      </c>
      <c r="E248" s="1" t="n">
        <v>46314</v>
      </c>
      <c r="F248" t="inlineStr">
        <is>
          <t>VÄSTRA GÖTALANDS LÄN</t>
        </is>
      </c>
      <c r="G248" t="inlineStr">
        <is>
          <t>MARIESTAD</t>
        </is>
      </c>
      <c r="I248" t="n">
        <v>0.3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29673-2026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46199</v>
      </c>
      <c r="E249" s="1" t="n">
        <v>46314</v>
      </c>
      <c r="F249" t="inlineStr">
        <is>
          <t>VÄSTRA GÖTALANDS LÄN</t>
        </is>
      </c>
      <c r="G249" t="inlineStr">
        <is>
          <t>MARIESTAD</t>
        </is>
      </c>
      <c r="I249" t="n">
        <v>2.5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29645-2026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46199</v>
      </c>
      <c r="E250" s="1" t="n">
        <v>46314</v>
      </c>
      <c r="F250" t="inlineStr">
        <is>
          <t>VÄSTRA GÖTALANDS LÄN</t>
        </is>
      </c>
      <c r="G250" t="inlineStr">
        <is>
          <t>MARIESTAD</t>
        </is>
      </c>
      <c r="I250" t="n">
        <v>5.3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7168-2023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44965</v>
      </c>
      <c r="E251" s="1" t="n">
        <v>46314</v>
      </c>
      <c r="F251" t="inlineStr">
        <is>
          <t>VÄSTRA GÖTALANDS LÄN</t>
        </is>
      </c>
      <c r="G251" t="inlineStr">
        <is>
          <t>MARIESTAD</t>
        </is>
      </c>
      <c r="I251" t="n">
        <v>1.4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60376-2021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44496</v>
      </c>
      <c r="E252" s="1" t="n">
        <v>46314</v>
      </c>
      <c r="F252" t="inlineStr">
        <is>
          <t>VÄSTRA GÖTALANDS LÄN</t>
        </is>
      </c>
      <c r="G252" t="inlineStr">
        <is>
          <t>MARIESTAD</t>
        </is>
      </c>
      <c r="I252" t="n">
        <v>1.7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46873-2023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45200</v>
      </c>
      <c r="E253" s="1" t="n">
        <v>46314</v>
      </c>
      <c r="F253" t="inlineStr">
        <is>
          <t>VÄSTRA GÖTALANDS LÄN</t>
        </is>
      </c>
      <c r="G253" t="inlineStr">
        <is>
          <t>MARIESTAD</t>
        </is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48269-2024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45590</v>
      </c>
      <c r="E254" s="1" t="n">
        <v>46314</v>
      </c>
      <c r="F254" t="inlineStr">
        <is>
          <t>VÄSTRA GÖTALANDS LÄN</t>
        </is>
      </c>
      <c r="G254" t="inlineStr">
        <is>
          <t>MARIESTAD</t>
        </is>
      </c>
      <c r="H254" t="inlineStr">
        <is>
          <t>Kyrkan</t>
        </is>
      </c>
      <c r="I254" t="n">
        <v>2.3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29656-2026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46199</v>
      </c>
      <c r="E255" s="1" t="n">
        <v>46314</v>
      </c>
      <c r="F255" t="inlineStr">
        <is>
          <t>VÄSTRA GÖTALANDS LÄN</t>
        </is>
      </c>
      <c r="G255" t="inlineStr">
        <is>
          <t>MARIESTAD</t>
        </is>
      </c>
      <c r="I255" t="n">
        <v>6.3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8471-2025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45709</v>
      </c>
      <c r="E256" s="1" t="n">
        <v>46314</v>
      </c>
      <c r="F256" t="inlineStr">
        <is>
          <t>VÄSTRA GÖTALANDS LÄN</t>
        </is>
      </c>
      <c r="G256" t="inlineStr">
        <is>
          <t>MARIESTAD</t>
        </is>
      </c>
      <c r="I256" t="n">
        <v>2.2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29668-2026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46199</v>
      </c>
      <c r="E257" s="1" t="n">
        <v>46314</v>
      </c>
      <c r="F257" t="inlineStr">
        <is>
          <t>VÄSTRA GÖTALANDS LÄN</t>
        </is>
      </c>
      <c r="G257" t="inlineStr">
        <is>
          <t>MARIESTAD</t>
        </is>
      </c>
      <c r="I257" t="n">
        <v>2.6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30192-2026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46206</v>
      </c>
      <c r="E258" s="1" t="n">
        <v>46314</v>
      </c>
      <c r="F258" t="inlineStr">
        <is>
          <t>VÄSTRA GÖTALANDS LÄN</t>
        </is>
      </c>
      <c r="G258" t="inlineStr">
        <is>
          <t>MARIESTAD</t>
        </is>
      </c>
      <c r="H258" t="inlineStr">
        <is>
          <t>Sveaskog</t>
        </is>
      </c>
      <c r="I258" t="n">
        <v>1.6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49371-2023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45211</v>
      </c>
      <c r="E259" s="1" t="n">
        <v>46314</v>
      </c>
      <c r="F259" t="inlineStr">
        <is>
          <t>VÄSTRA GÖTALANDS LÄN</t>
        </is>
      </c>
      <c r="G259" t="inlineStr">
        <is>
          <t>MARIESTAD</t>
        </is>
      </c>
      <c r="I259" t="n">
        <v>2.8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31230-2023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45114</v>
      </c>
      <c r="E260" s="1" t="n">
        <v>46314</v>
      </c>
      <c r="F260" t="inlineStr">
        <is>
          <t>VÄSTRA GÖTALANDS LÄN</t>
        </is>
      </c>
      <c r="G260" t="inlineStr">
        <is>
          <t>MARIESTAD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58598-2021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44489</v>
      </c>
      <c r="E261" s="1" t="n">
        <v>46314</v>
      </c>
      <c r="F261" t="inlineStr">
        <is>
          <t>VÄSTRA GÖTALANDS LÄN</t>
        </is>
      </c>
      <c r="G261" t="inlineStr">
        <is>
          <t>MARIESTAD</t>
        </is>
      </c>
      <c r="H261" t="inlineStr">
        <is>
          <t>Sveaskog</t>
        </is>
      </c>
      <c r="I261" t="n">
        <v>0.8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65197-2023</t>
        </is>
      </c>
      <c r="B262" t="inlineStr">
        <is>
          <t>avverkningsanmälan</t>
        </is>
      </c>
      <c r="C262" t="inlineStr">
        <is>
          <t>Avverkning för annat ändamål</t>
        </is>
      </c>
      <c r="D262" s="1" t="n">
        <v>45289</v>
      </c>
      <c r="E262" s="1" t="n">
        <v>46314</v>
      </c>
      <c r="F262" t="inlineStr">
        <is>
          <t>VÄSTRA GÖTALANDS LÄN</t>
        </is>
      </c>
      <c r="G262" t="inlineStr">
        <is>
          <t>MARIESTAD</t>
        </is>
      </c>
      <c r="H262" t="inlineStr">
        <is>
          <t>Sveaskog</t>
        </is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39116-2024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45548</v>
      </c>
      <c r="E263" s="1" t="n">
        <v>46314</v>
      </c>
      <c r="F263" t="inlineStr">
        <is>
          <t>VÄSTRA GÖTALANDS LÄN</t>
        </is>
      </c>
      <c r="G263" t="inlineStr">
        <is>
          <t>MARIESTAD</t>
        </is>
      </c>
      <c r="I263" t="n">
        <v>2.3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49566-2023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45211</v>
      </c>
      <c r="E264" s="1" t="n">
        <v>46314</v>
      </c>
      <c r="F264" t="inlineStr">
        <is>
          <t>VÄSTRA GÖTALANDS LÄN</t>
        </is>
      </c>
      <c r="G264" t="inlineStr">
        <is>
          <t>MARIESTAD</t>
        </is>
      </c>
      <c r="I264" t="n">
        <v>0.7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54225-2022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44881</v>
      </c>
      <c r="E265" s="1" t="n">
        <v>46314</v>
      </c>
      <c r="F265" t="inlineStr">
        <is>
          <t>VÄSTRA GÖTALANDS LÄN</t>
        </is>
      </c>
      <c r="G265" t="inlineStr">
        <is>
          <t>MARIESTAD</t>
        </is>
      </c>
      <c r="I265" t="n">
        <v>4.3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24765-2024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45460</v>
      </c>
      <c r="E266" s="1" t="n">
        <v>46314</v>
      </c>
      <c r="F266" t="inlineStr">
        <is>
          <t>VÄSTRA GÖTALANDS LÄN</t>
        </is>
      </c>
      <c r="G266" t="inlineStr">
        <is>
          <t>MARIESTAD</t>
        </is>
      </c>
      <c r="I266" t="n">
        <v>0.6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34253-2024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45524</v>
      </c>
      <c r="E267" s="1" t="n">
        <v>46314</v>
      </c>
      <c r="F267" t="inlineStr">
        <is>
          <t>VÄSTRA GÖTALANDS LÄN</t>
        </is>
      </c>
      <c r="G267" t="inlineStr">
        <is>
          <t>MARIESTAD</t>
        </is>
      </c>
      <c r="I267" t="n">
        <v>1.7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74081-2021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44553</v>
      </c>
      <c r="E268" s="1" t="n">
        <v>46314</v>
      </c>
      <c r="F268" t="inlineStr">
        <is>
          <t>VÄSTRA GÖTALANDS LÄN</t>
        </is>
      </c>
      <c r="G268" t="inlineStr">
        <is>
          <t>MARIESTAD</t>
        </is>
      </c>
      <c r="I268" t="n">
        <v>2.3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48267-2024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45590</v>
      </c>
      <c r="E269" s="1" t="n">
        <v>46314</v>
      </c>
      <c r="F269" t="inlineStr">
        <is>
          <t>VÄSTRA GÖTALANDS LÄN</t>
        </is>
      </c>
      <c r="G269" t="inlineStr">
        <is>
          <t>MARIESTAD</t>
        </is>
      </c>
      <c r="H269" t="inlineStr">
        <is>
          <t>Kyrkan</t>
        </is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13798-2022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44649</v>
      </c>
      <c r="E270" s="1" t="n">
        <v>46314</v>
      </c>
      <c r="F270" t="inlineStr">
        <is>
          <t>VÄSTRA GÖTALANDS LÄN</t>
        </is>
      </c>
      <c r="G270" t="inlineStr">
        <is>
          <t>MARIESTAD</t>
        </is>
      </c>
      <c r="I270" t="n">
        <v>3.4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9610-2022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44617</v>
      </c>
      <c r="E271" s="1" t="n">
        <v>46314</v>
      </c>
      <c r="F271" t="inlineStr">
        <is>
          <t>VÄSTRA GÖTALANDS LÄN</t>
        </is>
      </c>
      <c r="G271" t="inlineStr">
        <is>
          <t>MARIESTAD</t>
        </is>
      </c>
      <c r="H271" t="inlineStr">
        <is>
          <t>Kyrkan</t>
        </is>
      </c>
      <c r="I271" t="n">
        <v>2.7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27452-2023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45097</v>
      </c>
      <c r="E272" s="1" t="n">
        <v>46314</v>
      </c>
      <c r="F272" t="inlineStr">
        <is>
          <t>VÄSTRA GÖTALANDS LÄN</t>
        </is>
      </c>
      <c r="G272" t="inlineStr">
        <is>
          <t>MARIESTAD</t>
        </is>
      </c>
      <c r="H272" t="inlineStr">
        <is>
          <t>Sveaskog</t>
        </is>
      </c>
      <c r="I272" t="n">
        <v>1.2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7771-2025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45706</v>
      </c>
      <c r="E273" s="1" t="n">
        <v>46314</v>
      </c>
      <c r="F273" t="inlineStr">
        <is>
          <t>VÄSTRA GÖTALANDS LÄN</t>
        </is>
      </c>
      <c r="G273" t="inlineStr">
        <is>
          <t>MARIESTAD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10842-2025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45722</v>
      </c>
      <c r="E274" s="1" t="n">
        <v>46314</v>
      </c>
      <c r="F274" t="inlineStr">
        <is>
          <t>VÄSTRA GÖTALANDS LÄN</t>
        </is>
      </c>
      <c r="G274" t="inlineStr">
        <is>
          <t>MARIESTAD</t>
        </is>
      </c>
      <c r="I274" t="n">
        <v>0.4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9410-2022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44616</v>
      </c>
      <c r="E275" s="1" t="n">
        <v>46314</v>
      </c>
      <c r="F275" t="inlineStr">
        <is>
          <t>VÄSTRA GÖTALANDS LÄN</t>
        </is>
      </c>
      <c r="G275" t="inlineStr">
        <is>
          <t>MARIESTAD</t>
        </is>
      </c>
      <c r="H275" t="inlineStr">
        <is>
          <t>Kyrkan</t>
        </is>
      </c>
      <c r="I275" t="n">
        <v>3.3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48273-2024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45590</v>
      </c>
      <c r="E276" s="1" t="n">
        <v>46314</v>
      </c>
      <c r="F276" t="inlineStr">
        <is>
          <t>VÄSTRA GÖTALANDS LÄN</t>
        </is>
      </c>
      <c r="G276" t="inlineStr">
        <is>
          <t>MARIESTAD</t>
        </is>
      </c>
      <c r="H276" t="inlineStr">
        <is>
          <t>Kyrkan</t>
        </is>
      </c>
      <c r="I276" t="n">
        <v>3.9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22360-2023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45070</v>
      </c>
      <c r="E277" s="1" t="n">
        <v>46314</v>
      </c>
      <c r="F277" t="inlineStr">
        <is>
          <t>VÄSTRA GÖTALANDS LÄN</t>
        </is>
      </c>
      <c r="G277" t="inlineStr">
        <is>
          <t>MARIESTAD</t>
        </is>
      </c>
      <c r="I277" t="n">
        <v>10.3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16466-2025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45751</v>
      </c>
      <c r="E278" s="1" t="n">
        <v>46314</v>
      </c>
      <c r="F278" t="inlineStr">
        <is>
          <t>VÄSTRA GÖTALANDS LÄN</t>
        </is>
      </c>
      <c r="G278" t="inlineStr">
        <is>
          <t>MARIESTAD</t>
        </is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12361-2023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44999</v>
      </c>
      <c r="E279" s="1" t="n">
        <v>46314</v>
      </c>
      <c r="F279" t="inlineStr">
        <is>
          <t>VÄSTRA GÖTALANDS LÄN</t>
        </is>
      </c>
      <c r="G279" t="inlineStr">
        <is>
          <t>MARIESTAD</t>
        </is>
      </c>
      <c r="I279" t="n">
        <v>4.5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46875-2023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45200</v>
      </c>
      <c r="E280" s="1" t="n">
        <v>46314</v>
      </c>
      <c r="F280" t="inlineStr">
        <is>
          <t>VÄSTRA GÖTALANDS LÄN</t>
        </is>
      </c>
      <c r="G280" t="inlineStr">
        <is>
          <t>MARIESTAD</t>
        </is>
      </c>
      <c r="I280" t="n">
        <v>3.7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35097-2024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45528</v>
      </c>
      <c r="E281" s="1" t="n">
        <v>46314</v>
      </c>
      <c r="F281" t="inlineStr">
        <is>
          <t>VÄSTRA GÖTALANDS LÄN</t>
        </is>
      </c>
      <c r="G281" t="inlineStr">
        <is>
          <t>MARIESTAD</t>
        </is>
      </c>
      <c r="I281" t="n">
        <v>1.6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49166-2023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45210</v>
      </c>
      <c r="E282" s="1" t="n">
        <v>46314</v>
      </c>
      <c r="F282" t="inlineStr">
        <is>
          <t>VÄSTRA GÖTALANDS LÄN</t>
        </is>
      </c>
      <c r="G282" t="inlineStr">
        <is>
          <t>MARIESTAD</t>
        </is>
      </c>
      <c r="I282" t="n">
        <v>3.2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39286-2026</t>
        </is>
      </c>
      <c r="B283" t="inlineStr">
        <is>
          <t>avverkningsanmälan</t>
        </is>
      </c>
      <c r="C283" t="inlineStr">
        <is>
          <t>Avverkning för annat ändamål</t>
        </is>
      </c>
      <c r="D283" s="1" t="n">
        <v>46288</v>
      </c>
      <c r="E283" s="1" t="n">
        <v>46314</v>
      </c>
      <c r="F283" t="inlineStr">
        <is>
          <t>VÄSTRA GÖTALANDS LÄN</t>
        </is>
      </c>
      <c r="G283" t="inlineStr">
        <is>
          <t>MARIESTAD</t>
        </is>
      </c>
      <c r="H283" t="inlineStr">
        <is>
          <t>Sveaskog</t>
        </is>
      </c>
      <c r="I283" t="n">
        <v>0.7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39262-2026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46288</v>
      </c>
      <c r="E284" s="1" t="n">
        <v>46314</v>
      </c>
      <c r="F284" t="inlineStr">
        <is>
          <t>VÄSTRA GÖTALANDS LÄN</t>
        </is>
      </c>
      <c r="G284" t="inlineStr">
        <is>
          <t>MARIESTAD</t>
        </is>
      </c>
      <c r="H284" t="inlineStr">
        <is>
          <t>Sveaskog</t>
        </is>
      </c>
      <c r="I284" t="n">
        <v>3.3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39632-2026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46289</v>
      </c>
      <c r="E285" s="1" t="n">
        <v>46314</v>
      </c>
      <c r="F285" t="inlineStr">
        <is>
          <t>VÄSTRA GÖTALANDS LÄN</t>
        </is>
      </c>
      <c r="G285" t="inlineStr">
        <is>
          <t>MARIESTAD</t>
        </is>
      </c>
      <c r="H285" t="inlineStr">
        <is>
          <t>Kyrkan</t>
        </is>
      </c>
      <c r="I285" t="n">
        <v>8.9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39261-2026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46288</v>
      </c>
      <c r="E286" s="1" t="n">
        <v>46314</v>
      </c>
      <c r="F286" t="inlineStr">
        <is>
          <t>VÄSTRA GÖTALANDS LÄN</t>
        </is>
      </c>
      <c r="G286" t="inlineStr">
        <is>
          <t>MARIESTAD</t>
        </is>
      </c>
      <c r="H286" t="inlineStr">
        <is>
          <t>Sveaskog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46555-2022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44848</v>
      </c>
      <c r="E287" s="1" t="n">
        <v>46314</v>
      </c>
      <c r="F287" t="inlineStr">
        <is>
          <t>VÄSTRA GÖTALANDS LÄN</t>
        </is>
      </c>
      <c r="G287" t="inlineStr">
        <is>
          <t>MARIESTAD</t>
        </is>
      </c>
      <c r="I287" t="n">
        <v>4.5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39259-2026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46288</v>
      </c>
      <c r="E288" s="1" t="n">
        <v>46314</v>
      </c>
      <c r="F288" t="inlineStr">
        <is>
          <t>VÄSTRA GÖTALANDS LÄN</t>
        </is>
      </c>
      <c r="G288" t="inlineStr">
        <is>
          <t>MARIESTAD</t>
        </is>
      </c>
      <c r="H288" t="inlineStr">
        <is>
          <t>Sveaskog</t>
        </is>
      </c>
      <c r="I288" t="n">
        <v>2.9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39264-2026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46288</v>
      </c>
      <c r="E289" s="1" t="n">
        <v>46314</v>
      </c>
      <c r="F289" t="inlineStr">
        <is>
          <t>VÄSTRA GÖTALANDS LÄN</t>
        </is>
      </c>
      <c r="G289" t="inlineStr">
        <is>
          <t>MARIESTAD</t>
        </is>
      </c>
      <c r="H289" t="inlineStr">
        <is>
          <t>Sveaskog</t>
        </is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39267-2026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46288</v>
      </c>
      <c r="E290" s="1" t="n">
        <v>46314</v>
      </c>
      <c r="F290" t="inlineStr">
        <is>
          <t>VÄSTRA GÖTALANDS LÄN</t>
        </is>
      </c>
      <c r="G290" t="inlineStr">
        <is>
          <t>MARIESTAD</t>
        </is>
      </c>
      <c r="H290" t="inlineStr">
        <is>
          <t>Sveaskog</t>
        </is>
      </c>
      <c r="I290" t="n">
        <v>2.1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39271-2026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46288</v>
      </c>
      <c r="E291" s="1" t="n">
        <v>46314</v>
      </c>
      <c r="F291" t="inlineStr">
        <is>
          <t>VÄSTRA GÖTALANDS LÄN</t>
        </is>
      </c>
      <c r="G291" t="inlineStr">
        <is>
          <t>MARIESTAD</t>
        </is>
      </c>
      <c r="H291" t="inlineStr">
        <is>
          <t>Sveaskog</t>
        </is>
      </c>
      <c r="I291" t="n">
        <v>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60812-2023</t>
        </is>
      </c>
      <c r="B292" t="inlineStr">
        <is>
          <t>avverkningsanmälan</t>
        </is>
      </c>
      <c r="C292" t="inlineStr">
        <is>
          <t>Avverkning för annat ändamål</t>
        </is>
      </c>
      <c r="D292" s="1" t="n">
        <v>45260</v>
      </c>
      <c r="E292" s="1" t="n">
        <v>46314</v>
      </c>
      <c r="F292" t="inlineStr">
        <is>
          <t>VÄSTRA GÖTALANDS LÄN</t>
        </is>
      </c>
      <c r="G292" t="inlineStr">
        <is>
          <t>MARIESTAD</t>
        </is>
      </c>
      <c r="I292" t="n">
        <v>2.3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14291-2024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45393</v>
      </c>
      <c r="E293" s="1" t="n">
        <v>46314</v>
      </c>
      <c r="F293" t="inlineStr">
        <is>
          <t>VÄSTRA GÖTALANDS LÄN</t>
        </is>
      </c>
      <c r="G293" t="inlineStr">
        <is>
          <t>MARIESTAD</t>
        </is>
      </c>
      <c r="I293" t="n">
        <v>4.4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39929-2026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46290</v>
      </c>
      <c r="E294" s="1" t="n">
        <v>46314</v>
      </c>
      <c r="F294" t="inlineStr">
        <is>
          <t>VÄSTRA GÖTALANDS LÄN</t>
        </is>
      </c>
      <c r="G294" t="inlineStr">
        <is>
          <t>MARIESTAD</t>
        </is>
      </c>
      <c r="I294" t="n">
        <v>1.2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32794-2024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45516</v>
      </c>
      <c r="E295" s="1" t="n">
        <v>46314</v>
      </c>
      <c r="F295" t="inlineStr">
        <is>
          <t>VÄSTRA GÖTALANDS LÄN</t>
        </is>
      </c>
      <c r="G295" t="inlineStr">
        <is>
          <t>MARIESTAD</t>
        </is>
      </c>
      <c r="I295" t="n">
        <v>1.6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28162-2022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44746</v>
      </c>
      <c r="E296" s="1" t="n">
        <v>46314</v>
      </c>
      <c r="F296" t="inlineStr">
        <is>
          <t>VÄSTRA GÖTALANDS LÄN</t>
        </is>
      </c>
      <c r="G296" t="inlineStr">
        <is>
          <t>MARIESTAD</t>
        </is>
      </c>
      <c r="I296" t="n">
        <v>3.1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40204-2026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46293</v>
      </c>
      <c r="E297" s="1" t="n">
        <v>46314</v>
      </c>
      <c r="F297" t="inlineStr">
        <is>
          <t>VÄSTRA GÖTALANDS LÄN</t>
        </is>
      </c>
      <c r="G297" t="inlineStr">
        <is>
          <t>MARIESTAD</t>
        </is>
      </c>
      <c r="I297" t="n">
        <v>1.1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32799-2024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45516</v>
      </c>
      <c r="E298" s="1" t="n">
        <v>46314</v>
      </c>
      <c r="F298" t="inlineStr">
        <is>
          <t>VÄSTRA GÖTALANDS LÄN</t>
        </is>
      </c>
      <c r="G298" t="inlineStr">
        <is>
          <t>MARIESTAD</t>
        </is>
      </c>
      <c r="I298" t="n">
        <v>0.9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2391-2025</t>
        </is>
      </c>
      <c r="B299" t="inlineStr">
        <is>
          <t>avverkningsanmälan</t>
        </is>
      </c>
      <c r="C299" t="inlineStr">
        <is>
          <t>Avverkning för annat ändamål</t>
        </is>
      </c>
      <c r="D299" s="1" t="n">
        <v>45674</v>
      </c>
      <c r="E299" s="1" t="n">
        <v>46314</v>
      </c>
      <c r="F299" t="inlineStr">
        <is>
          <t>VÄSTRA GÖTALANDS LÄN</t>
        </is>
      </c>
      <c r="G299" t="inlineStr">
        <is>
          <t>MARIESTAD</t>
        </is>
      </c>
      <c r="I299" t="n">
        <v>1.7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61716-2022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44917</v>
      </c>
      <c r="E300" s="1" t="n">
        <v>46314</v>
      </c>
      <c r="F300" t="inlineStr">
        <is>
          <t>VÄSTRA GÖTALANDS LÄN</t>
        </is>
      </c>
      <c r="G300" t="inlineStr">
        <is>
          <t>MARIESTAD</t>
        </is>
      </c>
      <c r="I300" t="n">
        <v>2.9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5146-2025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45691</v>
      </c>
      <c r="E301" s="1" t="n">
        <v>46314</v>
      </c>
      <c r="F301" t="inlineStr">
        <is>
          <t>VÄSTRA GÖTALANDS LÄN</t>
        </is>
      </c>
      <c r="G301" t="inlineStr">
        <is>
          <t>MARIESTAD</t>
        </is>
      </c>
      <c r="I301" t="n">
        <v>0.6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61603-2023</t>
        </is>
      </c>
      <c r="B302" t="inlineStr">
        <is>
          <t>avverkningsanmälan</t>
        </is>
      </c>
      <c r="C302" t="inlineStr">
        <is>
          <t>Avverkning för annat ändamål</t>
        </is>
      </c>
      <c r="D302" s="1" t="n">
        <v>45265</v>
      </c>
      <c r="E302" s="1" t="n">
        <v>46314</v>
      </c>
      <c r="F302" t="inlineStr">
        <is>
          <t>VÄSTRA GÖTALANDS LÄN</t>
        </is>
      </c>
      <c r="G302" t="inlineStr">
        <is>
          <t>MARIESTAD</t>
        </is>
      </c>
      <c r="H302" t="inlineStr">
        <is>
          <t>Sveaskog</t>
        </is>
      </c>
      <c r="I302" t="n">
        <v>0.3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34274-2026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46253</v>
      </c>
      <c r="E303" s="1" t="n">
        <v>46314</v>
      </c>
      <c r="F303" t="inlineStr">
        <is>
          <t>VÄSTRA GÖTALANDS LÄN</t>
        </is>
      </c>
      <c r="G303" t="inlineStr">
        <is>
          <t>MARIESTAD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49582-2023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45211</v>
      </c>
      <c r="E304" s="1" t="n">
        <v>46314</v>
      </c>
      <c r="F304" t="inlineStr">
        <is>
          <t>VÄSTRA GÖTALANDS LÄN</t>
        </is>
      </c>
      <c r="G304" t="inlineStr">
        <is>
          <t>MARIESTAD</t>
        </is>
      </c>
      <c r="I304" t="n">
        <v>1.8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10457-2025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45720</v>
      </c>
      <c r="E305" s="1" t="n">
        <v>46314</v>
      </c>
      <c r="F305" t="inlineStr">
        <is>
          <t>VÄSTRA GÖTALANDS LÄN</t>
        </is>
      </c>
      <c r="G305" t="inlineStr">
        <is>
          <t>MARIESTAD</t>
        </is>
      </c>
      <c r="I305" t="n">
        <v>0.5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645-2024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45299</v>
      </c>
      <c r="E306" s="1" t="n">
        <v>46314</v>
      </c>
      <c r="F306" t="inlineStr">
        <is>
          <t>VÄSTRA GÖTALANDS LÄN</t>
        </is>
      </c>
      <c r="G306" t="inlineStr">
        <is>
          <t>MARIESTAD</t>
        </is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41065-2026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46300</v>
      </c>
      <c r="E307" s="1" t="n">
        <v>46314</v>
      </c>
      <c r="F307" t="inlineStr">
        <is>
          <t>VÄSTRA GÖTALANDS LÄN</t>
        </is>
      </c>
      <c r="G307" t="inlineStr">
        <is>
          <t>MARIESTAD</t>
        </is>
      </c>
      <c r="I307" t="n">
        <v>2.4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10408-2025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45720</v>
      </c>
      <c r="E308" s="1" t="n">
        <v>46314</v>
      </c>
      <c r="F308" t="inlineStr">
        <is>
          <t>VÄSTRA GÖTALANDS LÄN</t>
        </is>
      </c>
      <c r="G308" t="inlineStr">
        <is>
          <t>MARIESTAD</t>
        </is>
      </c>
      <c r="I308" t="n">
        <v>1.2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41257-2026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46300</v>
      </c>
      <c r="E309" s="1" t="n">
        <v>46314</v>
      </c>
      <c r="F309" t="inlineStr">
        <is>
          <t>VÄSTRA GÖTALANDS LÄN</t>
        </is>
      </c>
      <c r="G309" t="inlineStr">
        <is>
          <t>MARIESTAD</t>
        </is>
      </c>
      <c r="I309" t="n">
        <v>0.8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41061-2026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46300</v>
      </c>
      <c r="E310" s="1" t="n">
        <v>46314</v>
      </c>
      <c r="F310" t="inlineStr">
        <is>
          <t>VÄSTRA GÖTALANDS LÄN</t>
        </is>
      </c>
      <c r="G310" t="inlineStr">
        <is>
          <t>MARIESTAD</t>
        </is>
      </c>
      <c r="I310" t="n">
        <v>2.4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4017-2025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45684</v>
      </c>
      <c r="E311" s="1" t="n">
        <v>46314</v>
      </c>
      <c r="F311" t="inlineStr">
        <is>
          <t>VÄSTRA GÖTALANDS LÄN</t>
        </is>
      </c>
      <c r="G311" t="inlineStr">
        <is>
          <t>MARIESTAD</t>
        </is>
      </c>
      <c r="H311" t="inlineStr">
        <is>
          <t>Kyrkan</t>
        </is>
      </c>
      <c r="I311" t="n">
        <v>2.2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41220-2026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46300</v>
      </c>
      <c r="E312" s="1" t="n">
        <v>46314</v>
      </c>
      <c r="F312" t="inlineStr">
        <is>
          <t>VÄSTRA GÖTALANDS LÄN</t>
        </is>
      </c>
      <c r="G312" t="inlineStr">
        <is>
          <t>MARIESTAD</t>
        </is>
      </c>
      <c r="I312" t="n">
        <v>2.5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41072-2026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46300</v>
      </c>
      <c r="E313" s="1" t="n">
        <v>46314</v>
      </c>
      <c r="F313" t="inlineStr">
        <is>
          <t>VÄSTRA GÖTALANDS LÄN</t>
        </is>
      </c>
      <c r="G313" t="inlineStr">
        <is>
          <t>MARIESTAD</t>
        </is>
      </c>
      <c r="I313" t="n">
        <v>3.2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1847-2024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45307</v>
      </c>
      <c r="E314" s="1" t="n">
        <v>46314</v>
      </c>
      <c r="F314" t="inlineStr">
        <is>
          <t>VÄSTRA GÖTALANDS LÄN</t>
        </is>
      </c>
      <c r="G314" t="inlineStr">
        <is>
          <t>MARIESTAD</t>
        </is>
      </c>
      <c r="I314" t="n">
        <v>1.8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32796-2024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45516</v>
      </c>
      <c r="E315" s="1" t="n">
        <v>46314</v>
      </c>
      <c r="F315" t="inlineStr">
        <is>
          <t>VÄSTRA GÖTALANDS LÄN</t>
        </is>
      </c>
      <c r="G315" t="inlineStr">
        <is>
          <t>MARIESTAD</t>
        </is>
      </c>
      <c r="I315" t="n">
        <v>3.3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48324-2024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45590</v>
      </c>
      <c r="E316" s="1" t="n">
        <v>46314</v>
      </c>
      <c r="F316" t="inlineStr">
        <is>
          <t>VÄSTRA GÖTALANDS LÄN</t>
        </is>
      </c>
      <c r="G316" t="inlineStr">
        <is>
          <t>MARIESTAD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38376-2024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45545</v>
      </c>
      <c r="E317" s="1" t="n">
        <v>46314</v>
      </c>
      <c r="F317" t="inlineStr">
        <is>
          <t>VÄSTRA GÖTALANDS LÄN</t>
        </is>
      </c>
      <c r="G317" t="inlineStr">
        <is>
          <t>MARIESTAD</t>
        </is>
      </c>
      <c r="I317" t="n">
        <v>2.5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66772-2021</t>
        </is>
      </c>
      <c r="B318" t="inlineStr">
        <is>
          <t>avverkningsanmälan</t>
        </is>
      </c>
      <c r="C318" t="inlineStr">
        <is>
          <t>Avverkning för annat ändamål</t>
        </is>
      </c>
      <c r="D318" s="1" t="n">
        <v>44521</v>
      </c>
      <c r="E318" s="1" t="n">
        <v>46314</v>
      </c>
      <c r="F318" t="inlineStr">
        <is>
          <t>VÄSTRA GÖTALANDS LÄN</t>
        </is>
      </c>
      <c r="G318" t="inlineStr">
        <is>
          <t>MARIESTAD</t>
        </is>
      </c>
      <c r="I318" t="n">
        <v>0.3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7580-2025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45705</v>
      </c>
      <c r="E319" s="1" t="n">
        <v>46314</v>
      </c>
      <c r="F319" t="inlineStr">
        <is>
          <t>VÄSTRA GÖTALANDS LÄN</t>
        </is>
      </c>
      <c r="G319" t="inlineStr">
        <is>
          <t>MARIESTAD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54263-2024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45616</v>
      </c>
      <c r="E320" s="1" t="n">
        <v>46314</v>
      </c>
      <c r="F320" t="inlineStr">
        <is>
          <t>VÄSTRA GÖTALANDS LÄN</t>
        </is>
      </c>
      <c r="G320" t="inlineStr">
        <is>
          <t>MARIESTAD</t>
        </is>
      </c>
      <c r="I320" t="n">
        <v>5.4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49385-2023</t>
        </is>
      </c>
      <c r="B321" t="inlineStr">
        <is>
          <t>avverkningsanmälan</t>
        </is>
      </c>
      <c r="C321" t="inlineStr">
        <is>
          <t>Avverkning för annat ändamål</t>
        </is>
      </c>
      <c r="D321" s="1" t="n">
        <v>45211</v>
      </c>
      <c r="E321" s="1" t="n">
        <v>46314</v>
      </c>
      <c r="F321" t="inlineStr">
        <is>
          <t>VÄSTRA GÖTALANDS LÄN</t>
        </is>
      </c>
      <c r="G321" t="inlineStr">
        <is>
          <t>MARIESTAD</t>
        </is>
      </c>
      <c r="I321" t="n">
        <v>0.7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12001-2025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45728</v>
      </c>
      <c r="E322" s="1" t="n">
        <v>46314</v>
      </c>
      <c r="F322" t="inlineStr">
        <is>
          <t>VÄSTRA GÖTALANDS LÄN</t>
        </is>
      </c>
      <c r="G322" t="inlineStr">
        <is>
          <t>MARIESTAD</t>
        </is>
      </c>
      <c r="H322" t="inlineStr">
        <is>
          <t>Sveaskog</t>
        </is>
      </c>
      <c r="I322" t="n">
        <v>0.9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31142-2024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45502</v>
      </c>
      <c r="E323" s="1" t="n">
        <v>46314</v>
      </c>
      <c r="F323" t="inlineStr">
        <is>
          <t>VÄSTRA GÖTALANDS LÄN</t>
        </is>
      </c>
      <c r="G323" t="inlineStr">
        <is>
          <t>MARIESTAD</t>
        </is>
      </c>
      <c r="I323" t="n">
        <v>1.8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8468-2025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45709</v>
      </c>
      <c r="E324" s="1" t="n">
        <v>46314</v>
      </c>
      <c r="F324" t="inlineStr">
        <is>
          <t>VÄSTRA GÖTALANDS LÄN</t>
        </is>
      </c>
      <c r="G324" t="inlineStr">
        <is>
          <t>MARIESTAD</t>
        </is>
      </c>
      <c r="I324" t="n">
        <v>3.2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22975-2025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45790</v>
      </c>
      <c r="E325" s="1" t="n">
        <v>46314</v>
      </c>
      <c r="F325" t="inlineStr">
        <is>
          <t>VÄSTRA GÖTALANDS LÄN</t>
        </is>
      </c>
      <c r="G325" t="inlineStr">
        <is>
          <t>MARIESTAD</t>
        </is>
      </c>
      <c r="I325" t="n">
        <v>1.4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9868-2025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45716</v>
      </c>
      <c r="E326" s="1" t="n">
        <v>46314</v>
      </c>
      <c r="F326" t="inlineStr">
        <is>
          <t>VÄSTRA GÖTALANDS LÄN</t>
        </is>
      </c>
      <c r="G326" t="inlineStr">
        <is>
          <t>MARIESTAD</t>
        </is>
      </c>
      <c r="I326" t="n">
        <v>1.5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35283-2026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46261</v>
      </c>
      <c r="E327" s="1" t="n">
        <v>46314</v>
      </c>
      <c r="F327" t="inlineStr">
        <is>
          <t>VÄSTRA GÖTALANDS LÄN</t>
        </is>
      </c>
      <c r="G327" t="inlineStr">
        <is>
          <t>MARIESTAD</t>
        </is>
      </c>
      <c r="H327" t="inlineStr">
        <is>
          <t>Sveaskog</t>
        </is>
      </c>
      <c r="I327" t="n">
        <v>2.4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5321-2024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45331</v>
      </c>
      <c r="E328" s="1" t="n">
        <v>46314</v>
      </c>
      <c r="F328" t="inlineStr">
        <is>
          <t>VÄSTRA GÖTALANDS LÄN</t>
        </is>
      </c>
      <c r="G328" t="inlineStr">
        <is>
          <t>MARIESTAD</t>
        </is>
      </c>
      <c r="I328" t="n">
        <v>0.9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52869-2024</t>
        </is>
      </c>
      <c r="B329" t="inlineStr">
        <is>
          <t>avverkningsanmälan</t>
        </is>
      </c>
      <c r="C329" t="inlineStr">
        <is>
          <t>Avverkning för annat ändamål</t>
        </is>
      </c>
      <c r="D329" s="1" t="n">
        <v>45610</v>
      </c>
      <c r="E329" s="1" t="n">
        <v>46314</v>
      </c>
      <c r="F329" t="inlineStr">
        <is>
          <t>VÄSTRA GÖTALANDS LÄN</t>
        </is>
      </c>
      <c r="G329" t="inlineStr">
        <is>
          <t>MARIESTAD</t>
        </is>
      </c>
      <c r="I329" t="n">
        <v>4.9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35279-2026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46261</v>
      </c>
      <c r="E330" s="1" t="n">
        <v>46314</v>
      </c>
      <c r="F330" t="inlineStr">
        <is>
          <t>VÄSTRA GÖTALANDS LÄN</t>
        </is>
      </c>
      <c r="G330" t="inlineStr">
        <is>
          <t>MARIESTAD</t>
        </is>
      </c>
      <c r="H330" t="inlineStr">
        <is>
          <t>Sveaskog</t>
        </is>
      </c>
      <c r="I330" t="n">
        <v>2.6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50575-2024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45600</v>
      </c>
      <c r="E331" s="1" t="n">
        <v>46314</v>
      </c>
      <c r="F331" t="inlineStr">
        <is>
          <t>VÄSTRA GÖTALANDS LÄN</t>
        </is>
      </c>
      <c r="G331" t="inlineStr">
        <is>
          <t>MARIESTAD</t>
        </is>
      </c>
      <c r="I331" t="n">
        <v>2.9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24495-2025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45798</v>
      </c>
      <c r="E332" s="1" t="n">
        <v>46314</v>
      </c>
      <c r="F332" t="inlineStr">
        <is>
          <t>VÄSTRA GÖTALANDS LÄN</t>
        </is>
      </c>
      <c r="G332" t="inlineStr">
        <is>
          <t>MARIESTAD</t>
        </is>
      </c>
      <c r="H332" t="inlineStr">
        <is>
          <t>Sveaskog</t>
        </is>
      </c>
      <c r="I332" t="n">
        <v>3.4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24510-2025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45798</v>
      </c>
      <c r="E333" s="1" t="n">
        <v>46314</v>
      </c>
      <c r="F333" t="inlineStr">
        <is>
          <t>VÄSTRA GÖTALANDS LÄN</t>
        </is>
      </c>
      <c r="G333" t="inlineStr">
        <is>
          <t>MARIESTAD</t>
        </is>
      </c>
      <c r="H333" t="inlineStr">
        <is>
          <t>Sveaskog</t>
        </is>
      </c>
      <c r="I333" t="n">
        <v>3.3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35431-2026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46262</v>
      </c>
      <c r="E334" s="1" t="n">
        <v>46314</v>
      </c>
      <c r="F334" t="inlineStr">
        <is>
          <t>VÄSTRA GÖTALANDS LÄN</t>
        </is>
      </c>
      <c r="G334" t="inlineStr">
        <is>
          <t>MARIESTAD</t>
        </is>
      </c>
      <c r="I334" t="n">
        <v>2.6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35516-2026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46262</v>
      </c>
      <c r="E335" s="1" t="n">
        <v>46314</v>
      </c>
      <c r="F335" t="inlineStr">
        <is>
          <t>VÄSTRA GÖTALANDS LÄN</t>
        </is>
      </c>
      <c r="G335" t="inlineStr">
        <is>
          <t>MARIESTAD</t>
        </is>
      </c>
      <c r="I335" t="n">
        <v>0.9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24503-2025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45798</v>
      </c>
      <c r="E336" s="1" t="n">
        <v>46314</v>
      </c>
      <c r="F336" t="inlineStr">
        <is>
          <t>VÄSTRA GÖTALANDS LÄN</t>
        </is>
      </c>
      <c r="G336" t="inlineStr">
        <is>
          <t>MARIESTAD</t>
        </is>
      </c>
      <c r="H336" t="inlineStr">
        <is>
          <t>Sveaskog</t>
        </is>
      </c>
      <c r="I336" t="n">
        <v>4.6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25799-2025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45804</v>
      </c>
      <c r="E337" s="1" t="n">
        <v>46314</v>
      </c>
      <c r="F337" t="inlineStr">
        <is>
          <t>VÄSTRA GÖTALANDS LÄN</t>
        </is>
      </c>
      <c r="G337" t="inlineStr">
        <is>
          <t>MARIESTAD</t>
        </is>
      </c>
      <c r="H337" t="inlineStr">
        <is>
          <t>Sveaskog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25950-2025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45804</v>
      </c>
      <c r="E338" s="1" t="n">
        <v>46314</v>
      </c>
      <c r="F338" t="inlineStr">
        <is>
          <t>VÄSTRA GÖTALANDS LÄN</t>
        </is>
      </c>
      <c r="G338" t="inlineStr">
        <is>
          <t>MARIESTAD</t>
        </is>
      </c>
      <c r="I338" t="n">
        <v>1.3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25946-2025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45804</v>
      </c>
      <c r="E339" s="1" t="n">
        <v>46314</v>
      </c>
      <c r="F339" t="inlineStr">
        <is>
          <t>VÄSTRA GÖTALANDS LÄN</t>
        </is>
      </c>
      <c r="G339" t="inlineStr">
        <is>
          <t>MARIESTAD</t>
        </is>
      </c>
      <c r="I339" t="n">
        <v>4.1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16713-2025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45754</v>
      </c>
      <c r="E340" s="1" t="n">
        <v>46314</v>
      </c>
      <c r="F340" t="inlineStr">
        <is>
          <t>VÄSTRA GÖTALANDS LÄN</t>
        </is>
      </c>
      <c r="G340" t="inlineStr">
        <is>
          <t>MARIESTAD</t>
        </is>
      </c>
      <c r="I340" t="n">
        <v>1.1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28012-2025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45817</v>
      </c>
      <c r="E341" s="1" t="n">
        <v>46314</v>
      </c>
      <c r="F341" t="inlineStr">
        <is>
          <t>VÄSTRA GÖTALANDS LÄN</t>
        </is>
      </c>
      <c r="G341" t="inlineStr">
        <is>
          <t>MARIESTAD</t>
        </is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28313-2025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45818</v>
      </c>
      <c r="E342" s="1" t="n">
        <v>46314</v>
      </c>
      <c r="F342" t="inlineStr">
        <is>
          <t>VÄSTRA GÖTALANDS LÄN</t>
        </is>
      </c>
      <c r="G342" t="inlineStr">
        <is>
          <t>MARIESTAD</t>
        </is>
      </c>
      <c r="I342" t="n">
        <v>4.4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28449-2025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45819</v>
      </c>
      <c r="E343" s="1" t="n">
        <v>46314</v>
      </c>
      <c r="F343" t="inlineStr">
        <is>
          <t>VÄSTRA GÖTALANDS LÄN</t>
        </is>
      </c>
      <c r="G343" t="inlineStr">
        <is>
          <t>MARIESTAD</t>
        </is>
      </c>
      <c r="I343" t="n">
        <v>3.8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28956-2025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45821</v>
      </c>
      <c r="E344" s="1" t="n">
        <v>46314</v>
      </c>
      <c r="F344" t="inlineStr">
        <is>
          <t>VÄSTRA GÖTALANDS LÄN</t>
        </is>
      </c>
      <c r="G344" t="inlineStr">
        <is>
          <t>MARIESTAD</t>
        </is>
      </c>
      <c r="I344" t="n">
        <v>2.5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28899-2025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45820</v>
      </c>
      <c r="E345" s="1" t="n">
        <v>46314</v>
      </c>
      <c r="F345" t="inlineStr">
        <is>
          <t>VÄSTRA GÖTALANDS LÄN</t>
        </is>
      </c>
      <c r="G345" t="inlineStr">
        <is>
          <t>MARIESTAD</t>
        </is>
      </c>
      <c r="I345" t="n">
        <v>4.3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28902-2025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45820</v>
      </c>
      <c r="E346" s="1" t="n">
        <v>46314</v>
      </c>
      <c r="F346" t="inlineStr">
        <is>
          <t>VÄSTRA GÖTALANDS LÄN</t>
        </is>
      </c>
      <c r="G346" t="inlineStr">
        <is>
          <t>MARIESTAD</t>
        </is>
      </c>
      <c r="I346" t="n">
        <v>2.7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30413-2025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45827</v>
      </c>
      <c r="E347" s="1" t="n">
        <v>46314</v>
      </c>
      <c r="F347" t="inlineStr">
        <is>
          <t>VÄSTRA GÖTALANDS LÄN</t>
        </is>
      </c>
      <c r="G347" t="inlineStr">
        <is>
          <t>MARIESTAD</t>
        </is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31239-2025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45832</v>
      </c>
      <c r="E348" s="1" t="n">
        <v>46314</v>
      </c>
      <c r="F348" t="inlineStr">
        <is>
          <t>VÄSTRA GÖTALANDS LÄN</t>
        </is>
      </c>
      <c r="G348" t="inlineStr">
        <is>
          <t>MARIESTAD</t>
        </is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36738-2025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45873</v>
      </c>
      <c r="E349" s="1" t="n">
        <v>46314</v>
      </c>
      <c r="F349" t="inlineStr">
        <is>
          <t>VÄSTRA GÖTALANDS LÄN</t>
        </is>
      </c>
      <c r="G349" t="inlineStr">
        <is>
          <t>MARIESTAD</t>
        </is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37041-2025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45875</v>
      </c>
      <c r="E350" s="1" t="n">
        <v>46314</v>
      </c>
      <c r="F350" t="inlineStr">
        <is>
          <t>VÄSTRA GÖTALANDS LÄN</t>
        </is>
      </c>
      <c r="G350" t="inlineStr">
        <is>
          <t>MARIESTAD</t>
        </is>
      </c>
      <c r="H350" t="inlineStr">
        <is>
          <t>Sveaskog</t>
        </is>
      </c>
      <c r="I350" t="n">
        <v>1.9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S 4868-2024</t>
        </is>
      </c>
      <c r="B351" t="inlineStr">
        <is>
          <t>samrådsanmälan</t>
        </is>
      </c>
      <c r="C351" t="inlineStr">
        <is>
          <t>Annan skogsbruksåtgärd</t>
        </is>
      </c>
      <c r="D351" s="1" t="n">
        <v>45618</v>
      </c>
      <c r="E351" s="1" t="n">
        <v>46314</v>
      </c>
      <c r="F351" t="inlineStr">
        <is>
          <t>VÄSTRA GÖTALANDS LÄN</t>
        </is>
      </c>
      <c r="G351" t="inlineStr">
        <is>
          <t>MARIESTAD</t>
        </is>
      </c>
      <c r="H351" t="inlineStr">
        <is>
          <t>Sveaskog</t>
        </is>
      </c>
      <c r="I351" t="n">
        <v>5.7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S 1204-2025</t>
        </is>
      </c>
      <c r="B352" t="inlineStr">
        <is>
          <t>samrådsanmälan</t>
        </is>
      </c>
      <c r="C352" t="inlineStr">
        <is>
          <t>Annan skogsbruksåtgärd</t>
        </is>
      </c>
      <c r="D352" s="1" t="n">
        <v>45757</v>
      </c>
      <c r="E352" s="1" t="n">
        <v>46314</v>
      </c>
      <c r="F352" t="inlineStr">
        <is>
          <t>VÄSTRA GÖTALANDS LÄN</t>
        </is>
      </c>
      <c r="G352" t="inlineStr">
        <is>
          <t>MARIESTAD</t>
        </is>
      </c>
      <c r="H352" t="inlineStr">
        <is>
          <t>Sveaskog</t>
        </is>
      </c>
      <c r="I352" t="n">
        <v>0.8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>
      <c r="A353" t="inlineStr">
        <is>
          <t>S 359-2026</t>
        </is>
      </c>
      <c r="B353" t="inlineStr">
        <is>
          <t>samrådsanmälan</t>
        </is>
      </c>
      <c r="C353" t="inlineStr">
        <is>
          <t>Annan skogsbruksåtgärd</t>
        </is>
      </c>
      <c r="D353" s="1" t="n">
        <v>46064</v>
      </c>
      <c r="E353" s="1" t="n">
        <v>46314</v>
      </c>
      <c r="F353" t="inlineStr">
        <is>
          <t>VÄSTRA GÖTALANDS LÄN</t>
        </is>
      </c>
      <c r="G353" t="inlineStr">
        <is>
          <t>MARIESTAD</t>
        </is>
      </c>
      <c r="I353" t="n">
        <v>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2026-10-19T02:03:40Z</dcterms:created>
  <dcterms:modified xmlns:dcterms="http://purl.org/dc/terms/" xmlns:xsi="http://www.w3.org/2001/XMLSchema-instance" xsi:type="dcterms:W3CDTF">2026-10-19T02:03:40Z</dcterms:modified>
</cp:coreProperties>
</file>