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46280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46280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46280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46280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46280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57791-2021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46280</v>
      </c>
      <c r="F10" t="inlineStr">
        <is>
          <t>VÄSTRA GÖTALANDS LÄN</t>
        </is>
      </c>
      <c r="G10" t="inlineStr">
        <is>
          <t>MARIESTAD</t>
        </is>
      </c>
      <c r="I10" t="n">
        <v>30.8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Fyrflikig jordstjärna
Blåmossa</t>
        </is>
      </c>
      <c r="W10">
        <f>HYPERLINK("https://klasma.github.io/Logging_1493/artfynd/A 57791-2021 artfynd.xlsx", "A 57791-2021")</f>
        <v/>
      </c>
      <c r="X10">
        <f>HYPERLINK("https://klasma.github.io/Logging_1493/kartor/A 57791-2021 karta.png", "A 57791-2021")</f>
        <v/>
      </c>
      <c r="Y10">
        <f>HYPERLINK("https://klasma.github.io/Logging_1493/kartor_geotiff/A 57791-2021 georefererad karta.tif", "A 57791-2021")</f>
        <v/>
      </c>
      <c r="AA10">
        <f>HYPERLINK("https://klasma.github.io/Logging_1493/klagomål/A 57791-2021 FSC-klagomål.docx", "A 57791-2021")</f>
        <v/>
      </c>
      <c r="AB10">
        <f>HYPERLINK("https://klasma.github.io/Logging_1493/klagomålsmail/A 57791-2021 FSC-klagomål mail.docx", "A 57791-2021")</f>
        <v/>
      </c>
      <c r="AC10">
        <f>HYPERLINK("https://klasma.github.io/Logging_1493/tillsyn/A 57791-2021 tillsynsbegäran.docx", "A 57791-2021")</f>
        <v/>
      </c>
      <c r="AD10">
        <f>HYPERLINK("https://klasma.github.io/Logging_1493/tillsynsmail/A 57791-2021 tillsynsbegäran mail.docx", "A 57791-2021")</f>
        <v/>
      </c>
    </row>
    <row r="11" ht="15" customHeight="1">
      <c r="A11" t="inlineStr">
        <is>
          <t>A 63287-2025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46009</v>
      </c>
      <c r="E11" s="1" t="n">
        <v>46280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Kyrkan</t>
        </is>
      </c>
      <c r="I11" t="n">
        <v>0.3</v>
      </c>
      <c r="J11" t="n">
        <v>0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1</v>
      </c>
      <c r="V11" s="2" t="inlineStr">
        <is>
          <t>Ask
Tallticka</t>
        </is>
      </c>
      <c r="W11">
        <f>HYPERLINK("https://klasma.github.io/Logging_1493/artfynd/A 63287-2025 artfynd.xlsx", "A 63287-2025")</f>
        <v/>
      </c>
      <c r="X11">
        <f>HYPERLINK("https://klasma.github.io/Logging_1493/kartor/A 63287-2025 karta.png", "A 63287-2025")</f>
        <v/>
      </c>
      <c r="Y11">
        <f>HYPERLINK("https://klasma.github.io/Logging_1493/kartor_geotiff/A 63287-2025 georefererad karta.tif", "A 63287-2025")</f>
        <v/>
      </c>
      <c r="AA11">
        <f>HYPERLINK("https://klasma.github.io/Logging_1493/klagomål/A 63287-2025 FSC-klagomål.docx", "A 63287-2025")</f>
        <v/>
      </c>
      <c r="AB11">
        <f>HYPERLINK("https://klasma.github.io/Logging_1493/klagomålsmail/A 63287-2025 FSC-klagomål mail.docx", "A 63287-2025")</f>
        <v/>
      </c>
      <c r="AC11">
        <f>HYPERLINK("https://klasma.github.io/Logging_1493/tillsyn/A 63287-2025 tillsynsbegäran.docx", "A 63287-2025")</f>
        <v/>
      </c>
      <c r="AD11">
        <f>HYPERLINK("https://klasma.github.io/Logging_1493/tillsynsmail/A 63287-2025 tillsynsbegäran mail.docx", "A 63287-2025")</f>
        <v/>
      </c>
    </row>
    <row r="12" ht="15" customHeight="1">
      <c r="A12" t="inlineStr">
        <is>
          <t>A 27444-2023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45097</v>
      </c>
      <c r="E12" s="1" t="n">
        <v>46280</v>
      </c>
      <c r="F12" t="inlineStr">
        <is>
          <t>VÄSTRA GÖTALANDS LÄN</t>
        </is>
      </c>
      <c r="G12" t="inlineStr">
        <is>
          <t>MARIESTAD</t>
        </is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Svinrot
Gullviva</t>
        </is>
      </c>
      <c r="W12">
        <f>HYPERLINK("https://klasma.github.io/Logging_1493/artfynd/A 27444-2023 artfynd.xlsx", "A 27444-2023")</f>
        <v/>
      </c>
      <c r="X12">
        <f>HYPERLINK("https://klasma.github.io/Logging_1493/kartor/A 27444-2023 karta.png", "A 27444-2023")</f>
        <v/>
      </c>
      <c r="Y12">
        <f>HYPERLINK("https://klasma.github.io/Logging_1493/kartor_geotiff/A 27444-2023 georefererad karta.tif", "A 27444-2023")</f>
        <v/>
      </c>
      <c r="AA12">
        <f>HYPERLINK("https://klasma.github.io/Logging_1493/klagomål/A 27444-2023 FSC-klagomål.docx", "A 27444-2023")</f>
        <v/>
      </c>
      <c r="AB12">
        <f>HYPERLINK("https://klasma.github.io/Logging_1493/klagomålsmail/A 27444-2023 FSC-klagomål mail.docx", "A 27444-2023")</f>
        <v/>
      </c>
      <c r="AC12">
        <f>HYPERLINK("https://klasma.github.io/Logging_1493/tillsyn/A 27444-2023 tillsynsbegäran.docx", "A 27444-2023")</f>
        <v/>
      </c>
      <c r="AD12">
        <f>HYPERLINK("https://klasma.github.io/Logging_1493/tillsynsmail/A 27444-2023 tillsynsbegäran mail.docx", "A 27444-2023")</f>
        <v/>
      </c>
    </row>
    <row r="13" ht="15" customHeight="1">
      <c r="A13" t="inlineStr">
        <is>
          <t>A 47764-2023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46280</v>
      </c>
      <c r="F13" t="inlineStr">
        <is>
          <t>VÄSTRA GÖTALANDS LÄN</t>
        </is>
      </c>
      <c r="G13" t="inlineStr">
        <is>
          <t>MARIESTAD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Blåsippa
Gullviva</t>
        </is>
      </c>
      <c r="W13">
        <f>HYPERLINK("https://klasma.github.io/Logging_1493/artfynd/A 47764-2023 artfynd.xlsx", "A 47764-2023")</f>
        <v/>
      </c>
      <c r="X13">
        <f>HYPERLINK("https://klasma.github.io/Logging_1493/kartor/A 47764-2023 karta.png", "A 47764-2023")</f>
        <v/>
      </c>
      <c r="Y13">
        <f>HYPERLINK("https://klasma.github.io/Logging_1493/kartor_geotiff/A 47764-2023 georefererad karta.tif", "A 47764-2023")</f>
        <v/>
      </c>
      <c r="AA13">
        <f>HYPERLINK("https://klasma.github.io/Logging_1493/klagomål/A 47764-2023 FSC-klagomål.docx", "A 47764-2023")</f>
        <v/>
      </c>
      <c r="AB13">
        <f>HYPERLINK("https://klasma.github.io/Logging_1493/klagomålsmail/A 47764-2023 FSC-klagomål mail.docx", "A 47764-2023")</f>
        <v/>
      </c>
      <c r="AC13">
        <f>HYPERLINK("https://klasma.github.io/Logging_1493/tillsyn/A 47764-2023 tillsynsbegäran.docx", "A 47764-2023")</f>
        <v/>
      </c>
      <c r="AD13">
        <f>HYPERLINK("https://klasma.github.io/Logging_1493/tillsynsmail/A 47764-2023 tillsynsbegäran mail.docx", "A 47764-2023")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46280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46280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46280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46280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46280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46280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46280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46280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46280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46280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46280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46280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46280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46280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46280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HYPERLINK("https://klasma.github.io/Logging_1493/artfynd/A 12379-2026 artfynd.xlsx", "A 12379-2026")</f>
        <v/>
      </c>
      <c r="X28">
        <f>HYPERLINK("https://klasma.github.io/Logging_1493/kartor/A 12379-2026 karta.png", "A 12379-2026")</f>
        <v/>
      </c>
      <c r="Y28">
        <f>HYPERLINK("https://klasma.github.io/Logging_1493/kartor_geotiff/A 12379-2026 georefererad karta.tif", "A 12379-2026")</f>
        <v/>
      </c>
      <c r="AA28">
        <f>HYPERLINK("https://klasma.github.io/Logging_1493/klagomål/A 12379-2026 FSC-klagomål.docx", "A 12379-2026")</f>
        <v/>
      </c>
      <c r="AB28">
        <f>HYPERLINK("https://klasma.github.io/Logging_1493/klagomålsmail/A 12379-2026 FSC-klagomål mail.docx", "A 12379-2026")</f>
        <v/>
      </c>
      <c r="AC28">
        <f>HYPERLINK("https://klasma.github.io/Logging_1493/tillsyn/A 12379-2026 tillsynsbegäran.docx", "A 12379-2026")</f>
        <v/>
      </c>
      <c r="AD28">
        <f>HYPERLINK("https://klasma.github.io/Logging_1493/tillsynsmail/A 12379-2026 tillsynsbegäran mail.docx", "A 12379-2026")</f>
        <v/>
      </c>
    </row>
    <row r="29" ht="15" customHeight="1">
      <c r="A29" t="inlineStr">
        <is>
          <t>A 17272-2023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46280</v>
      </c>
      <c r="F29" t="inlineStr">
        <is>
          <t>VÄSTRA GÖTALANDS LÄN</t>
        </is>
      </c>
      <c r="G29" t="inlineStr">
        <is>
          <t>MARIESTAD</t>
        </is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HYPERLINK("https://klasma.github.io/Logging_1493/artfynd/A 17272-2023 artfynd.xlsx", "A 17272-2023")</f>
        <v/>
      </c>
      <c r="X29">
        <f>HYPERLINK("https://klasma.github.io/Logging_1493/kartor/A 17272-2023 karta.png", "A 17272-2023")</f>
        <v/>
      </c>
      <c r="Y29">
        <f>HYPERLINK("https://klasma.github.io/Logging_1493/kartor_geotiff/A 17272-2023 georefererad karta.tif", "A 17272-2023")</f>
        <v/>
      </c>
      <c r="AA29">
        <f>HYPERLINK("https://klasma.github.io/Logging_1493/klagomål/A 17272-2023 FSC-klagomål.docx", "A 17272-2023")</f>
        <v/>
      </c>
      <c r="AB29">
        <f>HYPERLINK("https://klasma.github.io/Logging_1493/klagomålsmail/A 17272-2023 FSC-klagomål mail.docx", "A 17272-2023")</f>
        <v/>
      </c>
      <c r="AC29">
        <f>HYPERLINK("https://klasma.github.io/Logging_1493/tillsyn/A 17272-2023 tillsynsbegäran.docx", "A 17272-2023")</f>
        <v/>
      </c>
      <c r="AD29">
        <f>HYPERLINK("https://klasma.github.io/Logging_1493/tillsynsmail/A 17272-2023 tillsynsbegäran mail.docx", "A 17272-2023")</f>
        <v/>
      </c>
    </row>
    <row r="30" ht="15" customHeight="1">
      <c r="A30" t="inlineStr">
        <is>
          <t>A 7578-2025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46280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Svartvit flugsnappare</t>
        </is>
      </c>
      <c r="W30">
        <f>HYPERLINK("https://klasma.github.io/Logging_1493/artfynd/A 7578-2025 artfynd.xlsx", "A 7578-2025")</f>
        <v/>
      </c>
      <c r="X30">
        <f>HYPERLINK("https://klasma.github.io/Logging_1493/kartor/A 7578-2025 karta.png", "A 7578-2025")</f>
        <v/>
      </c>
      <c r="Y30">
        <f>HYPERLINK("https://klasma.github.io/Logging_1493/kartor_geotiff/A 7578-2025 georefererad karta.tif", "A 7578-2025")</f>
        <v/>
      </c>
      <c r="AA30">
        <f>HYPERLINK("https://klasma.github.io/Logging_1493/klagomål/A 7578-2025 FSC-klagomål.docx", "A 7578-2025")</f>
        <v/>
      </c>
      <c r="AB30">
        <f>HYPERLINK("https://klasma.github.io/Logging_1493/klagomålsmail/A 7578-2025 FSC-klagomål mail.docx", "A 7578-2025")</f>
        <v/>
      </c>
      <c r="AC30">
        <f>HYPERLINK("https://klasma.github.io/Logging_1493/tillsyn/A 7578-2025 tillsynsbegäran.docx", "A 7578-2025")</f>
        <v/>
      </c>
      <c r="AD30">
        <f>HYPERLINK("https://klasma.github.io/Logging_1493/tillsynsmail/A 7578-2025 tillsynsbegäran mail.docx", "A 7578-2025")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46280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46280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46280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46280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46280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38580-2023 artfynd.xlsx", "A 38580-2023")</f>
        <v/>
      </c>
      <c r="X35">
        <f>HYPERLINK("https://klasma.github.io/Logging_1493/kartor/A 38580-2023 karta.png", "A 38580-2023")</f>
        <v/>
      </c>
      <c r="Y35">
        <f>HYPERLINK("https://klasma.github.io/Logging_1493/kartor_geotiff/A 38580-2023 georefererad karta.tif", "A 38580-2023")</f>
        <v/>
      </c>
      <c r="AA35">
        <f>HYPERLINK("https://klasma.github.io/Logging_1493/klagomål/A 38580-2023 FSC-klagomål.docx", "A 38580-2023")</f>
        <v/>
      </c>
      <c r="AB35">
        <f>HYPERLINK("https://klasma.github.io/Logging_1493/klagomålsmail/A 38580-2023 FSC-klagomål mail.docx", "A 38580-2023")</f>
        <v/>
      </c>
      <c r="AC35">
        <f>HYPERLINK("https://klasma.github.io/Logging_1493/tillsyn/A 38580-2023 tillsynsbegäran.docx", "A 38580-2023")</f>
        <v/>
      </c>
      <c r="AD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46280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HYPERLINK("https://klasma.github.io/Logging_1493/artfynd/A 18176-2025 artfynd.xlsx", "A 18176-2025")</f>
        <v/>
      </c>
      <c r="X36">
        <f>HYPERLINK("https://klasma.github.io/Logging_1493/kartor/A 18176-2025 karta.png", "A 18176-2025")</f>
        <v/>
      </c>
      <c r="Y36">
        <f>HYPERLINK("https://klasma.github.io/Logging_1493/kartor_geotiff/A 18176-2025 georefererad karta.tif", "A 18176-2025")</f>
        <v/>
      </c>
      <c r="AA36">
        <f>HYPERLINK("https://klasma.github.io/Logging_1493/klagomål/A 18176-2025 FSC-klagomål.docx", "A 18176-2025")</f>
        <v/>
      </c>
      <c r="AB36">
        <f>HYPERLINK("https://klasma.github.io/Logging_1493/klagomålsmail/A 18176-2025 FSC-klagomål mail.docx", "A 18176-2025")</f>
        <v/>
      </c>
      <c r="AC36">
        <f>HYPERLINK("https://klasma.github.io/Logging_1493/tillsyn/A 18176-2025 tillsynsbegäran.docx", "A 18176-2025")</f>
        <v/>
      </c>
      <c r="AD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46280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Lönnlav</t>
        </is>
      </c>
      <c r="W37">
        <f>HYPERLINK("https://klasma.github.io/Logging_1493/artfynd/A 49233-2023 artfynd.xlsx", "A 49233-2023")</f>
        <v/>
      </c>
      <c r="X37">
        <f>HYPERLINK("https://klasma.github.io/Logging_1493/kartor/A 49233-2023 karta.png", "A 49233-2023")</f>
        <v/>
      </c>
      <c r="Y37">
        <f>HYPERLINK("https://klasma.github.io/Logging_1493/kartor_geotiff/A 49233-2023 georefererad karta.tif", "A 49233-2023")</f>
        <v/>
      </c>
      <c r="AA37">
        <f>HYPERLINK("https://klasma.github.io/Logging_1493/klagomål/A 49233-2023 FSC-klagomål.docx", "A 49233-2023")</f>
        <v/>
      </c>
      <c r="AB37">
        <f>HYPERLINK("https://klasma.github.io/Logging_1493/klagomålsmail/A 49233-2023 FSC-klagomål mail.docx", "A 49233-2023")</f>
        <v/>
      </c>
      <c r="AC37">
        <f>HYPERLINK("https://klasma.github.io/Logging_1493/tillsyn/A 49233-2023 tillsynsbegäran.docx", "A 49233-2023")</f>
        <v/>
      </c>
      <c r="AD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46280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Nattviol</t>
        </is>
      </c>
      <c r="W38">
        <f>HYPERLINK("https://klasma.github.io/Logging_1493/artfynd/A 30652-2023 artfynd.xlsx", "A 30652-2023")</f>
        <v/>
      </c>
      <c r="X38">
        <f>HYPERLINK("https://klasma.github.io/Logging_1493/kartor/A 30652-2023 karta.png", "A 30652-2023")</f>
        <v/>
      </c>
      <c r="Y38">
        <f>HYPERLINK("https://klasma.github.io/Logging_1493/kartor_geotiff/A 30652-2023 georefererad karta.tif", "A 30652-2023")</f>
        <v/>
      </c>
      <c r="AA38">
        <f>HYPERLINK("https://klasma.github.io/Logging_1493/klagomål/A 30652-2023 FSC-klagomål.docx", "A 30652-2023")</f>
        <v/>
      </c>
      <c r="AB38">
        <f>HYPERLINK("https://klasma.github.io/Logging_1493/klagomålsmail/A 30652-2023 FSC-klagomål mail.docx", "A 30652-2023")</f>
        <v/>
      </c>
      <c r="AC38">
        <f>HYPERLINK("https://klasma.github.io/Logging_1493/tillsyn/A 30652-2023 tillsynsbegäran.docx", "A 30652-2023")</f>
        <v/>
      </c>
      <c r="AD38">
        <f>HYPERLINK("https://klasma.github.io/Logging_1493/tillsynsmail/A 30652-2023 tillsynsbegäran mail.docx", "A 30652-2023")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46280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46280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46280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46280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46280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46280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46280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46280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46280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46280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46280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46280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46280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46280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46280</v>
      </c>
      <c r="F54" t="inlineStr">
        <is>
          <t>VÄSTRA GÖTALANDS LÄN</t>
        </is>
      </c>
      <c r="G54" t="inlineStr">
        <is>
          <t>MARIESTAD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46280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46280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46280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46280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46280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44758</v>
      </c>
      <c r="E60" s="1" t="n">
        <v>46280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46280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46280</v>
      </c>
      <c r="F62" t="inlineStr">
        <is>
          <t>VÄSTRA GÖTALANDS LÄN</t>
        </is>
      </c>
      <c r="G62" t="inlineStr">
        <is>
          <t>MARIESTAD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46280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46280</v>
      </c>
      <c r="F64" t="inlineStr">
        <is>
          <t>VÄSTRA GÖTALANDS LÄN</t>
        </is>
      </c>
      <c r="G64" t="inlineStr">
        <is>
          <t>MARIESTAD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46280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67142-2021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46280</v>
      </c>
      <c r="F66" t="inlineStr">
        <is>
          <t>VÄSTRA GÖTALANDS LÄN</t>
        </is>
      </c>
      <c r="G66" t="inlineStr">
        <is>
          <t>MARIESTAD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46280</v>
      </c>
      <c r="F67" t="inlineStr">
        <is>
          <t>VÄSTRA GÖTALANDS LÄN</t>
        </is>
      </c>
      <c r="G67" t="inlineStr">
        <is>
          <t>MARIESTAD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46280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68922-2021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46280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46280</v>
      </c>
      <c r="F70" t="inlineStr">
        <is>
          <t>VÄSTRA GÖTALANDS LÄN</t>
        </is>
      </c>
      <c r="G70" t="inlineStr">
        <is>
          <t>MARIESTAD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44630</v>
      </c>
      <c r="E71" s="1" t="n">
        <v>46280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46280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Kyrkan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44843</v>
      </c>
      <c r="E73" s="1" t="n">
        <v>46280</v>
      </c>
      <c r="F73" t="inlineStr">
        <is>
          <t>VÄSTRA GÖTALANDS LÄN</t>
        </is>
      </c>
      <c r="G73" t="inlineStr">
        <is>
          <t>MARIESTAD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46280</v>
      </c>
      <c r="F74" t="inlineStr">
        <is>
          <t>VÄSTRA GÖTALANDS LÄN</t>
        </is>
      </c>
      <c r="G74" t="inlineStr">
        <is>
          <t>MARIESTAD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46280</v>
      </c>
      <c r="F75" t="inlineStr">
        <is>
          <t>VÄSTRA GÖTALANDS LÄN</t>
        </is>
      </c>
      <c r="G75" t="inlineStr">
        <is>
          <t>MARIESTAD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46280</v>
      </c>
      <c r="F76" t="inlineStr">
        <is>
          <t>VÄSTRA GÖTALANDS LÄN</t>
        </is>
      </c>
      <c r="G76" t="inlineStr">
        <is>
          <t>MARIESTAD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48297-2024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46280</v>
      </c>
      <c r="F77" t="inlineStr">
        <is>
          <t>VÄSTRA GÖTALANDS LÄN</t>
        </is>
      </c>
      <c r="G77" t="inlineStr">
        <is>
          <t>MARIESTAD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45397</v>
      </c>
      <c r="E78" s="1" t="n">
        <v>46280</v>
      </c>
      <c r="F78" t="inlineStr">
        <is>
          <t>VÄSTRA GÖTALANDS LÄN</t>
        </is>
      </c>
      <c r="G78" t="inlineStr">
        <is>
          <t>MARIESTAD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46280</v>
      </c>
      <c r="F79" t="inlineStr">
        <is>
          <t>VÄSTRA GÖTALANDS LÄN</t>
        </is>
      </c>
      <c r="G79" t="inlineStr">
        <is>
          <t>MARIESTAD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44629</v>
      </c>
      <c r="E80" s="1" t="n">
        <v>46280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Kommuner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46280</v>
      </c>
      <c r="F81" t="inlineStr">
        <is>
          <t>VÄSTRA GÖTALANDS LÄN</t>
        </is>
      </c>
      <c r="G81" t="inlineStr">
        <is>
          <t>MARIESTAD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46280</v>
      </c>
      <c r="F82" t="inlineStr">
        <is>
          <t>VÄSTRA GÖTALANDS LÄN</t>
        </is>
      </c>
      <c r="G82" t="inlineStr">
        <is>
          <t>MARIESTAD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46280</v>
      </c>
      <c r="F83" t="inlineStr">
        <is>
          <t>VÄSTRA GÖTALANDS LÄN</t>
        </is>
      </c>
      <c r="G83" t="inlineStr">
        <is>
          <t>MARIESTAD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46280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45470</v>
      </c>
      <c r="E85" s="1" t="n">
        <v>46280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Kyrkan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45331</v>
      </c>
      <c r="E86" s="1" t="n">
        <v>46280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52869-2024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45610</v>
      </c>
      <c r="E87" s="1" t="n">
        <v>46280</v>
      </c>
      <c r="F87" t="inlineStr">
        <is>
          <t>VÄSTRA GÖTALANDS LÄN</t>
        </is>
      </c>
      <c r="G87" t="inlineStr">
        <is>
          <t>MARIESTAD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46280</v>
      </c>
      <c r="F88" t="inlineStr">
        <is>
          <t>VÄSTRA GÖTALANDS LÄN</t>
        </is>
      </c>
      <c r="G88" t="inlineStr">
        <is>
          <t>MARIESTAD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46280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46280</v>
      </c>
      <c r="F90" t="inlineStr">
        <is>
          <t>VÄSTRA GÖTALANDS LÄN</t>
        </is>
      </c>
      <c r="G90" t="inlineStr">
        <is>
          <t>MARIESTAD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46280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50327-2024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46280</v>
      </c>
      <c r="F92" t="inlineStr">
        <is>
          <t>VÄSTRA GÖTALANDS LÄN</t>
        </is>
      </c>
      <c r="G92" t="inlineStr">
        <is>
          <t>MARIESTAD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24503-2025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46280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46280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45887</v>
      </c>
      <c r="E95" s="1" t="n">
        <v>46280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66771-2021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44521</v>
      </c>
      <c r="E96" s="1" t="n">
        <v>46280</v>
      </c>
      <c r="F96" t="inlineStr">
        <is>
          <t>VÄSTRA GÖTALANDS LÄN</t>
        </is>
      </c>
      <c r="G96" t="inlineStr">
        <is>
          <t>MARIESTAD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46280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25950-2025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46280</v>
      </c>
      <c r="F98" t="inlineStr">
        <is>
          <t>VÄSTRA GÖTALANDS LÄN</t>
        </is>
      </c>
      <c r="G98" t="inlineStr">
        <is>
          <t>MARIESTAD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46280</v>
      </c>
      <c r="F99" t="inlineStr">
        <is>
          <t>VÄSTRA GÖTALANDS LÄN</t>
        </is>
      </c>
      <c r="G99" t="inlineStr">
        <is>
          <t>MARIESTAD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46280</v>
      </c>
      <c r="F100" t="inlineStr">
        <is>
          <t>VÄSTRA GÖTALANDS LÄN</t>
        </is>
      </c>
      <c r="G100" t="inlineStr">
        <is>
          <t>MARIESTAD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46280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46280</v>
      </c>
      <c r="F102" t="inlineStr">
        <is>
          <t>VÄSTRA GÖTALANDS LÄN</t>
        </is>
      </c>
      <c r="G102" t="inlineStr">
        <is>
          <t>MARIESTAD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46280</v>
      </c>
      <c r="F103" t="inlineStr">
        <is>
          <t>VÄSTRA GÖTALANDS LÄN</t>
        </is>
      </c>
      <c r="G103" t="inlineStr">
        <is>
          <t>MARIESTAD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46029</v>
      </c>
      <c r="E104" s="1" t="n">
        <v>46280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46029</v>
      </c>
      <c r="E105" s="1" t="n">
        <v>46280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44942</v>
      </c>
      <c r="E106" s="1" t="n">
        <v>46280</v>
      </c>
      <c r="F106" t="inlineStr">
        <is>
          <t>VÄSTRA GÖTALANDS LÄN</t>
        </is>
      </c>
      <c r="G106" t="inlineStr">
        <is>
          <t>MARIESTAD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46280</v>
      </c>
      <c r="F107" t="inlineStr">
        <is>
          <t>VÄSTRA GÖTALANDS LÄN</t>
        </is>
      </c>
      <c r="G107" t="inlineStr">
        <is>
          <t>MARIESTAD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46280</v>
      </c>
      <c r="F108" t="inlineStr">
        <is>
          <t>VÄSTRA GÖTALANDS LÄN</t>
        </is>
      </c>
      <c r="G108" t="inlineStr">
        <is>
          <t>MARIESTAD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45818</v>
      </c>
      <c r="E109" s="1" t="n">
        <v>46280</v>
      </c>
      <c r="F109" t="inlineStr">
        <is>
          <t>VÄSTRA GÖTALANDS LÄN</t>
        </is>
      </c>
      <c r="G109" t="inlineStr">
        <is>
          <t>MARIESTAD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70295-2021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44536</v>
      </c>
      <c r="E110" s="1" t="n">
        <v>46280</v>
      </c>
      <c r="F110" t="inlineStr">
        <is>
          <t>VÄSTRA GÖTALANDS LÄN</t>
        </is>
      </c>
      <c r="G110" t="inlineStr">
        <is>
          <t>MARIESTAD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28449-2025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46280</v>
      </c>
      <c r="F111" t="inlineStr">
        <is>
          <t>VÄSTRA GÖTALANDS LÄN</t>
        </is>
      </c>
      <c r="G111" t="inlineStr">
        <is>
          <t>MARIESTAD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46280</v>
      </c>
      <c r="F112" t="inlineStr">
        <is>
          <t>VÄSTRA GÖTALANDS LÄN</t>
        </is>
      </c>
      <c r="G112" t="inlineStr">
        <is>
          <t>MARIESTAD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19553-2022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44693</v>
      </c>
      <c r="E113" s="1" t="n">
        <v>46280</v>
      </c>
      <c r="F113" t="inlineStr">
        <is>
          <t>VÄSTRA GÖTALANDS LÄN</t>
        </is>
      </c>
      <c r="G113" t="inlineStr">
        <is>
          <t>MARIESTAD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46280</v>
      </c>
      <c r="F114" t="inlineStr">
        <is>
          <t>VÄSTRA GÖTALANDS LÄN</t>
        </is>
      </c>
      <c r="G114" t="inlineStr">
        <is>
          <t>MARIESTAD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46280</v>
      </c>
      <c r="F115" t="inlineStr">
        <is>
          <t>VÄSTRA GÖTALANDS LÄN</t>
        </is>
      </c>
      <c r="G115" t="inlineStr">
        <is>
          <t>MARIESTAD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46280</v>
      </c>
      <c r="F116" t="inlineStr">
        <is>
          <t>VÄSTRA GÖTALANDS LÄN</t>
        </is>
      </c>
      <c r="G116" t="inlineStr">
        <is>
          <t>MARIESTAD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44971</v>
      </c>
      <c r="E117" s="1" t="n">
        <v>46280</v>
      </c>
      <c r="F117" t="inlineStr">
        <is>
          <t>VÄSTRA GÖTALANDS LÄN</t>
        </is>
      </c>
      <c r="G117" t="inlineStr">
        <is>
          <t>MARIESTAD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44993</v>
      </c>
      <c r="E118" s="1" t="n">
        <v>46280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45240</v>
      </c>
      <c r="E119" s="1" t="n">
        <v>46280</v>
      </c>
      <c r="F119" t="inlineStr">
        <is>
          <t>VÄSTRA GÖTALANDS LÄN</t>
        </is>
      </c>
      <c r="G119" t="inlineStr">
        <is>
          <t>MARIESTAD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46280</v>
      </c>
      <c r="F120" t="inlineStr">
        <is>
          <t>VÄSTRA GÖTALANDS LÄN</t>
        </is>
      </c>
      <c r="G120" t="inlineStr">
        <is>
          <t>MARIESTAD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44797</v>
      </c>
      <c r="E121" s="1" t="n">
        <v>46280</v>
      </c>
      <c r="F121" t="inlineStr">
        <is>
          <t>VÄSTRA GÖTALANDS LÄN</t>
        </is>
      </c>
      <c r="G121" t="inlineStr">
        <is>
          <t>MARIESTAD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46280</v>
      </c>
      <c r="F122" t="inlineStr">
        <is>
          <t>VÄSTRA GÖTALANDS LÄN</t>
        </is>
      </c>
      <c r="G122" t="inlineStr">
        <is>
          <t>MARIESTAD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46280</v>
      </c>
      <c r="F123" t="inlineStr">
        <is>
          <t>VÄSTRA GÖTALANDS LÄN</t>
        </is>
      </c>
      <c r="G123" t="inlineStr">
        <is>
          <t>MARIESTAD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46280</v>
      </c>
      <c r="F124" t="inlineStr">
        <is>
          <t>VÄSTRA GÖTALANDS LÄN</t>
        </is>
      </c>
      <c r="G124" t="inlineStr">
        <is>
          <t>MARIESTAD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46280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46280</v>
      </c>
      <c r="F126" t="inlineStr">
        <is>
          <t>VÄSTRA GÖTALANDS LÄN</t>
        </is>
      </c>
      <c r="G126" t="inlineStr">
        <is>
          <t>MARIESTAD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46280</v>
      </c>
      <c r="F127" t="inlineStr">
        <is>
          <t>VÄSTRA GÖTALANDS LÄN</t>
        </is>
      </c>
      <c r="G127" t="inlineStr">
        <is>
          <t>MARIESTAD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46280</v>
      </c>
      <c r="F128" t="inlineStr">
        <is>
          <t>VÄSTRA GÖTALANDS LÄN</t>
        </is>
      </c>
      <c r="G128" t="inlineStr">
        <is>
          <t>MARIESTAD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46280</v>
      </c>
      <c r="F129" t="inlineStr">
        <is>
          <t>VÄSTRA GÖTALANDS LÄN</t>
        </is>
      </c>
      <c r="G129" t="inlineStr">
        <is>
          <t>MARIESTAD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46280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Kyrkan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46280</v>
      </c>
      <c r="F131" t="inlineStr">
        <is>
          <t>VÄSTRA GÖTALANDS LÄN</t>
        </is>
      </c>
      <c r="G131" t="inlineStr">
        <is>
          <t>MARIESTAD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45265</v>
      </c>
      <c r="E132" s="1" t="n">
        <v>46280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46057</v>
      </c>
      <c r="E133" s="1" t="n">
        <v>46280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46280</v>
      </c>
      <c r="F134" t="inlineStr">
        <is>
          <t>VÄSTRA GÖTALANDS LÄN</t>
        </is>
      </c>
      <c r="G134" t="inlineStr">
        <is>
          <t>MARIESTAD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46061</v>
      </c>
      <c r="E135" s="1" t="n">
        <v>46280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46280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46280</v>
      </c>
      <c r="F137" t="inlineStr">
        <is>
          <t>VÄSTRA GÖTALANDS LÄN</t>
        </is>
      </c>
      <c r="G137" t="inlineStr">
        <is>
          <t>MARIESTAD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46280</v>
      </c>
      <c r="F138" t="inlineStr">
        <is>
          <t>VÄSTRA GÖTALANDS LÄN</t>
        </is>
      </c>
      <c r="G138" t="inlineStr">
        <is>
          <t>MARIESTAD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70259-2021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44536</v>
      </c>
      <c r="E139" s="1" t="n">
        <v>46280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45393</v>
      </c>
      <c r="E140" s="1" t="n">
        <v>46280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46280</v>
      </c>
      <c r="F141" t="inlineStr">
        <is>
          <t>VÄSTRA GÖTALANDS LÄN</t>
        </is>
      </c>
      <c r="G141" t="inlineStr">
        <is>
          <t>MARIESTAD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9558-2026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46071</v>
      </c>
      <c r="E142" s="1" t="n">
        <v>46280</v>
      </c>
      <c r="F142" t="inlineStr">
        <is>
          <t>VÄSTRA GÖTALANDS LÄN</t>
        </is>
      </c>
      <c r="G142" t="inlineStr">
        <is>
          <t>MARIESTAD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46280</v>
      </c>
      <c r="F143" t="inlineStr">
        <is>
          <t>VÄSTRA GÖTALANDS LÄN</t>
        </is>
      </c>
      <c r="G143" t="inlineStr">
        <is>
          <t>MARIESTAD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46280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46077</v>
      </c>
      <c r="E145" s="1" t="n">
        <v>46280</v>
      </c>
      <c r="F145" t="inlineStr">
        <is>
          <t>VÄSTRA GÖTALANDS LÄN</t>
        </is>
      </c>
      <c r="G145" t="inlineStr">
        <is>
          <t>MARIESTAD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46280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46280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46080</v>
      </c>
      <c r="E148" s="1" t="n">
        <v>46280</v>
      </c>
      <c r="F148" t="inlineStr">
        <is>
          <t>VÄSTRA GÖTALANDS LÄN</t>
        </is>
      </c>
      <c r="G148" t="inlineStr">
        <is>
          <t>MARIESTAD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46280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46280</v>
      </c>
      <c r="F150" t="inlineStr">
        <is>
          <t>VÄSTRA GÖTALANDS LÄN</t>
        </is>
      </c>
      <c r="G150" t="inlineStr">
        <is>
          <t>MARIESTAD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46280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12381-2026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46090</v>
      </c>
      <c r="E152" s="1" t="n">
        <v>46280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44883</v>
      </c>
      <c r="E153" s="1" t="n">
        <v>46280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46280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46280</v>
      </c>
      <c r="F155" t="inlineStr">
        <is>
          <t>VÄSTRA GÖTALANDS LÄN</t>
        </is>
      </c>
      <c r="G155" t="inlineStr">
        <is>
          <t>MARIESTAD</t>
        </is>
      </c>
      <c r="H155" t="inlineStr">
        <is>
          <t>Sveaskog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46280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Sveaskog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46280</v>
      </c>
      <c r="F157" t="inlineStr">
        <is>
          <t>VÄSTRA GÖTALANDS LÄN</t>
        </is>
      </c>
      <c r="G157" t="inlineStr">
        <is>
          <t>MARIESTAD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45199</v>
      </c>
      <c r="E158" s="1" t="n">
        <v>46280</v>
      </c>
      <c r="F158" t="inlineStr">
        <is>
          <t>VÄSTRA GÖTALANDS LÄN</t>
        </is>
      </c>
      <c r="G158" t="inlineStr">
        <is>
          <t>MARIESTAD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46280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46280</v>
      </c>
      <c r="F160" t="inlineStr">
        <is>
          <t>VÄSTRA GÖTALANDS LÄN</t>
        </is>
      </c>
      <c r="G160" t="inlineStr">
        <is>
          <t>MARIESTAD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46280</v>
      </c>
      <c r="F161" t="inlineStr">
        <is>
          <t>VÄSTRA GÖTALANDS LÄN</t>
        </is>
      </c>
      <c r="G161" t="inlineStr">
        <is>
          <t>MARIESTAD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46280</v>
      </c>
      <c r="F162" t="inlineStr">
        <is>
          <t>VÄSTRA GÖTALANDS LÄN</t>
        </is>
      </c>
      <c r="G162" t="inlineStr">
        <is>
          <t>MARIESTAD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44774</v>
      </c>
      <c r="E163" s="1" t="n">
        <v>46280</v>
      </c>
      <c r="F163" t="inlineStr">
        <is>
          <t>VÄSTRA GÖTALANDS LÄN</t>
        </is>
      </c>
      <c r="G163" t="inlineStr">
        <is>
          <t>MARIESTAD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46280</v>
      </c>
      <c r="F164" t="inlineStr">
        <is>
          <t>VÄSTRA GÖTALANDS LÄN</t>
        </is>
      </c>
      <c r="G164" t="inlineStr">
        <is>
          <t>MARIESTAD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45764</v>
      </c>
      <c r="E165" s="1" t="n">
        <v>46280</v>
      </c>
      <c r="F165" t="inlineStr">
        <is>
          <t>VÄSTRA GÖTALANDS LÄN</t>
        </is>
      </c>
      <c r="G165" t="inlineStr">
        <is>
          <t>MARIESTAD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46280</v>
      </c>
      <c r="F166" t="inlineStr">
        <is>
          <t>VÄSTRA GÖTALANDS LÄN</t>
        </is>
      </c>
      <c r="G166" t="inlineStr">
        <is>
          <t>MARIESTAD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46280</v>
      </c>
      <c r="F167" t="inlineStr">
        <is>
          <t>VÄSTRA GÖTALANDS LÄN</t>
        </is>
      </c>
      <c r="G167" t="inlineStr">
        <is>
          <t>MARIESTAD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46280</v>
      </c>
      <c r="F168" t="inlineStr">
        <is>
          <t>VÄSTRA GÖTALANDS LÄN</t>
        </is>
      </c>
      <c r="G168" t="inlineStr">
        <is>
          <t>MARIESTAD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46280</v>
      </c>
      <c r="F169" t="inlineStr">
        <is>
          <t>VÄSTRA GÖTALANDS LÄN</t>
        </is>
      </c>
      <c r="G169" t="inlineStr">
        <is>
          <t>MARIESTAD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46280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46280</v>
      </c>
      <c r="F171" t="inlineStr">
        <is>
          <t>VÄSTRA GÖTALANDS LÄN</t>
        </is>
      </c>
      <c r="G171" t="inlineStr">
        <is>
          <t>MARIESTAD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46280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46280</v>
      </c>
      <c r="F173" t="inlineStr">
        <is>
          <t>VÄSTRA GÖTALANDS LÄN</t>
        </is>
      </c>
      <c r="G173" t="inlineStr">
        <is>
          <t>MARIESTAD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45966</v>
      </c>
      <c r="E174" s="1" t="n">
        <v>46280</v>
      </c>
      <c r="F174" t="inlineStr">
        <is>
          <t>VÄSTRA GÖTALANDS LÄN</t>
        </is>
      </c>
      <c r="G174" t="inlineStr">
        <is>
          <t>MARIESTAD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44836</v>
      </c>
      <c r="E175" s="1" t="n">
        <v>46280</v>
      </c>
      <c r="F175" t="inlineStr">
        <is>
          <t>VÄSTRA GÖTALANDS LÄN</t>
        </is>
      </c>
      <c r="G175" t="inlineStr">
        <is>
          <t>MARIESTAD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46280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Övriga Aktiebolag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46280</v>
      </c>
      <c r="F177" t="inlineStr">
        <is>
          <t>VÄSTRA GÖTALANDS LÄN</t>
        </is>
      </c>
      <c r="G177" t="inlineStr">
        <is>
          <t>MARIESTAD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46280</v>
      </c>
      <c r="F178" t="inlineStr">
        <is>
          <t>VÄSTRA GÖTALANDS LÄN</t>
        </is>
      </c>
      <c r="G178" t="inlineStr">
        <is>
          <t>MARIESTAD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44843</v>
      </c>
      <c r="E179" s="1" t="n">
        <v>46280</v>
      </c>
      <c r="F179" t="inlineStr">
        <is>
          <t>VÄSTRA GÖTALANDS LÄN</t>
        </is>
      </c>
      <c r="G179" t="inlineStr">
        <is>
          <t>MARIESTAD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46280</v>
      </c>
      <c r="F180" t="inlineStr">
        <is>
          <t>VÄSTRA GÖTALANDS LÄN</t>
        </is>
      </c>
      <c r="G180" t="inlineStr">
        <is>
          <t>MARIESTAD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45170</v>
      </c>
      <c r="E181" s="1" t="n">
        <v>46280</v>
      </c>
      <c r="F181" t="inlineStr">
        <is>
          <t>VÄSTRA GÖTALANDS LÄN</t>
        </is>
      </c>
      <c r="G181" t="inlineStr">
        <is>
          <t>MARIESTAD</t>
        </is>
      </c>
      <c r="I181" t="n">
        <v>34.9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44638</v>
      </c>
      <c r="E182" s="1" t="n">
        <v>46280</v>
      </c>
      <c r="F182" t="inlineStr">
        <is>
          <t>VÄSTRA GÖTALANDS LÄN</t>
        </is>
      </c>
      <c r="G182" t="inlineStr">
        <is>
          <t>MARIESTAD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46280</v>
      </c>
      <c r="F183" t="inlineStr">
        <is>
          <t>VÄSTRA GÖTALANDS LÄN</t>
        </is>
      </c>
      <c r="G183" t="inlineStr">
        <is>
          <t>MARIESTAD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46280</v>
      </c>
      <c r="F184" t="inlineStr">
        <is>
          <t>VÄSTRA GÖTALANDS LÄN</t>
        </is>
      </c>
      <c r="G184" t="inlineStr">
        <is>
          <t>MARIESTAD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39766-2023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45167</v>
      </c>
      <c r="E185" s="1" t="n">
        <v>46280</v>
      </c>
      <c r="F185" t="inlineStr">
        <is>
          <t>VÄSTRA GÖTALANDS LÄN</t>
        </is>
      </c>
      <c r="G185" t="inlineStr">
        <is>
          <t>MARIESTAD</t>
        </is>
      </c>
      <c r="I185" t="n">
        <v>26.5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46280</v>
      </c>
      <c r="F186" t="inlineStr">
        <is>
          <t>VÄSTRA GÖTALANDS LÄN</t>
        </is>
      </c>
      <c r="G186" t="inlineStr">
        <is>
          <t>MARIESTAD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46280</v>
      </c>
      <c r="F187" t="inlineStr">
        <is>
          <t>VÄSTRA GÖTALANDS LÄN</t>
        </is>
      </c>
      <c r="G187" t="inlineStr">
        <is>
          <t>MARIESTAD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47777-2023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46280</v>
      </c>
      <c r="F188" t="inlineStr">
        <is>
          <t>VÄSTRA GÖTALANDS LÄN</t>
        </is>
      </c>
      <c r="G188" t="inlineStr">
        <is>
          <t>MARIESTAD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46280</v>
      </c>
      <c r="F189" t="inlineStr">
        <is>
          <t>VÄSTRA GÖTALANDS LÄN</t>
        </is>
      </c>
      <c r="G189" t="inlineStr">
        <is>
          <t>MARIESTAD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46280</v>
      </c>
      <c r="F190" t="inlineStr">
        <is>
          <t>VÄSTRA GÖTALANDS LÄN</t>
        </is>
      </c>
      <c r="G190" t="inlineStr">
        <is>
          <t>MARIESTAD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45875</v>
      </c>
      <c r="E191" s="1" t="n">
        <v>46280</v>
      </c>
      <c r="F191" t="inlineStr">
        <is>
          <t>VÄSTRA GÖTALANDS LÄN</t>
        </is>
      </c>
      <c r="G191" t="inlineStr">
        <is>
          <t>MARIESTAD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44620</v>
      </c>
      <c r="E192" s="1" t="n">
        <v>46280</v>
      </c>
      <c r="F192" t="inlineStr">
        <is>
          <t>VÄSTRA GÖTALANDS LÄN</t>
        </is>
      </c>
      <c r="G192" t="inlineStr">
        <is>
          <t>MARIESTAD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46280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49389-2023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45211</v>
      </c>
      <c r="E194" s="1" t="n">
        <v>46280</v>
      </c>
      <c r="F194" t="inlineStr">
        <is>
          <t>VÄSTRA GÖTALANDS LÄN</t>
        </is>
      </c>
      <c r="G194" t="inlineStr">
        <is>
          <t>MARIESTAD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46280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45211</v>
      </c>
      <c r="E196" s="1" t="n">
        <v>46280</v>
      </c>
      <c r="F196" t="inlineStr">
        <is>
          <t>VÄSTRA GÖTALANDS LÄN</t>
        </is>
      </c>
      <c r="G196" t="inlineStr">
        <is>
          <t>MARIESTAD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46280</v>
      </c>
      <c r="F197" t="inlineStr">
        <is>
          <t>VÄSTRA GÖTALANDS LÄN</t>
        </is>
      </c>
      <c r="G197" t="inlineStr">
        <is>
          <t>MARIESTAD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46280</v>
      </c>
      <c r="F198" t="inlineStr">
        <is>
          <t>VÄSTRA GÖTALANDS LÄN</t>
        </is>
      </c>
      <c r="G198" t="inlineStr">
        <is>
          <t>MARIESTAD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46280</v>
      </c>
      <c r="F199" t="inlineStr">
        <is>
          <t>VÄSTRA GÖTALANDS LÄN</t>
        </is>
      </c>
      <c r="G199" t="inlineStr">
        <is>
          <t>MARIESTAD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44965</v>
      </c>
      <c r="E200" s="1" t="n">
        <v>46280</v>
      </c>
      <c r="F200" t="inlineStr">
        <is>
          <t>VÄSTRA GÖTALANDS LÄN</t>
        </is>
      </c>
      <c r="G200" t="inlineStr">
        <is>
          <t>MARIESTAD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46280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33571-2023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45131</v>
      </c>
      <c r="E202" s="1" t="n">
        <v>46280</v>
      </c>
      <c r="F202" t="inlineStr">
        <is>
          <t>VÄSTRA GÖTALANDS LÄN</t>
        </is>
      </c>
      <c r="G202" t="inlineStr">
        <is>
          <t>MARIESTAD</t>
        </is>
      </c>
      <c r="I202" t="n">
        <v>16.1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45664</v>
      </c>
      <c r="E203" s="1" t="n">
        <v>46280</v>
      </c>
      <c r="F203" t="inlineStr">
        <is>
          <t>VÄSTRA GÖTALANDS LÄN</t>
        </is>
      </c>
      <c r="G203" t="inlineStr">
        <is>
          <t>MARIESTAD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46280</v>
      </c>
      <c r="F204" t="inlineStr">
        <is>
          <t>VÄSTRA GÖTALANDS LÄN</t>
        </is>
      </c>
      <c r="G204" t="inlineStr">
        <is>
          <t>MARIESTAD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46280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46280</v>
      </c>
      <c r="F206" t="inlineStr">
        <is>
          <t>VÄSTRA GÖTALANDS LÄN</t>
        </is>
      </c>
      <c r="G206" t="inlineStr">
        <is>
          <t>MARIESTAD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46280</v>
      </c>
      <c r="F207" t="inlineStr">
        <is>
          <t>VÄSTRA GÖTALANDS LÄN</t>
        </is>
      </c>
      <c r="G207" t="inlineStr">
        <is>
          <t>MARIESTAD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46280</v>
      </c>
      <c r="F208" t="inlineStr">
        <is>
          <t>VÄSTRA GÖTALANDS LÄN</t>
        </is>
      </c>
      <c r="G208" t="inlineStr">
        <is>
          <t>MARIESTAD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46280</v>
      </c>
      <c r="F209" t="inlineStr">
        <is>
          <t>VÄSTRA GÖTALANDS LÄN</t>
        </is>
      </c>
      <c r="G209" t="inlineStr">
        <is>
          <t>MARIESTAD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46280</v>
      </c>
      <c r="F210" t="inlineStr">
        <is>
          <t>VÄSTRA GÖTALANDS LÄN</t>
        </is>
      </c>
      <c r="G210" t="inlineStr">
        <is>
          <t>MARIESTAD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46280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45135</v>
      </c>
      <c r="E212" s="1" t="n">
        <v>46280</v>
      </c>
      <c r="F212" t="inlineStr">
        <is>
          <t>VÄSTRA GÖTALANDS LÄN</t>
        </is>
      </c>
      <c r="G212" t="inlineStr">
        <is>
          <t>MARIESTAD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44935</v>
      </c>
      <c r="E213" s="1" t="n">
        <v>46280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46280</v>
      </c>
      <c r="F214" t="inlineStr">
        <is>
          <t>VÄSTRA GÖTALANDS LÄN</t>
        </is>
      </c>
      <c r="G214" t="inlineStr">
        <is>
          <t>MARIESTAD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46157</v>
      </c>
      <c r="E215" s="1" t="n">
        <v>46280</v>
      </c>
      <c r="F215" t="inlineStr">
        <is>
          <t>VÄSTRA GÖTALANDS LÄN</t>
        </is>
      </c>
      <c r="G215" t="inlineStr">
        <is>
          <t>MARIESTAD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46280</v>
      </c>
      <c r="F216" t="inlineStr">
        <is>
          <t>VÄSTRA GÖTALANDS LÄN</t>
        </is>
      </c>
      <c r="G216" t="inlineStr">
        <is>
          <t>MARIESTAD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21361-2026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46142</v>
      </c>
      <c r="E217" s="1" t="n">
        <v>46280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Kyrkan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46280</v>
      </c>
      <c r="F218" t="inlineStr">
        <is>
          <t>VÄSTRA GÖTALANDS LÄN</t>
        </is>
      </c>
      <c r="G218" t="inlineStr">
        <is>
          <t>MARIESTAD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46280</v>
      </c>
      <c r="F219" t="inlineStr">
        <is>
          <t>VÄSTRA GÖTALANDS LÄN</t>
        </is>
      </c>
      <c r="G219" t="inlineStr">
        <is>
          <t>MARIESTAD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46280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46280</v>
      </c>
      <c r="F221" t="inlineStr">
        <is>
          <t>VÄSTRA GÖTALANDS LÄN</t>
        </is>
      </c>
      <c r="G221" t="inlineStr">
        <is>
          <t>MARIESTAD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46280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46280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46280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46280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46280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26912-2026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46185</v>
      </c>
      <c r="E227" s="1" t="n">
        <v>46280</v>
      </c>
      <c r="F227" t="inlineStr">
        <is>
          <t>VÄSTRA GÖTALANDS LÄN</t>
        </is>
      </c>
      <c r="G227" t="inlineStr">
        <is>
          <t>MARIESTAD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46280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13655-2023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45006</v>
      </c>
      <c r="E229" s="1" t="n">
        <v>46280</v>
      </c>
      <c r="F229" t="inlineStr">
        <is>
          <t>VÄSTRA GÖTALANDS LÄN</t>
        </is>
      </c>
      <c r="G229" t="inlineStr">
        <is>
          <t>MARIESTAD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52626-2023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46280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46280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46280</v>
      </c>
      <c r="F232" t="inlineStr">
        <is>
          <t>VÄSTRA GÖTALANDS LÄN</t>
        </is>
      </c>
      <c r="G232" t="inlineStr">
        <is>
          <t>MARIESTAD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26688-2022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44739</v>
      </c>
      <c r="E233" s="1" t="n">
        <v>46280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46280</v>
      </c>
      <c r="F234" t="inlineStr">
        <is>
          <t>VÄSTRA GÖTALANDS LÄN</t>
        </is>
      </c>
      <c r="G234" t="inlineStr">
        <is>
          <t>MARIESTAD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29890-2026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46205</v>
      </c>
      <c r="E235" s="1" t="n">
        <v>46280</v>
      </c>
      <c r="F235" t="inlineStr">
        <is>
          <t>VÄSTRA GÖTALANDS LÄN</t>
        </is>
      </c>
      <c r="G235" t="inlineStr">
        <is>
          <t>MARIESTAD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46280</v>
      </c>
      <c r="F236" t="inlineStr">
        <is>
          <t>VÄSTRA GÖTALANDS LÄN</t>
        </is>
      </c>
      <c r="G236" t="inlineStr">
        <is>
          <t>MARIESTAD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46280</v>
      </c>
      <c r="F237" t="inlineStr">
        <is>
          <t>VÄSTRA GÖTALANDS LÄN</t>
        </is>
      </c>
      <c r="G237" t="inlineStr">
        <is>
          <t>MARIESTAD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46280</v>
      </c>
      <c r="F238" t="inlineStr">
        <is>
          <t>VÄSTRA GÖTALANDS LÄN</t>
        </is>
      </c>
      <c r="G238" t="inlineStr">
        <is>
          <t>MARIESTAD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29668-2026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46199</v>
      </c>
      <c r="E239" s="1" t="n">
        <v>46280</v>
      </c>
      <c r="F239" t="inlineStr">
        <is>
          <t>VÄSTRA GÖTALANDS LÄN</t>
        </is>
      </c>
      <c r="G239" t="inlineStr">
        <is>
          <t>MARIESTAD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46280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46280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44756</v>
      </c>
      <c r="E242" s="1" t="n">
        <v>46280</v>
      </c>
      <c r="F242" t="inlineStr">
        <is>
          <t>VÄSTRA GÖTALANDS LÄN</t>
        </is>
      </c>
      <c r="G242" t="inlineStr">
        <is>
          <t>MARIESTAD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46280</v>
      </c>
      <c r="F243" t="inlineStr">
        <is>
          <t>VÄSTRA GÖTALANDS LÄN</t>
        </is>
      </c>
      <c r="G243" t="inlineStr">
        <is>
          <t>MARIESTAD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46253</v>
      </c>
      <c r="E244" s="1" t="n">
        <v>46280</v>
      </c>
      <c r="F244" t="inlineStr">
        <is>
          <t>VÄSTRA GÖTALANDS LÄN</t>
        </is>
      </c>
      <c r="G244" t="inlineStr">
        <is>
          <t>MARIESTAD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45639</v>
      </c>
      <c r="E245" s="1" t="n">
        <v>46280</v>
      </c>
      <c r="F245" t="inlineStr">
        <is>
          <t>VÄSTRA GÖTALANDS LÄN</t>
        </is>
      </c>
      <c r="G245" t="inlineStr">
        <is>
          <t>MARIESTAD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36399-2024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45535</v>
      </c>
      <c r="E246" s="1" t="n">
        <v>46280</v>
      </c>
      <c r="F246" t="inlineStr">
        <is>
          <t>VÄSTRA GÖTALANDS LÄN</t>
        </is>
      </c>
      <c r="G246" t="inlineStr">
        <is>
          <t>MARIESTAD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46280</v>
      </c>
      <c r="F247" t="inlineStr">
        <is>
          <t>VÄSTRA GÖTALANDS LÄN</t>
        </is>
      </c>
      <c r="G247" t="inlineStr">
        <is>
          <t>MARIESTAD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45412</v>
      </c>
      <c r="E248" s="1" t="n">
        <v>46280</v>
      </c>
      <c r="F248" t="inlineStr">
        <is>
          <t>VÄSTRA GÖTALANDS LÄN</t>
        </is>
      </c>
      <c r="G248" t="inlineStr">
        <is>
          <t>MARIESTAD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46280</v>
      </c>
      <c r="F249" t="inlineStr">
        <is>
          <t>VÄSTRA GÖTALANDS LÄN</t>
        </is>
      </c>
      <c r="G249" t="inlineStr">
        <is>
          <t>MARIESTAD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46261</v>
      </c>
      <c r="E250" s="1" t="n">
        <v>46280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46261</v>
      </c>
      <c r="E251" s="1" t="n">
        <v>46280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46280</v>
      </c>
      <c r="F252" t="inlineStr">
        <is>
          <t>VÄSTRA GÖTALANDS LÄN</t>
        </is>
      </c>
      <c r="G252" t="inlineStr">
        <is>
          <t>MARIESTAD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46262</v>
      </c>
      <c r="E253" s="1" t="n">
        <v>46280</v>
      </c>
      <c r="F253" t="inlineStr">
        <is>
          <t>VÄSTRA GÖTALANDS LÄN</t>
        </is>
      </c>
      <c r="G253" t="inlineStr">
        <is>
          <t>MARIESTAD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46262</v>
      </c>
      <c r="E254" s="1" t="n">
        <v>46280</v>
      </c>
      <c r="F254" t="inlineStr">
        <is>
          <t>VÄSTRA GÖTALANDS LÄN</t>
        </is>
      </c>
      <c r="G254" t="inlineStr">
        <is>
          <t>MARIESTAD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46280</v>
      </c>
      <c r="F255" t="inlineStr">
        <is>
          <t>VÄSTRA GÖTALANDS LÄN</t>
        </is>
      </c>
      <c r="G255" t="inlineStr">
        <is>
          <t>MARIESTAD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45268</v>
      </c>
      <c r="E256" s="1" t="n">
        <v>46280</v>
      </c>
      <c r="F256" t="inlineStr">
        <is>
          <t>VÄSTRA GÖTALANDS LÄN</t>
        </is>
      </c>
      <c r="G256" t="inlineStr">
        <is>
          <t>MARIESTAD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46280</v>
      </c>
      <c r="F257" t="inlineStr">
        <is>
          <t>VÄSTRA GÖTALANDS LÄN</t>
        </is>
      </c>
      <c r="G257" t="inlineStr">
        <is>
          <t>MARIESTAD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44572</v>
      </c>
      <c r="E258" s="1" t="n">
        <v>46280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Naturvårdsverket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58896-2022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44903</v>
      </c>
      <c r="E259" s="1" t="n">
        <v>46280</v>
      </c>
      <c r="F259" t="inlineStr">
        <is>
          <t>VÄSTRA GÖTALANDS LÄN</t>
        </is>
      </c>
      <c r="G259" t="inlineStr">
        <is>
          <t>MARIESTAD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46280</v>
      </c>
      <c r="F260" t="inlineStr">
        <is>
          <t>VÄSTRA GÖTALANDS LÄN</t>
        </is>
      </c>
      <c r="G260" t="inlineStr">
        <is>
          <t>MARIESTAD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44986</v>
      </c>
      <c r="E261" s="1" t="n">
        <v>46280</v>
      </c>
      <c r="F261" t="inlineStr">
        <is>
          <t>VÄSTRA GÖTALANDS LÄN</t>
        </is>
      </c>
      <c r="G261" t="inlineStr">
        <is>
          <t>MARIESTAD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50579-2023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45217</v>
      </c>
      <c r="E262" s="1" t="n">
        <v>46280</v>
      </c>
      <c r="F262" t="inlineStr">
        <is>
          <t>VÄSTRA GÖTALANDS LÄN</t>
        </is>
      </c>
      <c r="G262" t="inlineStr">
        <is>
          <t>MARIESTAD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44930</v>
      </c>
      <c r="E263" s="1" t="n">
        <v>46280</v>
      </c>
      <c r="F263" t="inlineStr">
        <is>
          <t>VÄSTRA GÖTALANDS LÄN</t>
        </is>
      </c>
      <c r="G263" t="inlineStr">
        <is>
          <t>MARIESTAD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46280</v>
      </c>
      <c r="F264" t="inlineStr">
        <is>
          <t>VÄSTRA GÖTALANDS LÄN</t>
        </is>
      </c>
      <c r="G264" t="inlineStr">
        <is>
          <t>MARIESTAD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46280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46280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Kyrkan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58077-2022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44900</v>
      </c>
      <c r="E267" s="1" t="n">
        <v>46280</v>
      </c>
      <c r="F267" t="inlineStr">
        <is>
          <t>VÄSTRA GÖTALANDS LÄN</t>
        </is>
      </c>
      <c r="G267" t="inlineStr">
        <is>
          <t>MARIESTAD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38108-2022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46280</v>
      </c>
      <c r="F268" t="inlineStr">
        <is>
          <t>VÄSTRA GÖTALANDS LÄN</t>
        </is>
      </c>
      <c r="G268" t="inlineStr">
        <is>
          <t>MARIESTAD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44957</v>
      </c>
      <c r="E269" s="1" t="n">
        <v>46280</v>
      </c>
      <c r="F269" t="inlineStr">
        <is>
          <t>VÄSTRA GÖTALANDS LÄN</t>
        </is>
      </c>
      <c r="G269" t="inlineStr">
        <is>
          <t>MARIESTAD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46280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10192-2022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46280</v>
      </c>
      <c r="F271" t="inlineStr">
        <is>
          <t>VÄSTRA GÖTALANDS LÄN</t>
        </is>
      </c>
      <c r="G271" t="inlineStr">
        <is>
          <t>MARIESTAD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45516</v>
      </c>
      <c r="E272" s="1" t="n">
        <v>46280</v>
      </c>
      <c r="F272" t="inlineStr">
        <is>
          <t>VÄSTRA GÖTALANDS LÄN</t>
        </is>
      </c>
      <c r="G272" t="inlineStr">
        <is>
          <t>MARIESTAD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45271</v>
      </c>
      <c r="E273" s="1" t="n">
        <v>46280</v>
      </c>
      <c r="F273" t="inlineStr">
        <is>
          <t>VÄSTRA GÖTALANDS LÄN</t>
        </is>
      </c>
      <c r="G273" t="inlineStr">
        <is>
          <t>MARIESTAD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46280</v>
      </c>
      <c r="F274" t="inlineStr">
        <is>
          <t>VÄSTRA GÖTALANDS LÄN</t>
        </is>
      </c>
      <c r="G274" t="inlineStr">
        <is>
          <t>MARIESTAD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46280</v>
      </c>
      <c r="F275" t="inlineStr">
        <is>
          <t>VÄSTRA GÖTALANDS LÄN</t>
        </is>
      </c>
      <c r="G275" t="inlineStr">
        <is>
          <t>MARIESTAD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8021-2024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46280</v>
      </c>
      <c r="F276" t="inlineStr">
        <is>
          <t>VÄSTRA GÖTALANDS LÄN</t>
        </is>
      </c>
      <c r="G276" t="inlineStr">
        <is>
          <t>MARIESTAD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46280</v>
      </c>
      <c r="F277" t="inlineStr">
        <is>
          <t>VÄSTRA GÖTALANDS LÄN</t>
        </is>
      </c>
      <c r="G277" t="inlineStr">
        <is>
          <t>MARIESTAD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44993</v>
      </c>
      <c r="E278" s="1" t="n">
        <v>46280</v>
      </c>
      <c r="F278" t="inlineStr">
        <is>
          <t>VÄSTRA GÖTALANDS LÄN</t>
        </is>
      </c>
      <c r="G278" t="inlineStr">
        <is>
          <t>MARIESTAD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45702</v>
      </c>
      <c r="E279" s="1" t="n">
        <v>46280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46280</v>
      </c>
      <c r="F280" t="inlineStr">
        <is>
          <t>VÄSTRA GÖTALANDS LÄN</t>
        </is>
      </c>
      <c r="G280" t="inlineStr">
        <is>
          <t>MARIESTAD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46280</v>
      </c>
      <c r="F281" t="inlineStr">
        <is>
          <t>VÄSTRA GÖTALANDS LÄN</t>
        </is>
      </c>
      <c r="G281" t="inlineStr">
        <is>
          <t>MARIESTAD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46280</v>
      </c>
      <c r="F282" t="inlineStr">
        <is>
          <t>VÄSTRA GÖTALANDS LÄN</t>
        </is>
      </c>
      <c r="G282" t="inlineStr">
        <is>
          <t>MARIESTAD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44614</v>
      </c>
      <c r="E283" s="1" t="n">
        <v>46280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38817-2022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44816</v>
      </c>
      <c r="E284" s="1" t="n">
        <v>46280</v>
      </c>
      <c r="F284" t="inlineStr">
        <is>
          <t>VÄSTRA GÖTALANDS LÄN</t>
        </is>
      </c>
      <c r="G284" t="inlineStr">
        <is>
          <t>MARIESTAD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47009-2024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45583</v>
      </c>
      <c r="E285" s="1" t="n">
        <v>46280</v>
      </c>
      <c r="F285" t="inlineStr">
        <is>
          <t>VÄSTRA GÖTALANDS LÄN</t>
        </is>
      </c>
      <c r="G285" t="inlineStr">
        <is>
          <t>MARIESTAD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46280</v>
      </c>
      <c r="F286" t="inlineStr">
        <is>
          <t>VÄSTRA GÖTALANDS LÄN</t>
        </is>
      </c>
      <c r="G286" t="inlineStr">
        <is>
          <t>MARIESTAD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46280</v>
      </c>
      <c r="F287" t="inlineStr">
        <is>
          <t>VÄSTRA GÖTALANDS LÄN</t>
        </is>
      </c>
      <c r="G287" t="inlineStr">
        <is>
          <t>MARIESTAD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46280</v>
      </c>
      <c r="F288" t="inlineStr">
        <is>
          <t>VÄSTRA GÖTALANDS LÄN</t>
        </is>
      </c>
      <c r="G288" t="inlineStr">
        <is>
          <t>MARIESTAD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29857-2022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44756</v>
      </c>
      <c r="E289" s="1" t="n">
        <v>46280</v>
      </c>
      <c r="F289" t="inlineStr">
        <is>
          <t>VÄSTRA GÖTALANDS LÄN</t>
        </is>
      </c>
      <c r="G289" t="inlineStr">
        <is>
          <t>MARIESTAD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46280</v>
      </c>
      <c r="F290" t="inlineStr">
        <is>
          <t>VÄSTRA GÖTALANDS LÄN</t>
        </is>
      </c>
      <c r="G290" t="inlineStr">
        <is>
          <t>MARIESTAD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46280</v>
      </c>
      <c r="F291" t="inlineStr">
        <is>
          <t>VÄSTRA GÖTALANDS LÄN</t>
        </is>
      </c>
      <c r="G291" t="inlineStr">
        <is>
          <t>MARIESTAD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46280</v>
      </c>
      <c r="F292" t="inlineStr">
        <is>
          <t>VÄSTRA GÖTALANDS LÄN</t>
        </is>
      </c>
      <c r="G292" t="inlineStr">
        <is>
          <t>MARIESTAD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44496</v>
      </c>
      <c r="E293" s="1" t="n">
        <v>46280</v>
      </c>
      <c r="F293" t="inlineStr">
        <is>
          <t>VÄSTRA GÖTALANDS LÄN</t>
        </is>
      </c>
      <c r="G293" t="inlineStr">
        <is>
          <t>MARIESTAD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45200</v>
      </c>
      <c r="E294" s="1" t="n">
        <v>46280</v>
      </c>
      <c r="F294" t="inlineStr">
        <is>
          <t>VÄSTRA GÖTALANDS LÄN</t>
        </is>
      </c>
      <c r="G294" t="inlineStr">
        <is>
          <t>MARIESTAD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46280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Kyrkan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45709</v>
      </c>
      <c r="E296" s="1" t="n">
        <v>46280</v>
      </c>
      <c r="F296" t="inlineStr">
        <is>
          <t>VÄSTRA GÖTALANDS LÄN</t>
        </is>
      </c>
      <c r="G296" t="inlineStr">
        <is>
          <t>MARIESTAD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46280</v>
      </c>
      <c r="F297" t="inlineStr">
        <is>
          <t>VÄSTRA GÖTALANDS LÄN</t>
        </is>
      </c>
      <c r="G297" t="inlineStr">
        <is>
          <t>MARIESTAD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46280</v>
      </c>
      <c r="F298" t="inlineStr">
        <is>
          <t>VÄSTRA GÖTALANDS LÄN</t>
        </is>
      </c>
      <c r="G298" t="inlineStr">
        <is>
          <t>MARIESTAD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58598-2021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44489</v>
      </c>
      <c r="E299" s="1" t="n">
        <v>46280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65197-2023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45289</v>
      </c>
      <c r="E300" s="1" t="n">
        <v>46280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45548</v>
      </c>
      <c r="E301" s="1" t="n">
        <v>46280</v>
      </c>
      <c r="F301" t="inlineStr">
        <is>
          <t>VÄSTRA GÖTALANDS LÄN</t>
        </is>
      </c>
      <c r="G301" t="inlineStr">
        <is>
          <t>MARIESTAD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46280</v>
      </c>
      <c r="F302" t="inlineStr">
        <is>
          <t>VÄSTRA GÖTALANDS LÄN</t>
        </is>
      </c>
      <c r="G302" t="inlineStr">
        <is>
          <t>MARIESTAD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54225-2022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44881</v>
      </c>
      <c r="E303" s="1" t="n">
        <v>46280</v>
      </c>
      <c r="F303" t="inlineStr">
        <is>
          <t>VÄSTRA GÖTALANDS LÄN</t>
        </is>
      </c>
      <c r="G303" t="inlineStr">
        <is>
          <t>MARIESTAD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46280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45524</v>
      </c>
      <c r="E305" s="1" t="n">
        <v>46280</v>
      </c>
      <c r="F305" t="inlineStr">
        <is>
          <t>VÄSTRA GÖTALANDS LÄN</t>
        </is>
      </c>
      <c r="G305" t="inlineStr">
        <is>
          <t>MARIESTAD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74081-2021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44553</v>
      </c>
      <c r="E306" s="1" t="n">
        <v>46280</v>
      </c>
      <c r="F306" t="inlineStr">
        <is>
          <t>VÄSTRA GÖTALANDS LÄN</t>
        </is>
      </c>
      <c r="G306" t="inlineStr">
        <is>
          <t>MARIESTAD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45590</v>
      </c>
      <c r="E307" s="1" t="n">
        <v>46280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13798-2022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44649</v>
      </c>
      <c r="E308" s="1" t="n">
        <v>46280</v>
      </c>
      <c r="F308" t="inlineStr">
        <is>
          <t>VÄSTRA GÖTALANDS LÄN</t>
        </is>
      </c>
      <c r="G308" t="inlineStr">
        <is>
          <t>MARIESTAD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44617</v>
      </c>
      <c r="E309" s="1" t="n">
        <v>46280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46280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46280</v>
      </c>
      <c r="F311" t="inlineStr">
        <is>
          <t>VÄSTRA GÖTALANDS LÄN</t>
        </is>
      </c>
      <c r="G311" t="inlineStr">
        <is>
          <t>MARIESTAD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10842-2025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45722</v>
      </c>
      <c r="E312" s="1" t="n">
        <v>46280</v>
      </c>
      <c r="F312" t="inlineStr">
        <is>
          <t>VÄSTRA GÖTALANDS LÄN</t>
        </is>
      </c>
      <c r="G312" t="inlineStr">
        <is>
          <t>MARIESTAD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44616</v>
      </c>
      <c r="E313" s="1" t="n">
        <v>46280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46280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45070</v>
      </c>
      <c r="E315" s="1" t="n">
        <v>46280</v>
      </c>
      <c r="F315" t="inlineStr">
        <is>
          <t>VÄSTRA GÖTALANDS LÄN</t>
        </is>
      </c>
      <c r="G315" t="inlineStr">
        <is>
          <t>MARIESTAD</t>
        </is>
      </c>
      <c r="I315" t="n">
        <v>10.3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46280</v>
      </c>
      <c r="F316" t="inlineStr">
        <is>
          <t>VÄSTRA GÖTALANDS LÄN</t>
        </is>
      </c>
      <c r="G316" t="inlineStr">
        <is>
          <t>MARIESTAD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44999</v>
      </c>
      <c r="E317" s="1" t="n">
        <v>46280</v>
      </c>
      <c r="F317" t="inlineStr">
        <is>
          <t>VÄSTRA GÖTALANDS LÄN</t>
        </is>
      </c>
      <c r="G317" t="inlineStr">
        <is>
          <t>MARIESTAD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45200</v>
      </c>
      <c r="E318" s="1" t="n">
        <v>46280</v>
      </c>
      <c r="F318" t="inlineStr">
        <is>
          <t>VÄSTRA GÖTALANDS LÄN</t>
        </is>
      </c>
      <c r="G318" t="inlineStr">
        <is>
          <t>MARIESTAD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45528</v>
      </c>
      <c r="E319" s="1" t="n">
        <v>46280</v>
      </c>
      <c r="F319" t="inlineStr">
        <is>
          <t>VÄSTRA GÖTALANDS LÄN</t>
        </is>
      </c>
      <c r="G319" t="inlineStr">
        <is>
          <t>MARIESTAD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49166-2023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45210</v>
      </c>
      <c r="E320" s="1" t="n">
        <v>46280</v>
      </c>
      <c r="F320" t="inlineStr">
        <is>
          <t>VÄSTRA GÖTALANDS LÄN</t>
        </is>
      </c>
      <c r="G320" t="inlineStr">
        <is>
          <t>MARIESTAD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46555-2022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44848</v>
      </c>
      <c r="E321" s="1" t="n">
        <v>46280</v>
      </c>
      <c r="F321" t="inlineStr">
        <is>
          <t>VÄSTRA GÖTALANDS LÄN</t>
        </is>
      </c>
      <c r="G321" t="inlineStr">
        <is>
          <t>MARIESTAD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60812-2023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45260</v>
      </c>
      <c r="E322" s="1" t="n">
        <v>46280</v>
      </c>
      <c r="F322" t="inlineStr">
        <is>
          <t>VÄSTRA GÖTALANDS LÄN</t>
        </is>
      </c>
      <c r="G322" t="inlineStr">
        <is>
          <t>MARIESTAD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46280</v>
      </c>
      <c r="F323" t="inlineStr">
        <is>
          <t>VÄSTRA GÖTALANDS LÄN</t>
        </is>
      </c>
      <c r="G323" t="inlineStr">
        <is>
          <t>MARIESTAD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46280</v>
      </c>
      <c r="F324" t="inlineStr">
        <is>
          <t>VÄSTRA GÖTALANDS LÄN</t>
        </is>
      </c>
      <c r="G324" t="inlineStr">
        <is>
          <t>MARIESTAD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28162-2022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44746</v>
      </c>
      <c r="E325" s="1" t="n">
        <v>46280</v>
      </c>
      <c r="F325" t="inlineStr">
        <is>
          <t>VÄSTRA GÖTALANDS LÄN</t>
        </is>
      </c>
      <c r="G325" t="inlineStr">
        <is>
          <t>MARIESTAD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46280</v>
      </c>
      <c r="F326" t="inlineStr">
        <is>
          <t>VÄSTRA GÖTALANDS LÄN</t>
        </is>
      </c>
      <c r="G326" t="inlineStr">
        <is>
          <t>MARIESTAD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45674</v>
      </c>
      <c r="E327" s="1" t="n">
        <v>46280</v>
      </c>
      <c r="F327" t="inlineStr">
        <is>
          <t>VÄSTRA GÖTALANDS LÄN</t>
        </is>
      </c>
      <c r="G327" t="inlineStr">
        <is>
          <t>MARIESTAD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46280</v>
      </c>
      <c r="F328" t="inlineStr">
        <is>
          <t>VÄSTRA GÖTALANDS LÄN</t>
        </is>
      </c>
      <c r="G328" t="inlineStr">
        <is>
          <t>MARIESTAD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46280</v>
      </c>
      <c r="F329" t="inlineStr">
        <is>
          <t>VÄSTRA GÖTALANDS LÄN</t>
        </is>
      </c>
      <c r="G329" t="inlineStr">
        <is>
          <t>MARIESTAD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61603-2023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45265</v>
      </c>
      <c r="E330" s="1" t="n">
        <v>46280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46280</v>
      </c>
      <c r="F331" t="inlineStr">
        <is>
          <t>VÄSTRA GÖTALANDS LÄN</t>
        </is>
      </c>
      <c r="G331" t="inlineStr">
        <is>
          <t>MARIESTAD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45720</v>
      </c>
      <c r="E332" s="1" t="n">
        <v>46280</v>
      </c>
      <c r="F332" t="inlineStr">
        <is>
          <t>VÄSTRA GÖTALANDS LÄN</t>
        </is>
      </c>
      <c r="G332" t="inlineStr">
        <is>
          <t>MARIESTAD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45299</v>
      </c>
      <c r="E333" s="1" t="n">
        <v>46280</v>
      </c>
      <c r="F333" t="inlineStr">
        <is>
          <t>VÄSTRA GÖTALANDS LÄN</t>
        </is>
      </c>
      <c r="G333" t="inlineStr">
        <is>
          <t>MARIESTAD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46280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46280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Kyrkan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45307</v>
      </c>
      <c r="E336" s="1" t="n">
        <v>46280</v>
      </c>
      <c r="F336" t="inlineStr">
        <is>
          <t>VÄSTRA GÖTALANDS LÄN</t>
        </is>
      </c>
      <c r="G336" t="inlineStr">
        <is>
          <t>MARIESTAD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46280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48324-2024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45590</v>
      </c>
      <c r="E338" s="1" t="n">
        <v>46280</v>
      </c>
      <c r="F338" t="inlineStr">
        <is>
          <t>VÄSTRA GÖTALANDS LÄN</t>
        </is>
      </c>
      <c r="G338" t="inlineStr">
        <is>
          <t>MARIESTAD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46280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66772-2021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44521</v>
      </c>
      <c r="E340" s="1" t="n">
        <v>46280</v>
      </c>
      <c r="F340" t="inlineStr">
        <is>
          <t>VÄSTRA GÖTALANDS LÄN</t>
        </is>
      </c>
      <c r="G340" t="inlineStr">
        <is>
          <t>MARIESTAD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45705</v>
      </c>
      <c r="E341" s="1" t="n">
        <v>46280</v>
      </c>
      <c r="F341" t="inlineStr">
        <is>
          <t>VÄSTRA GÖTALANDS LÄN</t>
        </is>
      </c>
      <c r="G341" t="inlineStr">
        <is>
          <t>MARIESTAD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45616</v>
      </c>
      <c r="E342" s="1" t="n">
        <v>46280</v>
      </c>
      <c r="F342" t="inlineStr">
        <is>
          <t>VÄSTRA GÖTALANDS LÄN</t>
        </is>
      </c>
      <c r="G342" t="inlineStr">
        <is>
          <t>MARIESTAD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49385-2023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45211</v>
      </c>
      <c r="E343" s="1" t="n">
        <v>46280</v>
      </c>
      <c r="F343" t="inlineStr">
        <is>
          <t>VÄSTRA GÖTALANDS LÄN</t>
        </is>
      </c>
      <c r="G343" t="inlineStr">
        <is>
          <t>MARIESTAD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45728</v>
      </c>
      <c r="E344" s="1" t="n">
        <v>46280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46280</v>
      </c>
      <c r="F345" t="inlineStr">
        <is>
          <t>VÄSTRA GÖTALANDS LÄN</t>
        </is>
      </c>
      <c r="G345" t="inlineStr">
        <is>
          <t>MARIESTAD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45709</v>
      </c>
      <c r="E346" s="1" t="n">
        <v>46280</v>
      </c>
      <c r="F346" t="inlineStr">
        <is>
          <t>VÄSTRA GÖTALANDS LÄN</t>
        </is>
      </c>
      <c r="G346" t="inlineStr">
        <is>
          <t>MARIESTAD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4868-2024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45618</v>
      </c>
      <c r="E347" s="1" t="n">
        <v>46280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1204-2025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45757</v>
      </c>
      <c r="E348" s="1" t="n">
        <v>46280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359-2026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46064</v>
      </c>
      <c r="E349" s="1" t="n">
        <v>46280</v>
      </c>
      <c r="F349" t="inlineStr">
        <is>
          <t>VÄSTRA GÖTALANDS LÄN</t>
        </is>
      </c>
      <c r="G349" t="inlineStr">
        <is>
          <t>MARIESTAD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2026-09-15T08:16:33Z</dcterms:created>
  <dcterms:modified xmlns:dcterms="http://purl.org/dc/terms/" xmlns:xsi="http://www.w3.org/2001/XMLSchema-instance" xsi:type="dcterms:W3CDTF">2026-09-15T08:16:34Z</dcterms:modified>
</cp:coreProperties>
</file>