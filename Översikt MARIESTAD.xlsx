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46295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46295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46295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46295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46295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46295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46295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46295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46295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46295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50053-2023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45215</v>
      </c>
      <c r="E12" s="1" t="n">
        <v>46295</v>
      </c>
      <c r="F12" t="inlineStr">
        <is>
          <t>VÄSTRA GÖTALANDS LÄN</t>
        </is>
      </c>
      <c r="G12" t="inlineStr">
        <is>
          <t>MARIESTAD</t>
        </is>
      </c>
      <c r="I12" t="n">
        <v>1.9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Grovticka</t>
        </is>
      </c>
      <c r="W12">
        <f>HYPERLINK("https://klasma.github.io/Logging_1493/artfynd/A 50053-2023 artfynd.xlsx", "A 50053-2023")</f>
        <v/>
      </c>
      <c r="X12">
        <f>HYPERLINK("https://klasma.github.io/Logging_1493/kartor/A 50053-2023 karta.png", "A 50053-2023")</f>
        <v/>
      </c>
      <c r="Y12">
        <f>HYPERLINK("https://klasma.github.io/Logging_1493/kartor_geotiff/A 50053-2023 georefererad karta.tif", "A 50053-2023")</f>
        <v/>
      </c>
      <c r="Z12">
        <f>HYPERLINK("https://klasma.github.io/Logging_1493/knärot/A 50053-2023 karta knärot.png", "A 50053-2023")</f>
        <v/>
      </c>
      <c r="AA12">
        <f>HYPERLINK("https://klasma.github.io/Logging_1493/klagomål/A 50053-2023 FSC-klagomål.docx", "A 50053-2023")</f>
        <v/>
      </c>
      <c r="AB12">
        <f>HYPERLINK("https://klasma.github.io/Logging_1493/klagomålsmail/A 50053-2023 FSC-klagomål mail.docx", "A 50053-2023")</f>
        <v/>
      </c>
      <c r="AC12">
        <f>HYPERLINK("https://klasma.github.io/Logging_1493/tillsyn/A 50053-2023 tillsynsbegäran.docx", "A 50053-2023")</f>
        <v/>
      </c>
      <c r="AD12">
        <f>HYPERLINK("https://klasma.github.io/Logging_1493/tillsynsmail/A 50053-2023 tillsynsbegäran mail.docx", "A 50053-2023")</f>
        <v/>
      </c>
    </row>
    <row r="13" ht="15" customHeight="1">
      <c r="A13" t="inlineStr">
        <is>
          <t>A 57791-2021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44484</v>
      </c>
      <c r="E13" s="1" t="n">
        <v>46295</v>
      </c>
      <c r="F13" t="inlineStr">
        <is>
          <t>VÄSTRA GÖTALANDS LÄN</t>
        </is>
      </c>
      <c r="G13" t="inlineStr">
        <is>
          <t>MARIESTAD</t>
        </is>
      </c>
      <c r="I13" t="n">
        <v>30.8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Fyrflikig jordstjärna
Blåmossa</t>
        </is>
      </c>
      <c r="W13">
        <f>HYPERLINK("https://klasma.github.io/Logging_1493/artfynd/A 57791-2021 artfynd.xlsx", "A 57791-2021")</f>
        <v/>
      </c>
      <c r="X13">
        <f>HYPERLINK("https://klasma.github.io/Logging_1493/kartor/A 57791-2021 karta.png", "A 57791-2021")</f>
        <v/>
      </c>
      <c r="Y13">
        <f>HYPERLINK("https://klasma.github.io/Logging_1493/kartor_geotiff/A 57791-2021 georefererad karta.tif", "A 57791-2021")</f>
        <v/>
      </c>
      <c r="AA13">
        <f>HYPERLINK("https://klasma.github.io/Logging_1493/klagomål/A 57791-2021 FSC-klagomål.docx", "A 57791-2021")</f>
        <v/>
      </c>
      <c r="AB13">
        <f>HYPERLINK("https://klasma.github.io/Logging_1493/klagomålsmail/A 57791-2021 FSC-klagomål mail.docx", "A 57791-2021")</f>
        <v/>
      </c>
      <c r="AC13">
        <f>HYPERLINK("https://klasma.github.io/Logging_1493/tillsyn/A 57791-2021 tillsynsbegäran.docx", "A 57791-2021")</f>
        <v/>
      </c>
      <c r="AD13">
        <f>HYPERLINK("https://klasma.github.io/Logging_1493/tillsynsmail/A 57791-2021 tillsynsbegäran mail.docx", "A 57791-2021")</f>
        <v/>
      </c>
    </row>
    <row r="14" ht="15" customHeight="1">
      <c r="A14" t="inlineStr">
        <is>
          <t>A 14947-2023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45015</v>
      </c>
      <c r="E14" s="1" t="n">
        <v>46295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5</v>
      </c>
      <c r="U14" t="n">
        <v>0</v>
      </c>
      <c r="V14" s="2" t="inlineStr">
        <is>
          <t>Knärot
Grönpyrola</t>
        </is>
      </c>
      <c r="W14">
        <f>HYPERLINK("https://klasma.github.io/Logging_1493/artfynd/A 14947-2023 artfynd.xlsx", "A 14947-2023")</f>
        <v/>
      </c>
      <c r="X14">
        <f>HYPERLINK("https://klasma.github.io/Logging_1493/kartor/A 14947-2023 karta.png", "A 14947-2023")</f>
        <v/>
      </c>
      <c r="Y14">
        <f>HYPERLINK("https://klasma.github.io/Logging_1493/kartor_geotiff/A 14947-2023 georefererad karta.tif", "A 14947-2023")</f>
        <v/>
      </c>
      <c r="Z14">
        <f>HYPERLINK("https://klasma.github.io/Logging_1493/knärot/A 14947-2023 karta knärot.png", "A 14947-2023")</f>
        <v/>
      </c>
      <c r="AA14">
        <f>HYPERLINK("https://klasma.github.io/Logging_1493/klagomål/A 14947-2023 FSC-klagomål.docx", "A 14947-2023")</f>
        <v/>
      </c>
      <c r="AB14">
        <f>HYPERLINK("https://klasma.github.io/Logging_1493/klagomålsmail/A 14947-2023 FSC-klagomål mail.docx", "A 14947-2023")</f>
        <v/>
      </c>
      <c r="AC14">
        <f>HYPERLINK("https://klasma.github.io/Logging_1493/tillsyn/A 14947-2023 tillsynsbegäran.docx", "A 14947-2023")</f>
        <v/>
      </c>
      <c r="AD14">
        <f>HYPERLINK("https://klasma.github.io/Logging_1493/tillsynsmail/A 14947-2023 tillsynsbegäran mail.docx", "A 14947-2023")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46295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46295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53880-2022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46295</v>
      </c>
      <c r="F17" t="inlineStr">
        <is>
          <t>VÄSTRA GÖTALANDS LÄN</t>
        </is>
      </c>
      <c r="G17" t="inlineStr">
        <is>
          <t>MARIESTAD</t>
        </is>
      </c>
      <c r="I17" t="n">
        <v>2.2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2</v>
      </c>
      <c r="V17" s="2" t="inlineStr">
        <is>
          <t>Igelkott
Svinrot</t>
        </is>
      </c>
      <c r="W17">
        <f>HYPERLINK("https://klasma.github.io/Logging_1493/artfynd/A 53880-2022 artfynd.xlsx", "A 53880-2022")</f>
        <v/>
      </c>
      <c r="X17">
        <f>HYPERLINK("https://klasma.github.io/Logging_1493/kartor/A 53880-2022 karta.png", "A 53880-2022")</f>
        <v/>
      </c>
      <c r="Y17">
        <f>HYPERLINK("https://klasma.github.io/Logging_1493/kartor_geotiff/A 53880-2022 georefererad karta.tif", "A 53880-2022")</f>
        <v/>
      </c>
      <c r="AA17">
        <f>HYPERLINK("https://klasma.github.io/Logging_1493/klagomål/A 53880-2022 FSC-klagomål.docx", "A 53880-2022")</f>
        <v/>
      </c>
      <c r="AB17">
        <f>HYPERLINK("https://klasma.github.io/Logging_1493/klagomålsmail/A 53880-2022 FSC-klagomål mail.docx", "A 53880-2022")</f>
        <v/>
      </c>
      <c r="AC17">
        <f>HYPERLINK("https://klasma.github.io/Logging_1493/tillsyn/A 53880-2022 tillsynsbegäran.docx", "A 53880-2022")</f>
        <v/>
      </c>
      <c r="AD17">
        <f>HYPERLINK("https://klasma.github.io/Logging_1493/tillsynsmail/A 53880-2022 tillsynsbegäran mail.docx", "A 53880-2022")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46295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47764-2023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46295</v>
      </c>
      <c r="F19" t="inlineStr">
        <is>
          <t>VÄSTRA GÖTALANDS LÄN</t>
        </is>
      </c>
      <c r="G19" t="inlineStr">
        <is>
          <t>MARIESTAD</t>
        </is>
      </c>
      <c r="I19" t="n">
        <v>0.7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Blåsippa
Gullviva</t>
        </is>
      </c>
      <c r="W19">
        <f>HYPERLINK("https://klasma.github.io/Logging_1493/artfynd/A 47764-2023 artfynd.xlsx", "A 47764-2023")</f>
        <v/>
      </c>
      <c r="X19">
        <f>HYPERLINK("https://klasma.github.io/Logging_1493/kartor/A 47764-2023 karta.png", "A 47764-2023")</f>
        <v/>
      </c>
      <c r="Y19">
        <f>HYPERLINK("https://klasma.github.io/Logging_1493/kartor_geotiff/A 47764-2023 georefererad karta.tif", "A 47764-2023")</f>
        <v/>
      </c>
      <c r="AA19">
        <f>HYPERLINK("https://klasma.github.io/Logging_1493/klagomål/A 47764-2023 FSC-klagomål.docx", "A 47764-2023")</f>
        <v/>
      </c>
      <c r="AB19">
        <f>HYPERLINK("https://klasma.github.io/Logging_1493/klagomålsmail/A 47764-2023 FSC-klagomål mail.docx", "A 47764-2023")</f>
        <v/>
      </c>
      <c r="AC19">
        <f>HYPERLINK("https://klasma.github.io/Logging_1493/tillsyn/A 47764-2023 tillsynsbegäran.docx", "A 47764-2023")</f>
        <v/>
      </c>
      <c r="AD19">
        <f>HYPERLINK("https://klasma.github.io/Logging_1493/tillsynsmail/A 47764-2023 tillsynsbegäran mail.docx", "A 47764-2023")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46295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27444-2023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45097</v>
      </c>
      <c r="E21" s="1" t="n">
        <v>46295</v>
      </c>
      <c r="F21" t="inlineStr">
        <is>
          <t>VÄSTRA GÖTALANDS LÄN</t>
        </is>
      </c>
      <c r="G21" t="inlineStr">
        <is>
          <t>MARIESTAD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Svinrot
Gullviva</t>
        </is>
      </c>
      <c r="W21">
        <f>HYPERLINK("https://klasma.github.io/Logging_1493/artfynd/A 27444-2023 artfynd.xlsx", "A 27444-2023")</f>
        <v/>
      </c>
      <c r="X21">
        <f>HYPERLINK("https://klasma.github.io/Logging_1493/kartor/A 27444-2023 karta.png", "A 27444-2023")</f>
        <v/>
      </c>
      <c r="Y21">
        <f>HYPERLINK("https://klasma.github.io/Logging_1493/kartor_geotiff/A 27444-2023 georefererad karta.tif", "A 27444-2023")</f>
        <v/>
      </c>
      <c r="AA21">
        <f>HYPERLINK("https://klasma.github.io/Logging_1493/klagomål/A 27444-2023 FSC-klagomål.docx", "A 27444-2023")</f>
        <v/>
      </c>
      <c r="AB21">
        <f>HYPERLINK("https://klasma.github.io/Logging_1493/klagomålsmail/A 27444-2023 FSC-klagomål mail.docx", "A 27444-2023")</f>
        <v/>
      </c>
      <c r="AC21">
        <f>HYPERLINK("https://klasma.github.io/Logging_1493/tillsyn/A 27444-2023 tillsynsbegäran.docx", "A 27444-2023")</f>
        <v/>
      </c>
      <c r="AD21">
        <f>HYPERLINK("https://klasma.github.io/Logging_1493/tillsynsmail/A 27444-2023 tillsynsbegäran mail.docx", "A 27444-2023")</f>
        <v/>
      </c>
    </row>
    <row r="22" ht="15" customHeight="1">
      <c r="A22" t="inlineStr">
        <is>
          <t>A 11073-2022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44628</v>
      </c>
      <c r="E22" s="1" t="n">
        <v>46295</v>
      </c>
      <c r="F22" t="inlineStr">
        <is>
          <t>VÄSTRA GÖTALANDS LÄN</t>
        </is>
      </c>
      <c r="G22" t="inlineStr">
        <is>
          <t>MARIESTAD</t>
        </is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Spillkråka
Skogsduva</t>
        </is>
      </c>
      <c r="W22">
        <f>HYPERLINK("https://klasma.github.io/Logging_1493/artfynd/A 11073-2022 artfynd.xlsx", "A 11073-2022")</f>
        <v/>
      </c>
      <c r="X22">
        <f>HYPERLINK("https://klasma.github.io/Logging_1493/kartor/A 11073-2022 karta.png", "A 11073-2022")</f>
        <v/>
      </c>
      <c r="Y22">
        <f>HYPERLINK("https://klasma.github.io/Logging_1493/kartor_geotiff/A 11073-2022 georefererad karta.tif", "A 11073-2022")</f>
        <v/>
      </c>
      <c r="AA22">
        <f>HYPERLINK("https://klasma.github.io/Logging_1493/klagomål/A 11073-2022 FSC-klagomål.docx", "A 11073-2022")</f>
        <v/>
      </c>
      <c r="AB22">
        <f>HYPERLINK("https://klasma.github.io/Logging_1493/klagomålsmail/A 11073-2022 FSC-klagomål mail.docx", "A 11073-2022")</f>
        <v/>
      </c>
      <c r="AC22">
        <f>HYPERLINK("https://klasma.github.io/Logging_1493/tillsyn/A 11073-2022 tillsynsbegäran.docx", "A 11073-2022")</f>
        <v/>
      </c>
      <c r="AD22">
        <f>HYPERLINK("https://klasma.github.io/Logging_1493/tillsynsmail/A 11073-2022 tillsynsbegäran mail.docx", "A 11073-2022")</f>
        <v/>
      </c>
      <c r="AE22">
        <f>HYPERLINK("https://klasma.github.io/Logging_1493/fåglar/A 11073-2022 prioriterade fågelarter.docx", "A 11073-2022")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46295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9650-2025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46295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HYPERLINK("https://klasma.github.io/Logging_1493/artfynd/A 9650-2025 artfynd.xlsx", "A 9650-2025")</f>
        <v/>
      </c>
      <c r="X24">
        <f>HYPERLINK("https://klasma.github.io/Logging_1493/kartor/A 9650-2025 karta.png", "A 9650-2025")</f>
        <v/>
      </c>
      <c r="Y24">
        <f>HYPERLINK("https://klasma.github.io/Logging_1493/kartor_geotiff/A 9650-2025 georefererad karta.tif", "A 9650-2025")</f>
        <v/>
      </c>
      <c r="AA24">
        <f>HYPERLINK("https://klasma.github.io/Logging_1493/klagomål/A 9650-2025 FSC-klagomål.docx", "A 9650-2025")</f>
        <v/>
      </c>
      <c r="AB24">
        <f>HYPERLINK("https://klasma.github.io/Logging_1493/klagomålsmail/A 9650-2025 FSC-klagomål mail.docx", "A 9650-2025")</f>
        <v/>
      </c>
      <c r="AC24">
        <f>HYPERLINK("https://klasma.github.io/Logging_1493/tillsyn/A 9650-2025 tillsynsbegäran.docx", "A 9650-2025")</f>
        <v/>
      </c>
      <c r="AD24">
        <f>HYPERLINK("https://klasma.github.io/Logging_1493/tillsynsmail/A 9650-2025 tillsynsbegäran mail.docx", "A 9650-2025")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46295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46295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46295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46295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59316-2025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45989</v>
      </c>
      <c r="E29" s="1" t="n">
        <v>46295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HYPERLINK("https://klasma.github.io/Logging_1493/artfynd/A 59316-2025 artfynd.xlsx", "A 59316-2025")</f>
        <v/>
      </c>
      <c r="X29">
        <f>HYPERLINK("https://klasma.github.io/Logging_1493/kartor/A 59316-2025 karta.png", "A 59316-2025")</f>
        <v/>
      </c>
      <c r="Y29">
        <f>HYPERLINK("https://klasma.github.io/Logging_1493/kartor_geotiff/A 59316-2025 georefererad karta.tif", "A 59316-2025")</f>
        <v/>
      </c>
      <c r="AA29">
        <f>HYPERLINK("https://klasma.github.io/Logging_1493/klagomål/A 59316-2025 FSC-klagomål.docx", "A 59316-2025")</f>
        <v/>
      </c>
      <c r="AB29">
        <f>HYPERLINK("https://klasma.github.io/Logging_1493/klagomålsmail/A 59316-2025 FSC-klagomål mail.docx", "A 59316-2025")</f>
        <v/>
      </c>
      <c r="AC29">
        <f>HYPERLINK("https://klasma.github.io/Logging_1493/tillsyn/A 59316-2025 tillsynsbegäran.docx", "A 59316-2025")</f>
        <v/>
      </c>
      <c r="AD29">
        <f>HYPERLINK("https://klasma.github.io/Logging_1493/tillsynsmail/A 59316-2025 tillsynsbegäran mail.docx", "A 59316-2025")</f>
        <v/>
      </c>
    </row>
    <row r="30" ht="15" customHeight="1">
      <c r="A30" t="inlineStr">
        <is>
          <t>A 12379-2026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46295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5.7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HYPERLINK("https://klasma.github.io/Logging_1493/artfynd/A 12379-2026 artfynd.xlsx", "A 12379-2026")</f>
        <v/>
      </c>
      <c r="X30">
        <f>HYPERLINK("https://klasma.github.io/Logging_1493/kartor/A 12379-2026 karta.png", "A 12379-2026")</f>
        <v/>
      </c>
      <c r="Y30">
        <f>HYPERLINK("https://klasma.github.io/Logging_1493/kartor_geotiff/A 12379-2026 georefererad karta.tif", "A 12379-2026")</f>
        <v/>
      </c>
      <c r="AA30">
        <f>HYPERLINK("https://klasma.github.io/Logging_1493/klagomål/A 12379-2026 FSC-klagomål.docx", "A 12379-2026")</f>
        <v/>
      </c>
      <c r="AB30">
        <f>HYPERLINK("https://klasma.github.io/Logging_1493/klagomålsmail/A 12379-2026 FSC-klagomål mail.docx", "A 12379-2026")</f>
        <v/>
      </c>
      <c r="AC30">
        <f>HYPERLINK("https://klasma.github.io/Logging_1493/tillsyn/A 12379-2026 tillsynsbegäran.docx", "A 12379-2026")</f>
        <v/>
      </c>
      <c r="AD30">
        <f>HYPERLINK("https://klasma.github.io/Logging_1493/tillsynsmail/A 12379-2026 tillsynsbegäran mail.docx", "A 12379-2026")</f>
        <v/>
      </c>
    </row>
    <row r="31" ht="15" customHeight="1">
      <c r="A31" t="inlineStr">
        <is>
          <t>A 49233-2023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45210</v>
      </c>
      <c r="E31" s="1" t="n">
        <v>46295</v>
      </c>
      <c r="F31" t="inlineStr">
        <is>
          <t>VÄSTRA GÖTALANDS LÄN</t>
        </is>
      </c>
      <c r="G31" t="inlineStr">
        <is>
          <t>MARIESTAD</t>
        </is>
      </c>
      <c r="I31" t="n">
        <v>6.1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Lönnlav</t>
        </is>
      </c>
      <c r="W31">
        <f>HYPERLINK("https://klasma.github.io/Logging_1493/artfynd/A 49233-2023 artfynd.xlsx", "A 49233-2023")</f>
        <v/>
      </c>
      <c r="X31">
        <f>HYPERLINK("https://klasma.github.io/Logging_1493/kartor/A 49233-2023 karta.png", "A 49233-2023")</f>
        <v/>
      </c>
      <c r="Y31">
        <f>HYPERLINK("https://klasma.github.io/Logging_1493/kartor_geotiff/A 49233-2023 georefererad karta.tif", "A 49233-2023")</f>
        <v/>
      </c>
      <c r="AA31">
        <f>HYPERLINK("https://klasma.github.io/Logging_1493/klagomål/A 49233-2023 FSC-klagomål.docx", "A 49233-2023")</f>
        <v/>
      </c>
      <c r="AB31">
        <f>HYPERLINK("https://klasma.github.io/Logging_1493/klagomålsmail/A 49233-2023 FSC-klagomål mail.docx", "A 49233-2023")</f>
        <v/>
      </c>
      <c r="AC31">
        <f>HYPERLINK("https://klasma.github.io/Logging_1493/tillsyn/A 49233-2023 tillsynsbegäran.docx", "A 49233-2023")</f>
        <v/>
      </c>
      <c r="AD31">
        <f>HYPERLINK("https://klasma.github.io/Logging_1493/tillsynsmail/A 49233-2023 tillsynsbegäran mail.docx", "A 49233-2023")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46295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46295</v>
      </c>
      <c r="F33" t="inlineStr">
        <is>
          <t>VÄSTRA GÖTALANDS LÄN</t>
        </is>
      </c>
      <c r="G33" t="inlineStr">
        <is>
          <t>MARIESTAD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HYPERLINK("https://klasma.github.io/Logging_1493/artfynd/A 18176-2025 artfynd.xlsx", "A 18176-2025")</f>
        <v/>
      </c>
      <c r="X33">
        <f>HYPERLINK("https://klasma.github.io/Logging_1493/kartor/A 18176-2025 karta.png", "A 18176-2025")</f>
        <v/>
      </c>
      <c r="Y33">
        <f>HYPERLINK("https://klasma.github.io/Logging_1493/kartor_geotiff/A 18176-2025 georefererad karta.tif", "A 18176-2025")</f>
        <v/>
      </c>
      <c r="AA33">
        <f>HYPERLINK("https://klasma.github.io/Logging_1493/klagomål/A 18176-2025 FSC-klagomål.docx", "A 18176-2025")</f>
        <v/>
      </c>
      <c r="AB33">
        <f>HYPERLINK("https://klasma.github.io/Logging_1493/klagomålsmail/A 18176-2025 FSC-klagomål mail.docx", "A 18176-2025")</f>
        <v/>
      </c>
      <c r="AC33">
        <f>HYPERLINK("https://klasma.github.io/Logging_1493/tillsyn/A 18176-2025 tillsynsbegäran.docx", "A 18176-2025")</f>
        <v/>
      </c>
      <c r="AD33">
        <f>HYPERLINK("https://klasma.github.io/Logging_1493/tillsynsmail/A 18176-2025 tillsynsbegäran mail.docx", "A 18176-2025")</f>
        <v/>
      </c>
    </row>
    <row r="34" ht="15" customHeight="1">
      <c r="A34" t="inlineStr">
        <is>
          <t>A 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46295</v>
      </c>
      <c r="F34" t="inlineStr">
        <is>
          <t>VÄSTRA GÖTALANDS LÄN</t>
        </is>
      </c>
      <c r="G34" t="inlineStr">
        <is>
          <t>MARIESTAD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Skogsödla</t>
        </is>
      </c>
      <c r="W34">
        <f>HYPERLINK("https://klasma.github.io/Logging_1493/artfynd/A 7612-2023 artfynd.xlsx", "A 7612-2023")</f>
        <v/>
      </c>
      <c r="X34">
        <f>HYPERLINK("https://klasma.github.io/Logging_1493/kartor/A 7612-2023 karta.png", "A 7612-2023")</f>
        <v/>
      </c>
      <c r="Y34">
        <f>HYPERLINK("https://klasma.github.io/Logging_1493/kartor_geotiff/A 7612-2023 georefererad karta.tif", "A 7612-2023")</f>
        <v/>
      </c>
      <c r="AA34">
        <f>HYPERLINK("https://klasma.github.io/Logging_1493/klagomål/A 7612-2023 FSC-klagomål.docx", "A 7612-2023")</f>
        <v/>
      </c>
      <c r="AB34">
        <f>HYPERLINK("https://klasma.github.io/Logging_1493/klagomålsmail/A 7612-2023 FSC-klagomål mail.docx", "A 7612-2023")</f>
        <v/>
      </c>
      <c r="AC34">
        <f>HYPERLINK("https://klasma.github.io/Logging_1493/tillsyn/A 7612-2023 tillsynsbegäran.docx", "A 7612-2023")</f>
        <v/>
      </c>
      <c r="AD34">
        <f>HYPERLINK("https://klasma.github.io/Logging_1493/tillsynsmail/A 7612-2023 tillsynsbegäran mail.docx", "A 7612-2023")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46295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46295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46295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HYPERLINK("https://klasma.github.io/Logging_1493/artfynd/A 17272-2023 artfynd.xlsx", "A 17272-2023")</f>
        <v/>
      </c>
      <c r="X37">
        <f>HYPERLINK("https://klasma.github.io/Logging_1493/kartor/A 17272-2023 karta.png", "A 17272-2023")</f>
        <v/>
      </c>
      <c r="Y37">
        <f>HYPERLINK("https://klasma.github.io/Logging_1493/kartor_geotiff/A 17272-2023 georefererad karta.tif", "A 17272-2023")</f>
        <v/>
      </c>
      <c r="AA37">
        <f>HYPERLINK("https://klasma.github.io/Logging_1493/klagomål/A 17272-2023 FSC-klagomål.docx", "A 17272-2023")</f>
        <v/>
      </c>
      <c r="AB37">
        <f>HYPERLINK("https://klasma.github.io/Logging_1493/klagomålsmail/A 17272-2023 FSC-klagomål mail.docx", "A 17272-2023")</f>
        <v/>
      </c>
      <c r="AC37">
        <f>HYPERLINK("https://klasma.github.io/Logging_1493/tillsyn/A 17272-2023 tillsynsbegäran.docx", "A 17272-2023")</f>
        <v/>
      </c>
      <c r="AD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46295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Griffelblomfluga</t>
        </is>
      </c>
      <c r="W38">
        <f>HYPERLINK("https://klasma.github.io/Logging_1493/artfynd/A 20438-2024 artfynd.xlsx", "A 20438-2024")</f>
        <v/>
      </c>
      <c r="X38">
        <f>HYPERLINK("https://klasma.github.io/Logging_1493/kartor/A 20438-2024 karta.png", "A 20438-2024")</f>
        <v/>
      </c>
      <c r="Y38">
        <f>HYPERLINK("https://klasma.github.io/Logging_1493/kartor_geotiff/A 20438-2024 georefererad karta.tif", "A 20438-2024")</f>
        <v/>
      </c>
      <c r="AA38">
        <f>HYPERLINK("https://klasma.github.io/Logging_1493/klagomål/A 20438-2024 FSC-klagomål.docx", "A 20438-2024")</f>
        <v/>
      </c>
      <c r="AB38">
        <f>HYPERLINK("https://klasma.github.io/Logging_1493/klagomålsmail/A 20438-2024 FSC-klagomål mail.docx", "A 20438-2024")</f>
        <v/>
      </c>
      <c r="AC38">
        <f>HYPERLINK("https://klasma.github.io/Logging_1493/tillsyn/A 20438-2024 tillsynsbegäran.docx", "A 20438-2024")</f>
        <v/>
      </c>
      <c r="AD38">
        <f>HYPERLINK("https://klasma.github.io/Logging_1493/tillsynsmail/A 20438-2024 tillsynsbegäran mail.docx", "A 20438-2024")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46295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Ärtsångare</t>
        </is>
      </c>
      <c r="W39">
        <f>HYPERLINK("https://klasma.github.io/Logging_1493/artfynd/A 42647-2023 artfynd.xlsx", "A 42647-2023")</f>
        <v/>
      </c>
      <c r="X39">
        <f>HYPERLINK("https://klasma.github.io/Logging_1493/kartor/A 42647-2023 karta.png", "A 42647-2023")</f>
        <v/>
      </c>
      <c r="Y39">
        <f>HYPERLINK("https://klasma.github.io/Logging_1493/kartor_geotiff/A 42647-2023 georefererad karta.tif", "A 42647-2023")</f>
        <v/>
      </c>
      <c r="AA39">
        <f>HYPERLINK("https://klasma.github.io/Logging_1493/klagomål/A 42647-2023 FSC-klagomål.docx", "A 42647-2023")</f>
        <v/>
      </c>
      <c r="AB39">
        <f>HYPERLINK("https://klasma.github.io/Logging_1493/klagomålsmail/A 42647-2023 FSC-klagomål mail.docx", "A 42647-2023")</f>
        <v/>
      </c>
      <c r="AC39">
        <f>HYPERLINK("https://klasma.github.io/Logging_1493/tillsyn/A 42647-2023 tillsynsbegäran.docx", "A 42647-2023")</f>
        <v/>
      </c>
      <c r="AD39">
        <f>HYPERLINK("https://klasma.github.io/Logging_1493/tillsynsmail/A 42647-2023 tillsynsbegäran mail.docx", "A 42647-2023")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46295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46295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46295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46295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46295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46295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46295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46295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46295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46295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46295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44539</v>
      </c>
      <c r="E51" s="1" t="n">
        <v>46295</v>
      </c>
      <c r="F51" t="inlineStr">
        <is>
          <t>VÄSTRA GÖTALANDS LÄN</t>
        </is>
      </c>
      <c r="G51" t="inlineStr">
        <is>
          <t>MARIESTAD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67146-2021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46295</v>
      </c>
      <c r="F52" t="inlineStr">
        <is>
          <t>VÄSTRA GÖTALANDS LÄN</t>
        </is>
      </c>
      <c r="G52" t="inlineStr">
        <is>
          <t>MARIESTAD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46295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46295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46295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46295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46295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46295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46295</v>
      </c>
      <c r="F59" t="inlineStr">
        <is>
          <t>VÄSTRA GÖTALANDS LÄN</t>
        </is>
      </c>
      <c r="G59" t="inlineStr">
        <is>
          <t>MARIESTAD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46295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46295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46295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46295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46295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46295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46295</v>
      </c>
      <c r="F66" t="inlineStr">
        <is>
          <t>VÄSTRA GÖTALANDS LÄN</t>
        </is>
      </c>
      <c r="G66" t="inlineStr">
        <is>
          <t>MARIESTAD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45343</v>
      </c>
      <c r="E67" s="1" t="n">
        <v>46295</v>
      </c>
      <c r="F67" t="inlineStr">
        <is>
          <t>VÄSTRA GÖTALANDS LÄN</t>
        </is>
      </c>
      <c r="G67" t="inlineStr">
        <is>
          <t>MARIESTAD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46295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45299</v>
      </c>
      <c r="E69" s="1" t="n">
        <v>46295</v>
      </c>
      <c r="F69" t="inlineStr">
        <is>
          <t>VÄSTRA GÖTALANDS LÄN</t>
        </is>
      </c>
      <c r="G69" t="inlineStr">
        <is>
          <t>MARIESTAD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46295</v>
      </c>
      <c r="F70" t="inlineStr">
        <is>
          <t>VÄSTRA GÖTALANDS LÄN</t>
        </is>
      </c>
      <c r="G70" t="inlineStr">
        <is>
          <t>MARIESTAD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46295</v>
      </c>
      <c r="F71" t="inlineStr">
        <is>
          <t>VÄSTRA GÖTALANDS LÄN</t>
        </is>
      </c>
      <c r="G71" t="inlineStr">
        <is>
          <t>MARIESTAD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46295</v>
      </c>
      <c r="F72" t="inlineStr">
        <is>
          <t>VÄSTRA GÖTALANDS LÄN</t>
        </is>
      </c>
      <c r="G72" t="inlineStr">
        <is>
          <t>MARIESTAD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46295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46295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46295</v>
      </c>
      <c r="F75" t="inlineStr">
        <is>
          <t>VÄSTRA GÖTALANDS LÄN</t>
        </is>
      </c>
      <c r="G75" t="inlineStr">
        <is>
          <t>MARIESTAD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24765-2024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45460</v>
      </c>
      <c r="E76" s="1" t="n">
        <v>46295</v>
      </c>
      <c r="F76" t="inlineStr">
        <is>
          <t>VÄSTRA GÖTALANDS LÄN</t>
        </is>
      </c>
      <c r="G76" t="inlineStr">
        <is>
          <t>MARIESTAD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46295</v>
      </c>
      <c r="F77" t="inlineStr">
        <is>
          <t>VÄSTRA GÖTALANDS LÄN</t>
        </is>
      </c>
      <c r="G77" t="inlineStr">
        <is>
          <t>MARIESTAD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54717-2022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46295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45210</v>
      </c>
      <c r="E79" s="1" t="n">
        <v>46295</v>
      </c>
      <c r="F79" t="inlineStr">
        <is>
          <t>VÄSTRA GÖTALANDS LÄN</t>
        </is>
      </c>
      <c r="G79" t="inlineStr">
        <is>
          <t>MARIESTAD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49385-2023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45211</v>
      </c>
      <c r="E80" s="1" t="n">
        <v>46295</v>
      </c>
      <c r="F80" t="inlineStr">
        <is>
          <t>VÄSTRA GÖTALANDS LÄN</t>
        </is>
      </c>
      <c r="G80" t="inlineStr">
        <is>
          <t>MARIESTAD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66772-2021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44521</v>
      </c>
      <c r="E81" s="1" t="n">
        <v>46295</v>
      </c>
      <c r="F81" t="inlineStr">
        <is>
          <t>VÄSTRA GÖTALANDS LÄN</t>
        </is>
      </c>
      <c r="G81" t="inlineStr">
        <is>
          <t>MARIESTAD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31142-2024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45502</v>
      </c>
      <c r="E82" s="1" t="n">
        <v>46295</v>
      </c>
      <c r="F82" t="inlineStr">
        <is>
          <t>VÄSTRA GÖTALANDS LÄN</t>
        </is>
      </c>
      <c r="G82" t="inlineStr">
        <is>
          <t>MARIESTAD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74081-2021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44553</v>
      </c>
      <c r="E83" s="1" t="n">
        <v>46295</v>
      </c>
      <c r="F83" t="inlineStr">
        <is>
          <t>VÄSTRA GÖTALANDS LÄN</t>
        </is>
      </c>
      <c r="G83" t="inlineStr">
        <is>
          <t>MARIESTAD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33571-2023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45131</v>
      </c>
      <c r="E84" s="1" t="n">
        <v>46295</v>
      </c>
      <c r="F84" t="inlineStr">
        <is>
          <t>VÄSTRA GÖTALANDS LÄN</t>
        </is>
      </c>
      <c r="G84" t="inlineStr">
        <is>
          <t>MARIESTAD</t>
        </is>
      </c>
      <c r="I84" t="n">
        <v>16.1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46295</v>
      </c>
      <c r="F85" t="inlineStr">
        <is>
          <t>VÄSTRA GÖTALANDS LÄN</t>
        </is>
      </c>
      <c r="G85" t="inlineStr">
        <is>
          <t>MARIESTAD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46295</v>
      </c>
      <c r="F86" t="inlineStr">
        <is>
          <t>VÄSTRA GÖTALANDS LÄN</t>
        </is>
      </c>
      <c r="G86" t="inlineStr">
        <is>
          <t>MARIESTAD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45331</v>
      </c>
      <c r="E87" s="1" t="n">
        <v>46295</v>
      </c>
      <c r="F87" t="inlineStr">
        <is>
          <t>VÄSTRA GÖTALANDS LÄN</t>
        </is>
      </c>
      <c r="G87" t="inlineStr">
        <is>
          <t>MARIESTAD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46295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Sveaskog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54263-2024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46295</v>
      </c>
      <c r="F89" t="inlineStr">
        <is>
          <t>VÄSTRA GÖTALANDS LÄN</t>
        </is>
      </c>
      <c r="G89" t="inlineStr">
        <is>
          <t>MARIESTAD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46295</v>
      </c>
      <c r="F90" t="inlineStr">
        <is>
          <t>VÄSTRA GÖTALANDS LÄN</t>
        </is>
      </c>
      <c r="G90" t="inlineStr">
        <is>
          <t>MARIESTAD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45516</v>
      </c>
      <c r="E91" s="1" t="n">
        <v>46295</v>
      </c>
      <c r="F91" t="inlineStr">
        <is>
          <t>VÄSTRA GÖTALANDS LÄN</t>
        </is>
      </c>
      <c r="G91" t="inlineStr">
        <is>
          <t>MARIESTAD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45705</v>
      </c>
      <c r="E92" s="1" t="n">
        <v>46295</v>
      </c>
      <c r="F92" t="inlineStr">
        <is>
          <t>VÄSTRA GÖTALANDS LÄN</t>
        </is>
      </c>
      <c r="G92" t="inlineStr">
        <is>
          <t>MARIESTAD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46295</v>
      </c>
      <c r="F93" t="inlineStr">
        <is>
          <t>VÄSTRA GÖTALANDS LÄN</t>
        </is>
      </c>
      <c r="G93" t="inlineStr">
        <is>
          <t>MARIESTAD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21965-2024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46295</v>
      </c>
      <c r="F94" t="inlineStr">
        <is>
          <t>VÄSTRA GÖTALANDS LÄN</t>
        </is>
      </c>
      <c r="G94" t="inlineStr">
        <is>
          <t>MARIESTAD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61601-2023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45265</v>
      </c>
      <c r="E95" s="1" t="n">
        <v>46295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46295</v>
      </c>
      <c r="F96" t="inlineStr">
        <is>
          <t>VÄSTRA GÖTALANDS LÄN</t>
        </is>
      </c>
      <c r="G96" t="inlineStr">
        <is>
          <t>MARIESTAD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45268</v>
      </c>
      <c r="E97" s="1" t="n">
        <v>46295</v>
      </c>
      <c r="F97" t="inlineStr">
        <is>
          <t>VÄSTRA GÖTALANDS LÄN</t>
        </is>
      </c>
      <c r="G97" t="inlineStr">
        <is>
          <t>MARIESTAD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62751-2023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45271</v>
      </c>
      <c r="E98" s="1" t="n">
        <v>46295</v>
      </c>
      <c r="F98" t="inlineStr">
        <is>
          <t>VÄSTRA GÖTALANDS LÄN</t>
        </is>
      </c>
      <c r="G98" t="inlineStr">
        <is>
          <t>MARIESTAD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58598-2021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44489</v>
      </c>
      <c r="E99" s="1" t="n">
        <v>46295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52869-2024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45610</v>
      </c>
      <c r="E100" s="1" t="n">
        <v>46295</v>
      </c>
      <c r="F100" t="inlineStr">
        <is>
          <t>VÄSTRA GÖTALANDS LÄN</t>
        </is>
      </c>
      <c r="G100" t="inlineStr">
        <is>
          <t>MARIESTAD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46029</v>
      </c>
      <c r="E101" s="1" t="n">
        <v>46295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46029</v>
      </c>
      <c r="E102" s="1" t="n">
        <v>46295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45798</v>
      </c>
      <c r="E103" s="1" t="n">
        <v>46295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46295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45798</v>
      </c>
      <c r="E105" s="1" t="n">
        <v>46295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46295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46295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46295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45887</v>
      </c>
      <c r="E109" s="1" t="n">
        <v>46295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66771-2021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44521</v>
      </c>
      <c r="E110" s="1" t="n">
        <v>46295</v>
      </c>
      <c r="F110" t="inlineStr">
        <is>
          <t>VÄSTRA GÖTALANDS LÄN</t>
        </is>
      </c>
      <c r="G110" t="inlineStr">
        <is>
          <t>MARIESTAD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57692-2023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46295</v>
      </c>
      <c r="F111" t="inlineStr">
        <is>
          <t>VÄSTRA GÖTALANDS LÄN</t>
        </is>
      </c>
      <c r="G111" t="inlineStr">
        <is>
          <t>MARIESTAD</t>
        </is>
      </c>
      <c r="I111" t="n">
        <v>9.699999999999999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46295</v>
      </c>
      <c r="F112" t="inlineStr">
        <is>
          <t>VÄSTRA GÖTALANDS LÄN</t>
        </is>
      </c>
      <c r="G112" t="inlineStr">
        <is>
          <t>MARIESTAD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46295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45804</v>
      </c>
      <c r="E114" s="1" t="n">
        <v>46295</v>
      </c>
      <c r="F114" t="inlineStr">
        <is>
          <t>VÄSTRA GÖTALANDS LÄN</t>
        </is>
      </c>
      <c r="G114" t="inlineStr">
        <is>
          <t>MARIESTAD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45804</v>
      </c>
      <c r="E115" s="1" t="n">
        <v>46295</v>
      </c>
      <c r="F115" t="inlineStr">
        <is>
          <t>VÄSTRA GÖTALANDS LÄN</t>
        </is>
      </c>
      <c r="G115" t="inlineStr">
        <is>
          <t>MARIESTAD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46295</v>
      </c>
      <c r="F116" t="inlineStr">
        <is>
          <t>VÄSTRA GÖTALANDS LÄN</t>
        </is>
      </c>
      <c r="G116" t="inlineStr">
        <is>
          <t>MARIESTAD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48255-2024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45590</v>
      </c>
      <c r="E117" s="1" t="n">
        <v>46295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45674</v>
      </c>
      <c r="E118" s="1" t="n">
        <v>46295</v>
      </c>
      <c r="F118" t="inlineStr">
        <is>
          <t>VÄSTRA GÖTALANDS LÄN</t>
        </is>
      </c>
      <c r="G118" t="inlineStr">
        <is>
          <t>MARIESTAD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46295</v>
      </c>
      <c r="F119" t="inlineStr">
        <is>
          <t>VÄSTRA GÖTALANDS LÄN</t>
        </is>
      </c>
      <c r="G119" t="inlineStr">
        <is>
          <t>MARIESTAD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46295</v>
      </c>
      <c r="F120" t="inlineStr">
        <is>
          <t>VÄSTRA GÖTALANDS LÄN</t>
        </is>
      </c>
      <c r="G120" t="inlineStr">
        <is>
          <t>MARIESTAD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46295</v>
      </c>
      <c r="F121" t="inlineStr">
        <is>
          <t>VÄSTRA GÖTALANDS LÄN</t>
        </is>
      </c>
      <c r="G121" t="inlineStr">
        <is>
          <t>MARIESTAD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45817</v>
      </c>
      <c r="E122" s="1" t="n">
        <v>46295</v>
      </c>
      <c r="F122" t="inlineStr">
        <is>
          <t>VÄSTRA GÖTALANDS LÄN</t>
        </is>
      </c>
      <c r="G122" t="inlineStr">
        <is>
          <t>MARIESTAD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46295</v>
      </c>
      <c r="F123" t="inlineStr">
        <is>
          <t>VÄSTRA GÖTALANDS LÄN</t>
        </is>
      </c>
      <c r="G123" t="inlineStr">
        <is>
          <t>MARIESTAD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45820</v>
      </c>
      <c r="E124" s="1" t="n">
        <v>46295</v>
      </c>
      <c r="F124" t="inlineStr">
        <is>
          <t>VÄSTRA GÖTALANDS LÄN</t>
        </is>
      </c>
      <c r="G124" t="inlineStr">
        <is>
          <t>MARIESTAD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46295</v>
      </c>
      <c r="F125" t="inlineStr">
        <is>
          <t>VÄSTRA GÖTALANDS LÄN</t>
        </is>
      </c>
      <c r="G125" t="inlineStr">
        <is>
          <t>MARIESTAD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28449-2025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46295</v>
      </c>
      <c r="F126" t="inlineStr">
        <is>
          <t>VÄSTRA GÖTALANDS LÄN</t>
        </is>
      </c>
      <c r="G126" t="inlineStr">
        <is>
          <t>MARIESTAD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46295</v>
      </c>
      <c r="F127" t="inlineStr">
        <is>
          <t>VÄSTRA GÖTALANDS LÄN</t>
        </is>
      </c>
      <c r="G127" t="inlineStr">
        <is>
          <t>MARIESTAD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46295</v>
      </c>
      <c r="F128" t="inlineStr">
        <is>
          <t>VÄSTRA GÖTALANDS LÄN</t>
        </is>
      </c>
      <c r="G128" t="inlineStr">
        <is>
          <t>MARIESTAD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60812-2023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45260</v>
      </c>
      <c r="E129" s="1" t="n">
        <v>46295</v>
      </c>
      <c r="F129" t="inlineStr">
        <is>
          <t>VÄSTRA GÖTALANDS LÄN</t>
        </is>
      </c>
      <c r="G129" t="inlineStr">
        <is>
          <t>MARIESTAD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45516</v>
      </c>
      <c r="E130" s="1" t="n">
        <v>46295</v>
      </c>
      <c r="F130" t="inlineStr">
        <is>
          <t>VÄSTRA GÖTALANDS LÄN</t>
        </is>
      </c>
      <c r="G130" t="inlineStr">
        <is>
          <t>MARIESTAD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45516</v>
      </c>
      <c r="E131" s="1" t="n">
        <v>46295</v>
      </c>
      <c r="F131" t="inlineStr">
        <is>
          <t>VÄSTRA GÖTALANDS LÄN</t>
        </is>
      </c>
      <c r="G131" t="inlineStr">
        <is>
          <t>MARIESTAD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12361-2023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46295</v>
      </c>
      <c r="F132" t="inlineStr">
        <is>
          <t>VÄSTRA GÖTALANDS LÄN</t>
        </is>
      </c>
      <c r="G132" t="inlineStr">
        <is>
          <t>MARIESTAD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45827</v>
      </c>
      <c r="E133" s="1" t="n">
        <v>46295</v>
      </c>
      <c r="F133" t="inlineStr">
        <is>
          <t>VÄSTRA GÖTALANDS LÄN</t>
        </is>
      </c>
      <c r="G133" t="inlineStr">
        <is>
          <t>MARIESTAD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46295</v>
      </c>
      <c r="F134" t="inlineStr">
        <is>
          <t>VÄSTRA GÖTALANDS LÄN</t>
        </is>
      </c>
      <c r="G134" t="inlineStr">
        <is>
          <t>MARIESTAD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45033</v>
      </c>
      <c r="E135" s="1" t="n">
        <v>46295</v>
      </c>
      <c r="F135" t="inlineStr">
        <is>
          <t>VÄSTRA GÖTALANDS LÄN</t>
        </is>
      </c>
      <c r="G135" t="inlineStr">
        <is>
          <t>MARIESTAD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46295</v>
      </c>
      <c r="F136" t="inlineStr">
        <is>
          <t>VÄSTRA GÖTALANDS LÄN</t>
        </is>
      </c>
      <c r="G136" t="inlineStr">
        <is>
          <t>MARIESTAD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46295</v>
      </c>
      <c r="F137" t="inlineStr">
        <is>
          <t>VÄSTRA GÖTALANDS LÄN</t>
        </is>
      </c>
      <c r="G137" t="inlineStr">
        <is>
          <t>MARIESTAD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46295</v>
      </c>
      <c r="F138" t="inlineStr">
        <is>
          <t>VÄSTRA GÖTALANDS LÄN</t>
        </is>
      </c>
      <c r="G138" t="inlineStr">
        <is>
          <t>MARIESTAD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46295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44936</v>
      </c>
      <c r="E140" s="1" t="n">
        <v>46295</v>
      </c>
      <c r="F140" t="inlineStr">
        <is>
          <t>VÄSTRA GÖTALANDS LÄN</t>
        </is>
      </c>
      <c r="G140" t="inlineStr">
        <is>
          <t>MARIESTAD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53097-2022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46295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Kyrkan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48267-2024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45590</v>
      </c>
      <c r="E142" s="1" t="n">
        <v>46295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Kyrkan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45832</v>
      </c>
      <c r="E143" s="1" t="n">
        <v>46295</v>
      </c>
      <c r="F143" t="inlineStr">
        <is>
          <t>VÄSTRA GÖTALANDS LÄN</t>
        </is>
      </c>
      <c r="G143" t="inlineStr">
        <is>
          <t>MARIESTAD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49200-2023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45210</v>
      </c>
      <c r="E144" s="1" t="n">
        <v>46295</v>
      </c>
      <c r="F144" t="inlineStr">
        <is>
          <t>VÄSTRA GÖTALANDS LÄN</t>
        </is>
      </c>
      <c r="G144" t="inlineStr">
        <is>
          <t>MARIESTAD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45744</v>
      </c>
      <c r="E145" s="1" t="n">
        <v>46295</v>
      </c>
      <c r="F145" t="inlineStr">
        <is>
          <t>VÄSTRA GÖTALANDS LÄN</t>
        </is>
      </c>
      <c r="G145" t="inlineStr">
        <is>
          <t>MARIESTAD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46295</v>
      </c>
      <c r="F146" t="inlineStr">
        <is>
          <t>VÄSTRA GÖTALANDS LÄN</t>
        </is>
      </c>
      <c r="G146" t="inlineStr">
        <is>
          <t>MARIESTAD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46295</v>
      </c>
      <c r="F147" t="inlineStr">
        <is>
          <t>VÄSTRA GÖTALANDS LÄN</t>
        </is>
      </c>
      <c r="G147" t="inlineStr">
        <is>
          <t>MARIESTAD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45199</v>
      </c>
      <c r="E148" s="1" t="n">
        <v>46295</v>
      </c>
      <c r="F148" t="inlineStr">
        <is>
          <t>VÄSTRA GÖTALANDS LÄN</t>
        </is>
      </c>
      <c r="G148" t="inlineStr">
        <is>
          <t>MARIESTAD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46295</v>
      </c>
      <c r="F149" t="inlineStr">
        <is>
          <t>VÄSTRA GÖTALANDS LÄN</t>
        </is>
      </c>
      <c r="G149" t="inlineStr">
        <is>
          <t>MARIESTAD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46295</v>
      </c>
      <c r="F150" t="inlineStr">
        <is>
          <t>VÄSTRA GÖTALANDS LÄN</t>
        </is>
      </c>
      <c r="G150" t="inlineStr">
        <is>
          <t>MARIESTAD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44943</v>
      </c>
      <c r="E151" s="1" t="n">
        <v>46295</v>
      </c>
      <c r="F151" t="inlineStr">
        <is>
          <t>VÄSTRA GÖTALANDS LÄN</t>
        </is>
      </c>
      <c r="G151" t="inlineStr">
        <is>
          <t>MARIESTAD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46050</v>
      </c>
      <c r="E152" s="1" t="n">
        <v>46295</v>
      </c>
      <c r="F152" t="inlineStr">
        <is>
          <t>VÄSTRA GÖTALANDS LÄN</t>
        </is>
      </c>
      <c r="G152" t="inlineStr">
        <is>
          <t>MARIESTAD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26688-2022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44739</v>
      </c>
      <c r="E153" s="1" t="n">
        <v>46295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46295</v>
      </c>
      <c r="F154" t="inlineStr">
        <is>
          <t>VÄSTRA GÖTALANDS LÄN</t>
        </is>
      </c>
      <c r="G154" t="inlineStr">
        <is>
          <t>MARIESTAD</t>
        </is>
      </c>
      <c r="H154" t="inlineStr">
        <is>
          <t>Kyrkan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46295</v>
      </c>
      <c r="F155" t="inlineStr">
        <is>
          <t>VÄSTRA GÖTALANDS LÄN</t>
        </is>
      </c>
      <c r="G155" t="inlineStr">
        <is>
          <t>MARIESTAD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11414-2023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44993</v>
      </c>
      <c r="E156" s="1" t="n">
        <v>46295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Sveaskog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45875</v>
      </c>
      <c r="E157" s="1" t="n">
        <v>46295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46295</v>
      </c>
      <c r="F158" t="inlineStr">
        <is>
          <t>VÄSTRA GÖTALANDS LÄN</t>
        </is>
      </c>
      <c r="G158" t="inlineStr">
        <is>
          <t>MARIESTAD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46295</v>
      </c>
      <c r="F159" t="inlineStr">
        <is>
          <t>VÄSTRA GÖTALANDS LÄN</t>
        </is>
      </c>
      <c r="G159" t="inlineStr">
        <is>
          <t>MARIESTAD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46295</v>
      </c>
      <c r="F160" t="inlineStr">
        <is>
          <t>VÄSTRA GÖTALANDS LÄN</t>
        </is>
      </c>
      <c r="G160" t="inlineStr">
        <is>
          <t>MARIESTAD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46295</v>
      </c>
      <c r="F161" t="inlineStr">
        <is>
          <t>VÄSTRA GÖTALANDS LÄN</t>
        </is>
      </c>
      <c r="G161" t="inlineStr">
        <is>
          <t>MARIESTAD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46295</v>
      </c>
      <c r="F162" t="inlineStr">
        <is>
          <t>VÄSTRA GÖTALANDS LÄN</t>
        </is>
      </c>
      <c r="G162" t="inlineStr">
        <is>
          <t>MARIESTAD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46295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Kyrkan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46295</v>
      </c>
      <c r="F164" t="inlineStr">
        <is>
          <t>VÄSTRA GÖTALANDS LÄN</t>
        </is>
      </c>
      <c r="G164" t="inlineStr">
        <is>
          <t>MARIESTAD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44971</v>
      </c>
      <c r="E165" s="1" t="n">
        <v>46295</v>
      </c>
      <c r="F165" t="inlineStr">
        <is>
          <t>VÄSTRA GÖTALANDS LÄN</t>
        </is>
      </c>
      <c r="G165" t="inlineStr">
        <is>
          <t>MARIESTAD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46295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Kyrkan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46295</v>
      </c>
      <c r="F167" t="inlineStr">
        <is>
          <t>VÄSTRA GÖTALANDS LÄN</t>
        </is>
      </c>
      <c r="G167" t="inlineStr">
        <is>
          <t>MARIESTAD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46061</v>
      </c>
      <c r="E168" s="1" t="n">
        <v>46295</v>
      </c>
      <c r="F168" t="inlineStr">
        <is>
          <t>VÄSTRA GÖTALANDS LÄN</t>
        </is>
      </c>
      <c r="G168" t="inlineStr">
        <is>
          <t>MARIESTAD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46295</v>
      </c>
      <c r="F169" t="inlineStr">
        <is>
          <t>VÄSTRA GÖTALANDS LÄN</t>
        </is>
      </c>
      <c r="G169" t="inlineStr">
        <is>
          <t>MARIESTAD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46295</v>
      </c>
      <c r="F170" t="inlineStr">
        <is>
          <t>VÄSTRA GÖTALANDS LÄN</t>
        </is>
      </c>
      <c r="G170" t="inlineStr">
        <is>
          <t>MARIESTAD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44965</v>
      </c>
      <c r="E171" s="1" t="n">
        <v>46295</v>
      </c>
      <c r="F171" t="inlineStr">
        <is>
          <t>VÄSTRA GÖTALANDS LÄN</t>
        </is>
      </c>
      <c r="G171" t="inlineStr">
        <is>
          <t>MARIESTAD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13655-2023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45006</v>
      </c>
      <c r="E172" s="1" t="n">
        <v>46295</v>
      </c>
      <c r="F172" t="inlineStr">
        <is>
          <t>VÄSTRA GÖTALANDS LÄN</t>
        </is>
      </c>
      <c r="G172" t="inlineStr">
        <is>
          <t>MARIESTAD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46295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Övriga Aktiebolag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46295</v>
      </c>
      <c r="F174" t="inlineStr">
        <is>
          <t>VÄSTRA GÖTALANDS LÄN</t>
        </is>
      </c>
      <c r="G174" t="inlineStr">
        <is>
          <t>MARIESTAD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46295</v>
      </c>
      <c r="F175" t="inlineStr">
        <is>
          <t>VÄSTRA GÖTALANDS LÄN</t>
        </is>
      </c>
      <c r="G175" t="inlineStr">
        <is>
          <t>MARIESTAD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46295</v>
      </c>
      <c r="F176" t="inlineStr">
        <is>
          <t>VÄSTRA GÖTALANDS LÄN</t>
        </is>
      </c>
      <c r="G176" t="inlineStr">
        <is>
          <t>MARIESTAD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44993</v>
      </c>
      <c r="E177" s="1" t="n">
        <v>46295</v>
      </c>
      <c r="F177" t="inlineStr">
        <is>
          <t>VÄSTRA GÖTALANDS LÄN</t>
        </is>
      </c>
      <c r="G177" t="inlineStr">
        <is>
          <t>MARIESTAD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46295</v>
      </c>
      <c r="F178" t="inlineStr">
        <is>
          <t>VÄSTRA GÖTALANDS LÄN</t>
        </is>
      </c>
      <c r="G178" t="inlineStr">
        <is>
          <t>MARIESTAD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46071</v>
      </c>
      <c r="E179" s="1" t="n">
        <v>46295</v>
      </c>
      <c r="F179" t="inlineStr">
        <is>
          <t>VÄSTRA GÖTALANDS LÄN</t>
        </is>
      </c>
      <c r="G179" t="inlineStr">
        <is>
          <t>MARIESTAD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9558-2026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46071</v>
      </c>
      <c r="E180" s="1" t="n">
        <v>46295</v>
      </c>
      <c r="F180" t="inlineStr">
        <is>
          <t>VÄSTRA GÖTALANDS LÄN</t>
        </is>
      </c>
      <c r="G180" t="inlineStr">
        <is>
          <t>MARIESTAD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46295</v>
      </c>
      <c r="F181" t="inlineStr">
        <is>
          <t>VÄSTRA GÖTALANDS LÄN</t>
        </is>
      </c>
      <c r="G181" t="inlineStr">
        <is>
          <t>MARIESTAD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46295</v>
      </c>
      <c r="F182" t="inlineStr">
        <is>
          <t>VÄSTRA GÖTALANDS LÄN</t>
        </is>
      </c>
      <c r="G182" t="inlineStr">
        <is>
          <t>MARIESTAD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45722</v>
      </c>
      <c r="E183" s="1" t="n">
        <v>46295</v>
      </c>
      <c r="F183" t="inlineStr">
        <is>
          <t>VÄSTRA GÖTALANDS LÄN</t>
        </is>
      </c>
      <c r="G183" t="inlineStr">
        <is>
          <t>MARIESTAD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46080</v>
      </c>
      <c r="E184" s="1" t="n">
        <v>46295</v>
      </c>
      <c r="F184" t="inlineStr">
        <is>
          <t>VÄSTRA GÖTALANDS LÄN</t>
        </is>
      </c>
      <c r="G184" t="inlineStr">
        <is>
          <t>MARIESTAD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44986</v>
      </c>
      <c r="E185" s="1" t="n">
        <v>46295</v>
      </c>
      <c r="F185" t="inlineStr">
        <is>
          <t>VÄSTRA GÖTALANDS LÄN</t>
        </is>
      </c>
      <c r="G185" t="inlineStr">
        <is>
          <t>MARIESTAD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46295</v>
      </c>
      <c r="F186" t="inlineStr">
        <is>
          <t>VÄSTRA GÖTALANDS LÄN</t>
        </is>
      </c>
      <c r="G186" t="inlineStr">
        <is>
          <t>MARIESTAD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46003</v>
      </c>
      <c r="E187" s="1" t="n">
        <v>46295</v>
      </c>
      <c r="F187" t="inlineStr">
        <is>
          <t>VÄSTRA GÖTALANDS LÄN</t>
        </is>
      </c>
      <c r="G187" t="inlineStr">
        <is>
          <t>MARIESTAD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12381-2026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46090</v>
      </c>
      <c r="E188" s="1" t="n">
        <v>46295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46295</v>
      </c>
      <c r="F189" t="inlineStr">
        <is>
          <t>VÄSTRA GÖTALANDS LÄN</t>
        </is>
      </c>
      <c r="G189" t="inlineStr">
        <is>
          <t>MARIESTAD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45210</v>
      </c>
      <c r="E190" s="1" t="n">
        <v>46295</v>
      </c>
      <c r="F190" t="inlineStr">
        <is>
          <t>VÄSTRA GÖTALANDS LÄN</t>
        </is>
      </c>
      <c r="G190" t="inlineStr">
        <is>
          <t>MARIESTAD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62633-2025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46008</v>
      </c>
      <c r="E191" s="1" t="n">
        <v>46295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42000-2022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46295</v>
      </c>
      <c r="F192" t="inlineStr">
        <is>
          <t>VÄSTRA GÖTALANDS LÄN</t>
        </is>
      </c>
      <c r="G192" t="inlineStr">
        <is>
          <t>MARIESTAD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46100</v>
      </c>
      <c r="E193" s="1" t="n">
        <v>46295</v>
      </c>
      <c r="F193" t="inlineStr">
        <is>
          <t>VÄSTRA GÖTALANDS LÄN</t>
        </is>
      </c>
      <c r="G193" t="inlineStr">
        <is>
          <t>MARIESTAD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46295</v>
      </c>
      <c r="F194" t="inlineStr">
        <is>
          <t>VÄSTRA GÖTALANDS LÄN</t>
        </is>
      </c>
      <c r="G194" t="inlineStr">
        <is>
          <t>MARIESTAD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44746</v>
      </c>
      <c r="E195" s="1" t="n">
        <v>46295</v>
      </c>
      <c r="F195" t="inlineStr">
        <is>
          <t>VÄSTRA GÖTALANDS LÄN</t>
        </is>
      </c>
      <c r="G195" t="inlineStr">
        <is>
          <t>MARIESTAD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44843</v>
      </c>
      <c r="E196" s="1" t="n">
        <v>46295</v>
      </c>
      <c r="F196" t="inlineStr">
        <is>
          <t>VÄSTRA GÖTALANDS LÄN</t>
        </is>
      </c>
      <c r="G196" t="inlineStr">
        <is>
          <t>MARIESTAD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46295</v>
      </c>
      <c r="F197" t="inlineStr">
        <is>
          <t>VÄSTRA GÖTALANDS LÄN</t>
        </is>
      </c>
      <c r="G197" t="inlineStr">
        <is>
          <t>MARIESTAD</t>
        </is>
      </c>
      <c r="I197" t="n">
        <v>10.3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44847</v>
      </c>
      <c r="E198" s="1" t="n">
        <v>46295</v>
      </c>
      <c r="F198" t="inlineStr">
        <is>
          <t>VÄSTRA GÖTALANDS LÄN</t>
        </is>
      </c>
      <c r="G198" t="inlineStr">
        <is>
          <t>MARIESTAD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45210</v>
      </c>
      <c r="E199" s="1" t="n">
        <v>46295</v>
      </c>
      <c r="F199" t="inlineStr">
        <is>
          <t>VÄSTRA GÖTALANDS LÄN</t>
        </is>
      </c>
      <c r="G199" t="inlineStr">
        <is>
          <t>MARIESTAD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17249-2026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46119</v>
      </c>
      <c r="E200" s="1" t="n">
        <v>46295</v>
      </c>
      <c r="F200" t="inlineStr">
        <is>
          <t>VÄSTRA GÖTALANDS LÄN</t>
        </is>
      </c>
      <c r="G200" t="inlineStr">
        <is>
          <t>MARIESTAD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36399-2024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45535</v>
      </c>
      <c r="E201" s="1" t="n">
        <v>46295</v>
      </c>
      <c r="F201" t="inlineStr">
        <is>
          <t>VÄSTRA GÖTALANDS LÄN</t>
        </is>
      </c>
      <c r="G201" t="inlineStr">
        <is>
          <t>MARIESTAD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46295</v>
      </c>
      <c r="F202" t="inlineStr">
        <is>
          <t>VÄSTRA GÖTALANDS LÄN</t>
        </is>
      </c>
      <c r="G202" t="inlineStr">
        <is>
          <t>MARIESTAD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46295</v>
      </c>
      <c r="F203" t="inlineStr">
        <is>
          <t>VÄSTRA GÖTALANDS LÄN</t>
        </is>
      </c>
      <c r="G203" t="inlineStr">
        <is>
          <t>MARIESTAD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46295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Kyrkan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44836</v>
      </c>
      <c r="E205" s="1" t="n">
        <v>46295</v>
      </c>
      <c r="F205" t="inlineStr">
        <is>
          <t>VÄSTRA GÖTALANDS LÄN</t>
        </is>
      </c>
      <c r="G205" t="inlineStr">
        <is>
          <t>MARIESTAD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46295</v>
      </c>
      <c r="F206" t="inlineStr">
        <is>
          <t>VÄSTRA GÖTALANDS LÄN</t>
        </is>
      </c>
      <c r="G206" t="inlineStr">
        <is>
          <t>MARIESTAD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46295</v>
      </c>
      <c r="F207" t="inlineStr">
        <is>
          <t>VÄSTRA GÖTALANDS LÄN</t>
        </is>
      </c>
      <c r="G207" t="inlineStr">
        <is>
          <t>MARIESTAD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45200</v>
      </c>
      <c r="E208" s="1" t="n">
        <v>46295</v>
      </c>
      <c r="F208" t="inlineStr">
        <is>
          <t>VÄSTRA GÖTALANDS LÄN</t>
        </is>
      </c>
      <c r="G208" t="inlineStr">
        <is>
          <t>MARIESTAD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14288-2024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45393</v>
      </c>
      <c r="E209" s="1" t="n">
        <v>46295</v>
      </c>
      <c r="F209" t="inlineStr">
        <is>
          <t>VÄSTRA GÖTALANDS LÄN</t>
        </is>
      </c>
      <c r="G209" t="inlineStr">
        <is>
          <t>MARIESTAD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46295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45268</v>
      </c>
      <c r="E211" s="1" t="n">
        <v>46295</v>
      </c>
      <c r="F211" t="inlineStr">
        <is>
          <t>VÄSTRA GÖTALANDS LÄN</t>
        </is>
      </c>
      <c r="G211" t="inlineStr">
        <is>
          <t>MARIESTAD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38800-2023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45163</v>
      </c>
      <c r="E212" s="1" t="n">
        <v>46295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45412</v>
      </c>
      <c r="E213" s="1" t="n">
        <v>46295</v>
      </c>
      <c r="F213" t="inlineStr">
        <is>
          <t>VÄSTRA GÖTALANDS LÄN</t>
        </is>
      </c>
      <c r="G213" t="inlineStr">
        <is>
          <t>MARIESTAD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45412</v>
      </c>
      <c r="E214" s="1" t="n">
        <v>46295</v>
      </c>
      <c r="F214" t="inlineStr">
        <is>
          <t>VÄSTRA GÖTALANDS LÄN</t>
        </is>
      </c>
      <c r="G214" t="inlineStr">
        <is>
          <t>MARIESTAD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39766-2023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45167</v>
      </c>
      <c r="E215" s="1" t="n">
        <v>46295</v>
      </c>
      <c r="F215" t="inlineStr">
        <is>
          <t>VÄSTRA GÖTALANDS LÄN</t>
        </is>
      </c>
      <c r="G215" t="inlineStr">
        <is>
          <t>MARIESTAD</t>
        </is>
      </c>
      <c r="I215" t="n">
        <v>26.5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45397</v>
      </c>
      <c r="E216" s="1" t="n">
        <v>46295</v>
      </c>
      <c r="F216" t="inlineStr">
        <is>
          <t>VÄSTRA GÖTALANDS LÄN</t>
        </is>
      </c>
      <c r="G216" t="inlineStr">
        <is>
          <t>MARIESTAD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45560</v>
      </c>
      <c r="E217" s="1" t="n">
        <v>46295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Sveaskog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44620</v>
      </c>
      <c r="E218" s="1" t="n">
        <v>46295</v>
      </c>
      <c r="F218" t="inlineStr">
        <is>
          <t>VÄSTRA GÖTALANDS LÄN</t>
        </is>
      </c>
      <c r="G218" t="inlineStr">
        <is>
          <t>MARIESTAD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46295</v>
      </c>
      <c r="F219" t="inlineStr">
        <is>
          <t>VÄSTRA GÖTALANDS LÄN</t>
        </is>
      </c>
      <c r="G219" t="inlineStr">
        <is>
          <t>MARIESTAD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45875</v>
      </c>
      <c r="E220" s="1" t="n">
        <v>46295</v>
      </c>
      <c r="F220" t="inlineStr">
        <is>
          <t>VÄSTRA GÖTALANDS LÄN</t>
        </is>
      </c>
      <c r="G220" t="inlineStr">
        <is>
          <t>MARIESTAD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70259-2021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44536</v>
      </c>
      <c r="E221" s="1" t="n">
        <v>46295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40455-2023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45170</v>
      </c>
      <c r="E222" s="1" t="n">
        <v>46295</v>
      </c>
      <c r="F222" t="inlineStr">
        <is>
          <t>VÄSTRA GÖTALANDS LÄN</t>
        </is>
      </c>
      <c r="G222" t="inlineStr">
        <is>
          <t>MARIESTAD</t>
        </is>
      </c>
      <c r="I222" t="n">
        <v>34.9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46295</v>
      </c>
      <c r="F223" t="inlineStr">
        <is>
          <t>VÄSTRA GÖTALANDS LÄN</t>
        </is>
      </c>
      <c r="G223" t="inlineStr">
        <is>
          <t>MARIESTAD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45470</v>
      </c>
      <c r="E224" s="1" t="n">
        <v>46295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Kyrkan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44630</v>
      </c>
      <c r="E225" s="1" t="n">
        <v>46295</v>
      </c>
      <c r="F225" t="inlineStr">
        <is>
          <t>VÄSTRA GÖTALANDS LÄN</t>
        </is>
      </c>
      <c r="G225" t="inlineStr">
        <is>
          <t>MARIESTAD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45548</v>
      </c>
      <c r="E226" s="1" t="n">
        <v>46295</v>
      </c>
      <c r="F226" t="inlineStr">
        <is>
          <t>VÄSTRA GÖTALANDS LÄN</t>
        </is>
      </c>
      <c r="G226" t="inlineStr">
        <is>
          <t>MARIESTAD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16466-2025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45751</v>
      </c>
      <c r="E227" s="1" t="n">
        <v>46295</v>
      </c>
      <c r="F227" t="inlineStr">
        <is>
          <t>VÄSTRA GÖTALANDS LÄN</t>
        </is>
      </c>
      <c r="G227" t="inlineStr">
        <is>
          <t>MARIESTAD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46295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48297-2024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46295</v>
      </c>
      <c r="F229" t="inlineStr">
        <is>
          <t>VÄSTRA GÖTALANDS LÄN</t>
        </is>
      </c>
      <c r="G229" t="inlineStr">
        <is>
          <t>MARIESTAD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50579-2023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45217</v>
      </c>
      <c r="E230" s="1" t="n">
        <v>46295</v>
      </c>
      <c r="F230" t="inlineStr">
        <is>
          <t>VÄSTRA GÖTALANDS LÄN</t>
        </is>
      </c>
      <c r="G230" t="inlineStr">
        <is>
          <t>MARIESTAD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44649</v>
      </c>
      <c r="E231" s="1" t="n">
        <v>46295</v>
      </c>
      <c r="F231" t="inlineStr">
        <is>
          <t>VÄSTRA GÖTALANDS LÄN</t>
        </is>
      </c>
      <c r="G231" t="inlineStr">
        <is>
          <t>MARIESTAD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44629</v>
      </c>
      <c r="E232" s="1" t="n">
        <v>46295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44645</v>
      </c>
      <c r="E233" s="1" t="n">
        <v>46295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21361-2026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46142</v>
      </c>
      <c r="E234" s="1" t="n">
        <v>46295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Kyrkan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44638</v>
      </c>
      <c r="E235" s="1" t="n">
        <v>46295</v>
      </c>
      <c r="F235" t="inlineStr">
        <is>
          <t>VÄSTRA GÖTALANDS LÄN</t>
        </is>
      </c>
      <c r="G235" t="inlineStr">
        <is>
          <t>MARIESTAD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22879-2026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46295</v>
      </c>
      <c r="F236" t="inlineStr">
        <is>
          <t>VÄSTRA GÖTALANDS LÄN</t>
        </is>
      </c>
      <c r="G236" t="inlineStr">
        <is>
          <t>MARIESTAD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46295</v>
      </c>
      <c r="F237" t="inlineStr">
        <is>
          <t>VÄSTRA GÖTALANDS LÄN</t>
        </is>
      </c>
      <c r="G237" t="inlineStr">
        <is>
          <t>MARIESTAD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45200</v>
      </c>
      <c r="E238" s="1" t="n">
        <v>46295</v>
      </c>
      <c r="F238" t="inlineStr">
        <is>
          <t>VÄSTRA GÖTALANDS LÄN</t>
        </is>
      </c>
      <c r="G238" t="inlineStr">
        <is>
          <t>MARIESTAD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45691</v>
      </c>
      <c r="E239" s="1" t="n">
        <v>46295</v>
      </c>
      <c r="F239" t="inlineStr">
        <is>
          <t>VÄSTRA GÖTALANDS LÄN</t>
        </is>
      </c>
      <c r="G239" t="inlineStr">
        <is>
          <t>MARIESTAD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46163</v>
      </c>
      <c r="E240" s="1" t="n">
        <v>46295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46295</v>
      </c>
      <c r="F241" t="inlineStr">
        <is>
          <t>VÄSTRA GÖTALANDS LÄN</t>
        </is>
      </c>
      <c r="G241" t="inlineStr">
        <is>
          <t>MARIESTAD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23453-2026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46295</v>
      </c>
      <c r="F242" t="inlineStr">
        <is>
          <t>VÄSTRA GÖTALANDS LÄN</t>
        </is>
      </c>
      <c r="G242" t="inlineStr">
        <is>
          <t>MARIESTAD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46295</v>
      </c>
      <c r="F243" t="inlineStr">
        <is>
          <t>VÄSTRA GÖTALANDS LÄN</t>
        </is>
      </c>
      <c r="G243" t="inlineStr">
        <is>
          <t>MARIESTAD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44574</v>
      </c>
      <c r="E244" s="1" t="n">
        <v>46295</v>
      </c>
      <c r="F244" t="inlineStr">
        <is>
          <t>VÄSTRA GÖTALANDS LÄN</t>
        </is>
      </c>
      <c r="G244" t="inlineStr">
        <is>
          <t>MARIESTAD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46295</v>
      </c>
      <c r="F245" t="inlineStr">
        <is>
          <t>VÄSTRA GÖTALANDS LÄN</t>
        </is>
      </c>
      <c r="G245" t="inlineStr">
        <is>
          <t>MARIESTAD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46295</v>
      </c>
      <c r="F246" t="inlineStr">
        <is>
          <t>VÄSTRA GÖTALANDS LÄN</t>
        </is>
      </c>
      <c r="G246" t="inlineStr">
        <is>
          <t>MARIESTAD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46295</v>
      </c>
      <c r="F247" t="inlineStr">
        <is>
          <t>VÄSTRA GÖTALANDS LÄN</t>
        </is>
      </c>
      <c r="G247" t="inlineStr">
        <is>
          <t>MARIESTAD</t>
        </is>
      </c>
      <c r="I247" t="n">
        <v>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46169</v>
      </c>
      <c r="E248" s="1" t="n">
        <v>46295</v>
      </c>
      <c r="F248" t="inlineStr">
        <is>
          <t>VÄSTRA GÖTALANDS LÄN</t>
        </is>
      </c>
      <c r="G248" t="inlineStr">
        <is>
          <t>MARIESTAD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18962-2025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45764</v>
      </c>
      <c r="E249" s="1" t="n">
        <v>46295</v>
      </c>
      <c r="F249" t="inlineStr">
        <is>
          <t>VÄSTRA GÖTALANDS LÄN</t>
        </is>
      </c>
      <c r="G249" t="inlineStr">
        <is>
          <t>MARIESTAD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58077-2022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44900</v>
      </c>
      <c r="E250" s="1" t="n">
        <v>46295</v>
      </c>
      <c r="F250" t="inlineStr">
        <is>
          <t>VÄSTRA GÖTALANDS LÄN</t>
        </is>
      </c>
      <c r="G250" t="inlineStr">
        <is>
          <t>MARIESTAD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44219-2023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46295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46171</v>
      </c>
      <c r="E252" s="1" t="n">
        <v>46295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24733-2026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46171</v>
      </c>
      <c r="E253" s="1" t="n">
        <v>46295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24735-2026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46171</v>
      </c>
      <c r="E254" s="1" t="n">
        <v>46295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46171</v>
      </c>
      <c r="E255" s="1" t="n">
        <v>46295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44746</v>
      </c>
      <c r="E256" s="1" t="n">
        <v>46295</v>
      </c>
      <c r="F256" t="inlineStr">
        <is>
          <t>VÄSTRA GÖTALANDS LÄN</t>
        </is>
      </c>
      <c r="G256" t="inlineStr">
        <is>
          <t>MARIESTAD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28050-2022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44746</v>
      </c>
      <c r="E257" s="1" t="n">
        <v>46295</v>
      </c>
      <c r="F257" t="inlineStr">
        <is>
          <t>VÄSTRA GÖTALANDS LÄN</t>
        </is>
      </c>
      <c r="G257" t="inlineStr">
        <is>
          <t>MARIESTAD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28056-2022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46295</v>
      </c>
      <c r="F258" t="inlineStr">
        <is>
          <t>VÄSTRA GÖTALANDS LÄN</t>
        </is>
      </c>
      <c r="G258" t="inlineStr">
        <is>
          <t>MARIESTAD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44797</v>
      </c>
      <c r="E259" s="1" t="n">
        <v>46295</v>
      </c>
      <c r="F259" t="inlineStr">
        <is>
          <t>VÄSTRA GÖTALANDS LÄN</t>
        </is>
      </c>
      <c r="G259" t="inlineStr">
        <is>
          <t>MARIESTAD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61603-2023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45265</v>
      </c>
      <c r="E260" s="1" t="n">
        <v>46295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Sveaskog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45761</v>
      </c>
      <c r="E261" s="1" t="n">
        <v>46295</v>
      </c>
      <c r="F261" t="inlineStr">
        <is>
          <t>VÄSTRA GÖTALANDS LÄN</t>
        </is>
      </c>
      <c r="G261" t="inlineStr">
        <is>
          <t>MARIESTAD</t>
        </is>
      </c>
      <c r="I261" t="n">
        <v>11.9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19553-2022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44693</v>
      </c>
      <c r="E262" s="1" t="n">
        <v>46295</v>
      </c>
      <c r="F262" t="inlineStr">
        <is>
          <t>VÄSTRA GÖTALANDS LÄN</t>
        </is>
      </c>
      <c r="G262" t="inlineStr">
        <is>
          <t>MARIESTAD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45324</v>
      </c>
      <c r="E263" s="1" t="n">
        <v>46295</v>
      </c>
      <c r="F263" t="inlineStr">
        <is>
          <t>VÄSTRA GÖTALANDS LÄN</t>
        </is>
      </c>
      <c r="G263" t="inlineStr">
        <is>
          <t>MARIESTAD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26912-2026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46185</v>
      </c>
      <c r="E264" s="1" t="n">
        <v>46295</v>
      </c>
      <c r="F264" t="inlineStr">
        <is>
          <t>VÄSTRA GÖTALANDS LÄN</t>
        </is>
      </c>
      <c r="G264" t="inlineStr">
        <is>
          <t>MARIESTAD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49389-2023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45211</v>
      </c>
      <c r="E265" s="1" t="n">
        <v>46295</v>
      </c>
      <c r="F265" t="inlineStr">
        <is>
          <t>VÄSTRA GÖTALANDS LÄN</t>
        </is>
      </c>
      <c r="G265" t="inlineStr">
        <is>
          <t>MARIESTAD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46295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Sveaskog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46295</v>
      </c>
      <c r="F267" t="inlineStr">
        <is>
          <t>VÄSTRA GÖTALANDS LÄN</t>
        </is>
      </c>
      <c r="G267" t="inlineStr">
        <is>
          <t>MARIESTAD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35581-2023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45135</v>
      </c>
      <c r="E268" s="1" t="n">
        <v>46295</v>
      </c>
      <c r="F268" t="inlineStr">
        <is>
          <t>VÄSTRA GÖTALANDS LÄN</t>
        </is>
      </c>
      <c r="G268" t="inlineStr">
        <is>
          <t>MARIESTAD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45528</v>
      </c>
      <c r="E269" s="1" t="n">
        <v>46295</v>
      </c>
      <c r="F269" t="inlineStr">
        <is>
          <t>VÄSTRA GÖTALANDS LÄN</t>
        </is>
      </c>
      <c r="G269" t="inlineStr">
        <is>
          <t>MARIESTAD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44756</v>
      </c>
      <c r="E270" s="1" t="n">
        <v>46295</v>
      </c>
      <c r="F270" t="inlineStr">
        <is>
          <t>VÄSTRA GÖTALANDS LÄN</t>
        </is>
      </c>
      <c r="G270" t="inlineStr">
        <is>
          <t>MARIESTAD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46295</v>
      </c>
      <c r="F271" t="inlineStr">
        <is>
          <t>VÄSTRA GÖTALANDS LÄN</t>
        </is>
      </c>
      <c r="G271" t="inlineStr">
        <is>
          <t>MARIESTAD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46199</v>
      </c>
      <c r="E272" s="1" t="n">
        <v>46295</v>
      </c>
      <c r="F272" t="inlineStr">
        <is>
          <t>VÄSTRA GÖTALANDS LÄN</t>
        </is>
      </c>
      <c r="G272" t="inlineStr">
        <is>
          <t>MARIESTAD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46199</v>
      </c>
      <c r="E273" s="1" t="n">
        <v>46295</v>
      </c>
      <c r="F273" t="inlineStr">
        <is>
          <t>VÄSTRA GÖTALANDS LÄN</t>
        </is>
      </c>
      <c r="G273" t="inlineStr">
        <is>
          <t>MARIESTAD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46199</v>
      </c>
      <c r="E274" s="1" t="n">
        <v>46295</v>
      </c>
      <c r="F274" t="inlineStr">
        <is>
          <t>VÄSTRA GÖTALANDS LÄN</t>
        </is>
      </c>
      <c r="G274" t="inlineStr">
        <is>
          <t>MARIESTAD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46205</v>
      </c>
      <c r="E275" s="1" t="n">
        <v>46295</v>
      </c>
      <c r="F275" t="inlineStr">
        <is>
          <t>VÄSTRA GÖTALANDS LÄN</t>
        </is>
      </c>
      <c r="G275" t="inlineStr">
        <is>
          <t>MARIESTAD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46295</v>
      </c>
      <c r="F276" t="inlineStr">
        <is>
          <t>VÄSTRA GÖTALANDS LÄN</t>
        </is>
      </c>
      <c r="G276" t="inlineStr">
        <is>
          <t>MARIESTAD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46295</v>
      </c>
      <c r="F277" t="inlineStr">
        <is>
          <t>VÄSTRA GÖTALANDS LÄN</t>
        </is>
      </c>
      <c r="G277" t="inlineStr">
        <is>
          <t>MARIESTAD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44973</v>
      </c>
      <c r="E278" s="1" t="n">
        <v>46295</v>
      </c>
      <c r="F278" t="inlineStr">
        <is>
          <t>VÄSTRA GÖTALANDS LÄN</t>
        </is>
      </c>
      <c r="G278" t="inlineStr">
        <is>
          <t>MARIESTAD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46206</v>
      </c>
      <c r="E279" s="1" t="n">
        <v>46295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48269-2024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45590</v>
      </c>
      <c r="E280" s="1" t="n">
        <v>46295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60376-2021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44496</v>
      </c>
      <c r="E281" s="1" t="n">
        <v>46295</v>
      </c>
      <c r="F281" t="inlineStr">
        <is>
          <t>VÄSTRA GÖTALANDS LÄN</t>
        </is>
      </c>
      <c r="G281" t="inlineStr">
        <is>
          <t>MARIESTAD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46295</v>
      </c>
      <c r="F282" t="inlineStr">
        <is>
          <t>VÄSTRA GÖTALANDS LÄN</t>
        </is>
      </c>
      <c r="G282" t="inlineStr">
        <is>
          <t>MARIESTAD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46295</v>
      </c>
      <c r="F283" t="inlineStr">
        <is>
          <t>VÄSTRA GÖTALANDS LÄN</t>
        </is>
      </c>
      <c r="G283" t="inlineStr">
        <is>
          <t>MARIESTAD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47777-2023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45203</v>
      </c>
      <c r="E284" s="1" t="n">
        <v>46295</v>
      </c>
      <c r="F284" t="inlineStr">
        <is>
          <t>VÄSTRA GÖTALANDS LÄN</t>
        </is>
      </c>
      <c r="G284" t="inlineStr">
        <is>
          <t>MARIESTAD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44572</v>
      </c>
      <c r="E285" s="1" t="n">
        <v>46295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Naturvårdsverket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44617</v>
      </c>
      <c r="E286" s="1" t="n">
        <v>46295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Kyrkan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44930</v>
      </c>
      <c r="E287" s="1" t="n">
        <v>46295</v>
      </c>
      <c r="F287" t="inlineStr">
        <is>
          <t>VÄSTRA GÖTALANDS LÄN</t>
        </is>
      </c>
      <c r="G287" t="inlineStr">
        <is>
          <t>MARIESTAD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44816</v>
      </c>
      <c r="E288" s="1" t="n">
        <v>46295</v>
      </c>
      <c r="F288" t="inlineStr">
        <is>
          <t>VÄSTRA GÖTALANDS LÄN</t>
        </is>
      </c>
      <c r="G288" t="inlineStr">
        <is>
          <t>MARIESTAD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44937</v>
      </c>
      <c r="E289" s="1" t="n">
        <v>46295</v>
      </c>
      <c r="F289" t="inlineStr">
        <is>
          <t>VÄSTRA GÖTALANDS LÄN</t>
        </is>
      </c>
      <c r="G289" t="inlineStr">
        <is>
          <t>MARIESTAD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2391-2025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45674</v>
      </c>
      <c r="E290" s="1" t="n">
        <v>46295</v>
      </c>
      <c r="F290" t="inlineStr">
        <is>
          <t>VÄSTRA GÖTALANDS LÄN</t>
        </is>
      </c>
      <c r="G290" t="inlineStr">
        <is>
          <t>MARIESTAD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46295</v>
      </c>
      <c r="F291" t="inlineStr">
        <is>
          <t>VÄSTRA GÖTALANDS LÄN</t>
        </is>
      </c>
      <c r="G291" t="inlineStr">
        <is>
          <t>MARIESTAD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45114</v>
      </c>
      <c r="E292" s="1" t="n">
        <v>46295</v>
      </c>
      <c r="F292" t="inlineStr">
        <is>
          <t>VÄSTRA GÖTALANDS LÄN</t>
        </is>
      </c>
      <c r="G292" t="inlineStr">
        <is>
          <t>MARIESTAD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45705</v>
      </c>
      <c r="E293" s="1" t="n">
        <v>46295</v>
      </c>
      <c r="F293" t="inlineStr">
        <is>
          <t>VÄSTRA GÖTALANDS LÄN</t>
        </is>
      </c>
      <c r="G293" t="inlineStr">
        <is>
          <t>MARIESTAD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61716-2022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44917</v>
      </c>
      <c r="E294" s="1" t="n">
        <v>46295</v>
      </c>
      <c r="F294" t="inlineStr">
        <is>
          <t>VÄSTRA GÖTALANDS LÄN</t>
        </is>
      </c>
      <c r="G294" t="inlineStr">
        <is>
          <t>MARIESTAD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40651-2024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45558</v>
      </c>
      <c r="E295" s="1" t="n">
        <v>46295</v>
      </c>
      <c r="F295" t="inlineStr">
        <is>
          <t>VÄSTRA GÖTALANDS LÄN</t>
        </is>
      </c>
      <c r="G295" t="inlineStr">
        <is>
          <t>MARIESTAD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45639</v>
      </c>
      <c r="E296" s="1" t="n">
        <v>46295</v>
      </c>
      <c r="F296" t="inlineStr">
        <is>
          <t>VÄSTRA GÖTALANDS LÄN</t>
        </is>
      </c>
      <c r="G296" t="inlineStr">
        <is>
          <t>MARIESTAD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10192-2022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44622</v>
      </c>
      <c r="E297" s="1" t="n">
        <v>46295</v>
      </c>
      <c r="F297" t="inlineStr">
        <is>
          <t>VÄSTRA GÖTALANDS LÄN</t>
        </is>
      </c>
      <c r="G297" t="inlineStr">
        <is>
          <t>MARIESTAD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46261</v>
      </c>
      <c r="E298" s="1" t="n">
        <v>46295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Sveaskog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35283-2026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46261</v>
      </c>
      <c r="E299" s="1" t="n">
        <v>46295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46295</v>
      </c>
      <c r="F300" t="inlineStr">
        <is>
          <t>VÄSTRA GÖTALANDS LÄN</t>
        </is>
      </c>
      <c r="G300" t="inlineStr">
        <is>
          <t>MARIESTAD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9410-2022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44616</v>
      </c>
      <c r="E301" s="1" t="n">
        <v>46295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Kyrkan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45324</v>
      </c>
      <c r="E302" s="1" t="n">
        <v>46295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35431-2026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46262</v>
      </c>
      <c r="E303" s="1" t="n">
        <v>46295</v>
      </c>
      <c r="F303" t="inlineStr">
        <is>
          <t>VÄSTRA GÖTALANDS LÄN</t>
        </is>
      </c>
      <c r="G303" t="inlineStr">
        <is>
          <t>MARIESTAD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46262</v>
      </c>
      <c r="E304" s="1" t="n">
        <v>46295</v>
      </c>
      <c r="F304" t="inlineStr">
        <is>
          <t>VÄSTRA GÖTALANDS LÄN</t>
        </is>
      </c>
      <c r="G304" t="inlineStr">
        <is>
          <t>MARIESTAD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45530</v>
      </c>
      <c r="E305" s="1" t="n">
        <v>46295</v>
      </c>
      <c r="F305" t="inlineStr">
        <is>
          <t>VÄSTRA GÖTALANDS LÄN</t>
        </is>
      </c>
      <c r="G305" t="inlineStr">
        <is>
          <t>MARIESTAD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44536</v>
      </c>
      <c r="E306" s="1" t="n">
        <v>46295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46295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44981</v>
      </c>
      <c r="E308" s="1" t="n">
        <v>46295</v>
      </c>
      <c r="F308" t="inlineStr">
        <is>
          <t>VÄSTRA GÖTALANDS LÄN</t>
        </is>
      </c>
      <c r="G308" t="inlineStr">
        <is>
          <t>MARIESTAD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46295</v>
      </c>
      <c r="F309" t="inlineStr">
        <is>
          <t>VÄSTRA GÖTALANDS LÄN</t>
        </is>
      </c>
      <c r="G309" t="inlineStr">
        <is>
          <t>MARIESTAD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46295</v>
      </c>
      <c r="F310" t="inlineStr">
        <is>
          <t>VÄSTRA GÖTALANDS LÄN</t>
        </is>
      </c>
      <c r="G310" t="inlineStr">
        <is>
          <t>MARIESTAD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46295</v>
      </c>
      <c r="F311" t="inlineStr">
        <is>
          <t>VÄSTRA GÖTALANDS LÄN</t>
        </is>
      </c>
      <c r="G311" t="inlineStr">
        <is>
          <t>MARIESTAD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46295</v>
      </c>
      <c r="F312" t="inlineStr">
        <is>
          <t>VÄSTRA GÖTALANDS LÄN</t>
        </is>
      </c>
      <c r="G312" t="inlineStr">
        <is>
          <t>MARIESTAD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46295</v>
      </c>
      <c r="F313" t="inlineStr">
        <is>
          <t>VÄSTRA GÖTALANDS LÄN</t>
        </is>
      </c>
      <c r="G313" t="inlineStr">
        <is>
          <t>MARIESTAD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46295</v>
      </c>
      <c r="F314" t="inlineStr">
        <is>
          <t>VÄSTRA GÖTALANDS LÄN</t>
        </is>
      </c>
      <c r="G314" t="inlineStr">
        <is>
          <t>MARIESTAD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44843</v>
      </c>
      <c r="E315" s="1" t="n">
        <v>46295</v>
      </c>
      <c r="F315" t="inlineStr">
        <is>
          <t>VÄSTRA GÖTALANDS LÄN</t>
        </is>
      </c>
      <c r="G315" t="inlineStr">
        <is>
          <t>MARIESTAD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46295</v>
      </c>
      <c r="F316" t="inlineStr">
        <is>
          <t>VÄSTRA GÖTALANDS LÄN</t>
        </is>
      </c>
      <c r="G316" t="inlineStr">
        <is>
          <t>MARIESTAD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45371</v>
      </c>
      <c r="E317" s="1" t="n">
        <v>46295</v>
      </c>
      <c r="F317" t="inlineStr">
        <is>
          <t>VÄSTRA GÖTALANDS LÄN</t>
        </is>
      </c>
      <c r="G317" t="inlineStr">
        <is>
          <t>MARIESTAD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46295</v>
      </c>
      <c r="F318" t="inlineStr">
        <is>
          <t>VÄSTRA GÖTALANDS LÄN</t>
        </is>
      </c>
      <c r="G318" t="inlineStr">
        <is>
          <t>MARIESTAD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45590</v>
      </c>
      <c r="E319" s="1" t="n">
        <v>46295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Kyrkan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56344-2022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44890</v>
      </c>
      <c r="E320" s="1" t="n">
        <v>46295</v>
      </c>
      <c r="F320" t="inlineStr">
        <is>
          <t>VÄSTRA GÖTALANDS LÄN</t>
        </is>
      </c>
      <c r="G320" t="inlineStr">
        <is>
          <t>MARIESTAD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22236-2023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45070</v>
      </c>
      <c r="E321" s="1" t="n">
        <v>46295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65197-2023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45289</v>
      </c>
      <c r="E322" s="1" t="n">
        <v>46295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46295</v>
      </c>
      <c r="F323" t="inlineStr">
        <is>
          <t>VÄSTRA GÖTALANDS LÄN</t>
        </is>
      </c>
      <c r="G323" t="inlineStr">
        <is>
          <t>MARIESTAD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31384-2022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44774</v>
      </c>
      <c r="E324" s="1" t="n">
        <v>46295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44756</v>
      </c>
      <c r="E325" s="1" t="n">
        <v>46295</v>
      </c>
      <c r="F325" t="inlineStr">
        <is>
          <t>VÄSTRA GÖTALANDS LÄN</t>
        </is>
      </c>
      <c r="G325" t="inlineStr">
        <is>
          <t>MARIESTAD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46295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46295</v>
      </c>
      <c r="F327" t="inlineStr">
        <is>
          <t>VÄSTRA GÖTALANDS LÄN</t>
        </is>
      </c>
      <c r="G327" t="inlineStr">
        <is>
          <t>MARIESTAD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44957</v>
      </c>
      <c r="E328" s="1" t="n">
        <v>46295</v>
      </c>
      <c r="F328" t="inlineStr">
        <is>
          <t>VÄSTRA GÖTALANDS LÄN</t>
        </is>
      </c>
      <c r="G328" t="inlineStr">
        <is>
          <t>MARIESTAD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46295</v>
      </c>
      <c r="F329" t="inlineStr">
        <is>
          <t>VÄSTRA GÖTALANDS LÄN</t>
        </is>
      </c>
      <c r="G329" t="inlineStr">
        <is>
          <t>MARIESTAD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46288</v>
      </c>
      <c r="E330" s="1" t="n">
        <v>46295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39271-2026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46288</v>
      </c>
      <c r="E331" s="1" t="n">
        <v>46295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39259-2026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46288</v>
      </c>
      <c r="E332" s="1" t="n">
        <v>46295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39264-2026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46288</v>
      </c>
      <c r="E333" s="1" t="n">
        <v>46295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39286-2026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46288</v>
      </c>
      <c r="E334" s="1" t="n">
        <v>46295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10842-2025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45722</v>
      </c>
      <c r="E335" s="1" t="n">
        <v>46295</v>
      </c>
      <c r="F335" t="inlineStr">
        <is>
          <t>VÄSTRA GÖTALANDS LÄN</t>
        </is>
      </c>
      <c r="G335" t="inlineStr">
        <is>
          <t>MARIESTAD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45702</v>
      </c>
      <c r="E336" s="1" t="n">
        <v>46295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46295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62656-2023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45271</v>
      </c>
      <c r="E338" s="1" t="n">
        <v>46295</v>
      </c>
      <c r="F338" t="inlineStr">
        <is>
          <t>VÄSTRA GÖTALANDS LÄN</t>
        </is>
      </c>
      <c r="G338" t="inlineStr">
        <is>
          <t>MARIESTAD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46288</v>
      </c>
      <c r="E339" s="1" t="n">
        <v>46295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45524</v>
      </c>
      <c r="E340" s="1" t="n">
        <v>46295</v>
      </c>
      <c r="F340" t="inlineStr">
        <is>
          <t>VÄSTRA GÖTALANDS LÄN</t>
        </is>
      </c>
      <c r="G340" t="inlineStr">
        <is>
          <t>MARIESTAD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12767-2024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45384</v>
      </c>
      <c r="E341" s="1" t="n">
        <v>46295</v>
      </c>
      <c r="F341" t="inlineStr">
        <is>
          <t>VÄSTRA GÖTALANDS LÄN</t>
        </is>
      </c>
      <c r="G341" t="inlineStr">
        <is>
          <t>MARIESTAD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46295</v>
      </c>
      <c r="F342" t="inlineStr">
        <is>
          <t>VÄSTRA GÖTALANDS LÄN</t>
        </is>
      </c>
      <c r="G342" t="inlineStr">
        <is>
          <t>MARIESTAD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45684</v>
      </c>
      <c r="E343" s="1" t="n">
        <v>46295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Kyrkan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46289</v>
      </c>
      <c r="E344" s="1" t="n">
        <v>46295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Kyrkan</t>
        </is>
      </c>
      <c r="I344" t="n">
        <v>8.9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32796-2024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45516</v>
      </c>
      <c r="E345" s="1" t="n">
        <v>46295</v>
      </c>
      <c r="F345" t="inlineStr">
        <is>
          <t>VÄSTRA GÖTALANDS LÄN</t>
        </is>
      </c>
      <c r="G345" t="inlineStr">
        <is>
          <t>MARIESTAD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38376-2024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45545</v>
      </c>
      <c r="E346" s="1" t="n">
        <v>46295</v>
      </c>
      <c r="F346" t="inlineStr">
        <is>
          <t>VÄSTRA GÖTALANDS LÄN</t>
        </is>
      </c>
      <c r="G346" t="inlineStr">
        <is>
          <t>MARIESTAD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39929-2026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46295</v>
      </c>
      <c r="F347" t="inlineStr">
        <is>
          <t>VÄSTRA GÖTALANDS LÄN</t>
        </is>
      </c>
      <c r="G347" t="inlineStr">
        <is>
          <t>MARIESTAD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46293</v>
      </c>
      <c r="E348" s="1" t="n">
        <v>46295</v>
      </c>
      <c r="F348" t="inlineStr">
        <is>
          <t>VÄSTRA GÖTALANDS LÄN</t>
        </is>
      </c>
      <c r="G348" t="inlineStr">
        <is>
          <t>MARIESTAD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45307</v>
      </c>
      <c r="E349" s="1" t="n">
        <v>46295</v>
      </c>
      <c r="F349" t="inlineStr">
        <is>
          <t>VÄSTRA GÖTALANDS LÄN</t>
        </is>
      </c>
      <c r="G349" t="inlineStr">
        <is>
          <t>MARIESTAD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48324-2024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45590</v>
      </c>
      <c r="E350" s="1" t="n">
        <v>46295</v>
      </c>
      <c r="F350" t="inlineStr">
        <is>
          <t>VÄSTRA GÖTALANDS LÄN</t>
        </is>
      </c>
      <c r="G350" t="inlineStr">
        <is>
          <t>MARIESTAD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22975-2025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45790</v>
      </c>
      <c r="E351" s="1" t="n">
        <v>46295</v>
      </c>
      <c r="F351" t="inlineStr">
        <is>
          <t>VÄSTRA GÖTALANDS LÄN</t>
        </is>
      </c>
      <c r="G351" t="inlineStr">
        <is>
          <t>MARIESTAD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4868-2024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45618</v>
      </c>
      <c r="E352" s="1" t="n">
        <v>46295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1204-2025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45757</v>
      </c>
      <c r="E353" s="1" t="n">
        <v>46295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>
      <c r="A354" t="inlineStr">
        <is>
          <t>S 359-2026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46064</v>
      </c>
      <c r="E354" s="1" t="n">
        <v>46295</v>
      </c>
      <c r="F354" t="inlineStr">
        <is>
          <t>VÄSTRA GÖTALANDS LÄN</t>
        </is>
      </c>
      <c r="G354" t="inlineStr">
        <is>
          <t>MARIESTAD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2026-09-30T01:58:12Z</dcterms:created>
  <dcterms:modified xmlns:dcterms="http://purl.org/dc/terms/" xmlns:xsi="http://www.w3.org/2001/XMLSchema-instance" xsi:type="dcterms:W3CDTF">2026-09-30T01:58:12Z</dcterms:modified>
</cp:coreProperties>
</file>