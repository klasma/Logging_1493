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46305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46305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46305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46305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46305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46305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46305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46305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5162-2024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45330</v>
      </c>
      <c r="E13" s="1" t="n">
        <v>46305</v>
      </c>
      <c r="F13" t="inlineStr">
        <is>
          <t>VÄSTRA GÖTALANDS LÄN</t>
        </is>
      </c>
      <c r="G13" t="inlineStr">
        <is>
          <t>MARIESTAD</t>
        </is>
      </c>
      <c r="I13" t="n">
        <v>0.5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Större brunfladdermus
Revlummer</t>
        </is>
      </c>
      <c r="W13">
        <f>HYPERLINK("https://klasma.github.io/Logging_1493/artfynd/A 5162-2024 artfynd.xlsx", "A 5162-2024")</f>
        <v/>
      </c>
      <c r="X13">
        <f>HYPERLINK("https://klasma.github.io/Logging_1493/kartor/A 5162-2024 karta.png", "A 5162-2024")</f>
        <v/>
      </c>
      <c r="Y13">
        <f>HYPERLINK("https://klasma.github.io/Logging_1493/kartor_geotiff/A 5162-2024 georefererad karta.tif", "A 5162-2024")</f>
        <v/>
      </c>
      <c r="AA13">
        <f>HYPERLINK("https://klasma.github.io/Logging_1493/klagomål/A 5162-2024 FSC-klagomål.docx", "A 5162-2024")</f>
        <v/>
      </c>
      <c r="AB13">
        <f>HYPERLINK("https://klasma.github.io/Logging_1493/klagomålsmail/A 5162-2024 FSC-klagomål mail.docx", "A 5162-2024")</f>
        <v/>
      </c>
      <c r="AC13">
        <f>HYPERLINK("https://klasma.github.io/Logging_1493/tillsyn/A 5162-2024 tillsynsbegäran.docx", "A 5162-2024")</f>
        <v/>
      </c>
      <c r="AD13">
        <f>HYPERLINK("https://klasma.github.io/Logging_1493/tillsynsmail/A 5162-2024 tillsynsbegäran mail.docx", "A 5162-2024")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46305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46305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46305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46305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46305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46305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46305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46305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46305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46305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42647-2023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46305</v>
      </c>
      <c r="F24" t="inlineStr">
        <is>
          <t>VÄSTRA GÖTALANDS LÄN</t>
        </is>
      </c>
      <c r="G24" t="inlineStr">
        <is>
          <t>MARIESTAD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HYPERLINK("https://klasma.github.io/Logging_1493/artfynd/A 42647-2023 artfynd.xlsx", "A 42647-2023")</f>
        <v/>
      </c>
      <c r="X24">
        <f>HYPERLINK("https://klasma.github.io/Logging_1493/kartor/A 42647-2023 karta.png", "A 42647-2023")</f>
        <v/>
      </c>
      <c r="Y24">
        <f>HYPERLINK("https://klasma.github.io/Logging_1493/kartor_geotiff/A 42647-2023 georefererad karta.tif", "A 42647-2023")</f>
        <v/>
      </c>
      <c r="AA24">
        <f>HYPERLINK("https://klasma.github.io/Logging_1493/klagomål/A 42647-2023 FSC-klagomål.docx", "A 42647-2023")</f>
        <v/>
      </c>
      <c r="AB24">
        <f>HYPERLINK("https://klasma.github.io/Logging_1493/klagomålsmail/A 42647-2023 FSC-klagomål mail.docx", "A 42647-2023")</f>
        <v/>
      </c>
      <c r="AC24">
        <f>HYPERLINK("https://klasma.github.io/Logging_1493/tillsyn/A 42647-2023 tillsynsbegäran.docx", "A 42647-2023")</f>
        <v/>
      </c>
      <c r="AD24">
        <f>HYPERLINK("https://klasma.github.io/Logging_1493/tillsynsmail/A 42647-2023 tillsynsbegäran mail.docx", "A 42647-2023")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46305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46305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46305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46305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38580-2023 artfynd.xlsx", "A 38580-2023")</f>
        <v/>
      </c>
      <c r="X28">
        <f>HYPERLINK("https://klasma.github.io/Logging_1493/kartor/A 38580-2023 karta.png", "A 38580-2023")</f>
        <v/>
      </c>
      <c r="Y28">
        <f>HYPERLINK("https://klasma.github.io/Logging_1493/kartor_geotiff/A 38580-2023 georefererad karta.tif", "A 38580-2023")</f>
        <v/>
      </c>
      <c r="AA28">
        <f>HYPERLINK("https://klasma.github.io/Logging_1493/klagomål/A 38580-2023 FSC-klagomål.docx", "A 38580-2023")</f>
        <v/>
      </c>
      <c r="AB28">
        <f>HYPERLINK("https://klasma.github.io/Logging_1493/klagomålsmail/A 38580-2023 FSC-klagomål mail.docx", "A 38580-2023")</f>
        <v/>
      </c>
      <c r="AC28">
        <f>HYPERLINK("https://klasma.github.io/Logging_1493/tillsyn/A 38580-2023 tillsynsbegäran.docx", "A 38580-2023")</f>
        <v/>
      </c>
      <c r="AD28">
        <f>HYPERLINK("https://klasma.github.io/Logging_1493/tillsynsmail/A 38580-2023 tillsynsbegäran mail.docx", "A 38580-2023")</f>
        <v/>
      </c>
    </row>
    <row r="29" ht="15" customHeight="1">
      <c r="A29" t="inlineStr">
        <is>
          <t>A 29151-2025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46305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HYPERLINK("https://klasma.github.io/Logging_1493/artfynd/A 29151-2025 artfynd.xlsx", "A 29151-2025")</f>
        <v/>
      </c>
      <c r="X29">
        <f>HYPERLINK("https://klasma.github.io/Logging_1493/kartor/A 29151-2025 karta.png", "A 29151-2025")</f>
        <v/>
      </c>
      <c r="Y29">
        <f>HYPERLINK("https://klasma.github.io/Logging_1493/kartor_geotiff/A 29151-2025 georefererad karta.tif", "A 29151-2025")</f>
        <v/>
      </c>
      <c r="AA29">
        <f>HYPERLINK("https://klasma.github.io/Logging_1493/klagomål/A 29151-2025 FSC-klagomål.docx", "A 29151-2025")</f>
        <v/>
      </c>
      <c r="AB29">
        <f>HYPERLINK("https://klasma.github.io/Logging_1493/klagomålsmail/A 29151-2025 FSC-klagomål mail.docx", "A 29151-2025")</f>
        <v/>
      </c>
      <c r="AC29">
        <f>HYPERLINK("https://klasma.github.io/Logging_1493/tillsyn/A 29151-2025 tillsynsbegäran.docx", "A 29151-2025")</f>
        <v/>
      </c>
      <c r="AD29">
        <f>HYPERLINK("https://klasma.github.io/Logging_1493/tillsynsmail/A 29151-2025 tillsynsbegäran mail.docx", "A 29151-2025")</f>
        <v/>
      </c>
    </row>
    <row r="30" ht="15" customHeight="1">
      <c r="A30" t="inlineStr">
        <is>
          <t>A 29152-2025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46305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HYPERLINK("https://klasma.github.io/Logging_1493/artfynd/A 29152-2025 artfynd.xlsx", "A 29152-2025")</f>
        <v/>
      </c>
      <c r="X30">
        <f>HYPERLINK("https://klasma.github.io/Logging_1493/kartor/A 29152-2025 karta.png", "A 29152-2025")</f>
        <v/>
      </c>
      <c r="Y30">
        <f>HYPERLINK("https://klasma.github.io/Logging_1493/kartor_geotiff/A 29152-2025 georefererad karta.tif", "A 29152-2025")</f>
        <v/>
      </c>
      <c r="AA30">
        <f>HYPERLINK("https://klasma.github.io/Logging_1493/klagomål/A 29152-2025 FSC-klagomål.docx", "A 29152-2025")</f>
        <v/>
      </c>
      <c r="AB30">
        <f>HYPERLINK("https://klasma.github.io/Logging_1493/klagomålsmail/A 29152-2025 FSC-klagomål mail.docx", "A 29152-2025")</f>
        <v/>
      </c>
      <c r="AC30">
        <f>HYPERLINK("https://klasma.github.io/Logging_1493/tillsyn/A 29152-2025 tillsynsbegäran.docx", "A 29152-2025")</f>
        <v/>
      </c>
      <c r="AD30">
        <f>HYPERLINK("https://klasma.github.io/Logging_1493/tillsynsmail/A 29152-2025 tillsynsbegäran mail.docx", "A 29152-2025")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46305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46305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46305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46305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46305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46305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46305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46305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46305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46305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46305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46305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46305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46305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46305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46305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46305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46305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46305</v>
      </c>
      <c r="F49" t="inlineStr">
        <is>
          <t>VÄSTRA GÖTALANDS LÄN</t>
        </is>
      </c>
      <c r="G49" t="inlineStr">
        <is>
          <t>MARIESTAD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67146-2021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46305</v>
      </c>
      <c r="F50" t="inlineStr">
        <is>
          <t>VÄSTRA GÖTALANDS LÄN</t>
        </is>
      </c>
      <c r="G50" t="inlineStr">
        <is>
          <t>MARIESTAD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46305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46305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46305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46305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46305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46305</v>
      </c>
      <c r="F56" t="inlineStr">
        <is>
          <t>VÄSTRA GÖTALANDS LÄN</t>
        </is>
      </c>
      <c r="G56" t="inlineStr">
        <is>
          <t>MARIESTAD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46305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46305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19544-2022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44693</v>
      </c>
      <c r="E59" s="1" t="n">
        <v>46305</v>
      </c>
      <c r="F59" t="inlineStr">
        <is>
          <t>VÄSTRA GÖTALANDS LÄN</t>
        </is>
      </c>
      <c r="G59" t="inlineStr">
        <is>
          <t>MARIESTAD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46305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46305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46305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45412</v>
      </c>
      <c r="E63" s="1" t="n">
        <v>46305</v>
      </c>
      <c r="F63" t="inlineStr">
        <is>
          <t>VÄSTRA GÖTALANDS LÄN</t>
        </is>
      </c>
      <c r="G63" t="inlineStr">
        <is>
          <t>MARIESTAD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45412</v>
      </c>
      <c r="E64" s="1" t="n">
        <v>46305</v>
      </c>
      <c r="F64" t="inlineStr">
        <is>
          <t>VÄSTRA GÖTALANDS LÄN</t>
        </is>
      </c>
      <c r="G64" t="inlineStr">
        <is>
          <t>MARIESTAD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46305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46305</v>
      </c>
      <c r="F66" t="inlineStr">
        <is>
          <t>VÄSTRA GÖTALANDS LÄN</t>
        </is>
      </c>
      <c r="G66" t="inlineStr">
        <is>
          <t>MARIESTAD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46305</v>
      </c>
      <c r="F67" t="inlineStr">
        <is>
          <t>VÄSTRA GÖTALANDS LÄN</t>
        </is>
      </c>
      <c r="G67" t="inlineStr">
        <is>
          <t>MARIESTAD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46305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46305</v>
      </c>
      <c r="F69" t="inlineStr">
        <is>
          <t>VÄSTRA GÖTALANDS LÄN</t>
        </is>
      </c>
      <c r="G69" t="inlineStr">
        <is>
          <t>MARIESTAD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46305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46305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Kyrkan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46305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46305</v>
      </c>
      <c r="F73" t="inlineStr">
        <is>
          <t>VÄSTRA GÖTALANDS LÄN</t>
        </is>
      </c>
      <c r="G73" t="inlineStr">
        <is>
          <t>MARIESTAD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46305</v>
      </c>
      <c r="F74" t="inlineStr">
        <is>
          <t>VÄSTRA GÖTALANDS LÄN</t>
        </is>
      </c>
      <c r="G74" t="inlineStr">
        <is>
          <t>MARIESTAD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44836</v>
      </c>
      <c r="E75" s="1" t="n">
        <v>46305</v>
      </c>
      <c r="F75" t="inlineStr">
        <is>
          <t>VÄSTRA GÖTALANDS LÄN</t>
        </is>
      </c>
      <c r="G75" t="inlineStr">
        <is>
          <t>MARIESTAD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46305</v>
      </c>
      <c r="F76" t="inlineStr">
        <is>
          <t>VÄSTRA GÖTALANDS LÄN</t>
        </is>
      </c>
      <c r="G76" t="inlineStr">
        <is>
          <t>MARIESTAD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46305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46305</v>
      </c>
      <c r="F78" t="inlineStr">
        <is>
          <t>VÄSTRA GÖTALANDS LÄN</t>
        </is>
      </c>
      <c r="G78" t="inlineStr">
        <is>
          <t>MARIESTAD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46305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46305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46305</v>
      </c>
      <c r="F81" t="inlineStr">
        <is>
          <t>VÄSTRA GÖTALANDS LÄN</t>
        </is>
      </c>
      <c r="G81" t="inlineStr">
        <is>
          <t>MARIESTAD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46305</v>
      </c>
      <c r="F82" t="inlineStr">
        <is>
          <t>VÄSTRA GÖTALANDS LÄN</t>
        </is>
      </c>
      <c r="G82" t="inlineStr">
        <is>
          <t>MARIESTAD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46305</v>
      </c>
      <c r="F83" t="inlineStr">
        <is>
          <t>VÄSTRA GÖTALANDS LÄN</t>
        </is>
      </c>
      <c r="G83" t="inlineStr">
        <is>
          <t>MARIESTAD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46305</v>
      </c>
      <c r="F84" t="inlineStr">
        <is>
          <t>VÄSTRA GÖTALANDS LÄN</t>
        </is>
      </c>
      <c r="G84" t="inlineStr">
        <is>
          <t>MARIESTAD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46305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45343</v>
      </c>
      <c r="E86" s="1" t="n">
        <v>46305</v>
      </c>
      <c r="F86" t="inlineStr">
        <is>
          <t>VÄSTRA GÖTALANDS LÄN</t>
        </is>
      </c>
      <c r="G86" t="inlineStr">
        <is>
          <t>MARIESTAD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46305</v>
      </c>
      <c r="F87" t="inlineStr">
        <is>
          <t>VÄSTRA GÖTALANDS LÄN</t>
        </is>
      </c>
      <c r="G87" t="inlineStr">
        <is>
          <t>MARIESTAD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46305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46305</v>
      </c>
      <c r="F89" t="inlineStr">
        <is>
          <t>VÄSTRA GÖTALANDS LÄN</t>
        </is>
      </c>
      <c r="G89" t="inlineStr">
        <is>
          <t>MARIESTAD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44553</v>
      </c>
      <c r="E90" s="1" t="n">
        <v>46305</v>
      </c>
      <c r="F90" t="inlineStr">
        <is>
          <t>VÄSTRA GÖTALANDS LÄN</t>
        </is>
      </c>
      <c r="G90" t="inlineStr">
        <is>
          <t>MARIESTAD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45131</v>
      </c>
      <c r="E91" s="1" t="n">
        <v>46305</v>
      </c>
      <c r="F91" t="inlineStr">
        <is>
          <t>VÄSTRA GÖTALANDS LÄN</t>
        </is>
      </c>
      <c r="G91" t="inlineStr">
        <is>
          <t>MARIESTAD</t>
        </is>
      </c>
      <c r="I91" t="n">
        <v>16.1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46305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46305</v>
      </c>
      <c r="F93" t="inlineStr">
        <is>
          <t>VÄSTRA GÖTALANDS LÄN</t>
        </is>
      </c>
      <c r="G93" t="inlineStr">
        <is>
          <t>MARIESTAD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46305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44935</v>
      </c>
      <c r="E95" s="1" t="n">
        <v>46305</v>
      </c>
      <c r="F95" t="inlineStr">
        <is>
          <t>VÄSTRA GÖTALANDS LÄN</t>
        </is>
      </c>
      <c r="G95" t="inlineStr">
        <is>
          <t>MARIESTAD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45371</v>
      </c>
      <c r="E96" s="1" t="n">
        <v>46305</v>
      </c>
      <c r="F96" t="inlineStr">
        <is>
          <t>VÄSTRA GÖTALANDS LÄN</t>
        </is>
      </c>
      <c r="G96" t="inlineStr">
        <is>
          <t>MARIESTAD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46305</v>
      </c>
      <c r="F97" t="inlineStr">
        <is>
          <t>VÄSTRA GÖTALANDS LÄN</t>
        </is>
      </c>
      <c r="G97" t="inlineStr">
        <is>
          <t>MARIESTAD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46305</v>
      </c>
      <c r="F98" t="inlineStr">
        <is>
          <t>VÄSTRA GÖTALANDS LÄN</t>
        </is>
      </c>
      <c r="G98" t="inlineStr">
        <is>
          <t>MARIESTAD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46305</v>
      </c>
      <c r="F99" t="inlineStr">
        <is>
          <t>VÄSTRA GÖTALANDS LÄN</t>
        </is>
      </c>
      <c r="G99" t="inlineStr">
        <is>
          <t>MARIESTAD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46305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46305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46305</v>
      </c>
      <c r="F102" t="inlineStr">
        <is>
          <t>VÄSTRA GÖTALANDS LÄN</t>
        </is>
      </c>
      <c r="G102" t="inlineStr">
        <is>
          <t>MARIESTAD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45070</v>
      </c>
      <c r="E103" s="1" t="n">
        <v>46305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65197-2023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45289</v>
      </c>
      <c r="E104" s="1" t="n">
        <v>46305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46305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46305</v>
      </c>
      <c r="F106" t="inlineStr">
        <is>
          <t>VÄSTRA GÖTALANDS LÄN</t>
        </is>
      </c>
      <c r="G106" t="inlineStr">
        <is>
          <t>MARIESTAD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61601-2023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45265</v>
      </c>
      <c r="E107" s="1" t="n">
        <v>46305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46305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46305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46305</v>
      </c>
      <c r="F110" t="inlineStr">
        <is>
          <t>VÄSTRA GÖTALANDS LÄN</t>
        </is>
      </c>
      <c r="G110" t="inlineStr">
        <is>
          <t>MARIESTAD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46305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46305</v>
      </c>
      <c r="F112" t="inlineStr">
        <is>
          <t>VÄSTRA GÖTALANDS LÄN</t>
        </is>
      </c>
      <c r="G112" t="inlineStr">
        <is>
          <t>MARIESTAD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58598-2021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46305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46305</v>
      </c>
      <c r="F114" t="inlineStr">
        <is>
          <t>VÄSTRA GÖTALANDS LÄN</t>
        </is>
      </c>
      <c r="G114" t="inlineStr">
        <is>
          <t>MARIESTAD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46305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46305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46305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46305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46305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46305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46305</v>
      </c>
      <c r="F121" t="inlineStr">
        <is>
          <t>VÄSTRA GÖTALANDS LÄN</t>
        </is>
      </c>
      <c r="G121" t="inlineStr">
        <is>
          <t>MARIESTAD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46305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45412</v>
      </c>
      <c r="E123" s="1" t="n">
        <v>46305</v>
      </c>
      <c r="F123" t="inlineStr">
        <is>
          <t>VÄSTRA GÖTALANDS LÄN</t>
        </is>
      </c>
      <c r="G123" t="inlineStr">
        <is>
          <t>MARIESTAD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46305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45397</v>
      </c>
      <c r="E125" s="1" t="n">
        <v>46305</v>
      </c>
      <c r="F125" t="inlineStr">
        <is>
          <t>VÄSTRA GÖTALANDS LÄN</t>
        </is>
      </c>
      <c r="G125" t="inlineStr">
        <is>
          <t>MARIESTAD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66771-2021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44521</v>
      </c>
      <c r="E126" s="1" t="n">
        <v>46305</v>
      </c>
      <c r="F126" t="inlineStr">
        <is>
          <t>VÄSTRA GÖTALANDS LÄN</t>
        </is>
      </c>
      <c r="G126" t="inlineStr">
        <is>
          <t>MARIESTAD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46305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46305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45722</v>
      </c>
      <c r="E129" s="1" t="n">
        <v>46305</v>
      </c>
      <c r="F129" t="inlineStr">
        <is>
          <t>VÄSTRA GÖTALANDS LÄN</t>
        </is>
      </c>
      <c r="G129" t="inlineStr">
        <is>
          <t>MARIESTAD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46305</v>
      </c>
      <c r="F130" t="inlineStr">
        <is>
          <t>VÄSTRA GÖTALANDS LÄN</t>
        </is>
      </c>
      <c r="G130" t="inlineStr">
        <is>
          <t>MARIESTAD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46305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46305</v>
      </c>
      <c r="F132" t="inlineStr">
        <is>
          <t>VÄSTRA GÖTALANDS LÄN</t>
        </is>
      </c>
      <c r="G132" t="inlineStr">
        <is>
          <t>MARIESTAD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46305</v>
      </c>
      <c r="F133" t="inlineStr">
        <is>
          <t>VÄSTRA GÖTALANDS LÄN</t>
        </is>
      </c>
      <c r="G133" t="inlineStr">
        <is>
          <t>MARIESTAD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46305</v>
      </c>
      <c r="F134" t="inlineStr">
        <is>
          <t>VÄSTRA GÖTALANDS LÄN</t>
        </is>
      </c>
      <c r="G134" t="inlineStr">
        <is>
          <t>MARIESTAD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46305</v>
      </c>
      <c r="F135" t="inlineStr">
        <is>
          <t>VÄSTRA GÖTALANDS LÄN</t>
        </is>
      </c>
      <c r="G135" t="inlineStr">
        <is>
          <t>MARIESTAD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46305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46305</v>
      </c>
      <c r="F137" t="inlineStr">
        <is>
          <t>VÄSTRA GÖTALANDS LÄN</t>
        </is>
      </c>
      <c r="G137" t="inlineStr">
        <is>
          <t>MARIESTAD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46305</v>
      </c>
      <c r="F138" t="inlineStr">
        <is>
          <t>VÄSTRA GÖTALANDS LÄN</t>
        </is>
      </c>
      <c r="G138" t="inlineStr">
        <is>
          <t>MARIESTAD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46305</v>
      </c>
      <c r="F139" t="inlineStr">
        <is>
          <t>VÄSTRA GÖTALANDS LÄN</t>
        </is>
      </c>
      <c r="G139" t="inlineStr">
        <is>
          <t>MARIESTAD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46305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46305</v>
      </c>
      <c r="F141" t="inlineStr">
        <is>
          <t>VÄSTRA GÖTALANDS LÄN</t>
        </is>
      </c>
      <c r="G141" t="inlineStr">
        <is>
          <t>MARIESTAD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46305</v>
      </c>
      <c r="F142" t="inlineStr">
        <is>
          <t>VÄSTRA GÖTALANDS LÄN</t>
        </is>
      </c>
      <c r="G142" t="inlineStr">
        <is>
          <t>MARIESTAD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46305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70259-2021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46305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46305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Kyrkan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46305</v>
      </c>
      <c r="F146" t="inlineStr">
        <is>
          <t>VÄSTRA GÖTALANDS LÄN</t>
        </is>
      </c>
      <c r="G146" t="inlineStr">
        <is>
          <t>MARIESTAD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46305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46305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60812-2023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45260</v>
      </c>
      <c r="E149" s="1" t="n">
        <v>46305</v>
      </c>
      <c r="F149" t="inlineStr">
        <is>
          <t>VÄSTRA GÖTALANDS LÄN</t>
        </is>
      </c>
      <c r="G149" t="inlineStr">
        <is>
          <t>MARIESTAD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44630</v>
      </c>
      <c r="E150" s="1" t="n">
        <v>46305</v>
      </c>
      <c r="F150" t="inlineStr">
        <is>
          <t>VÄSTRA GÖTALANDS LÄN</t>
        </is>
      </c>
      <c r="G150" t="inlineStr">
        <is>
          <t>MARIESTAD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46305</v>
      </c>
      <c r="F151" t="inlineStr">
        <is>
          <t>VÄSTRA GÖTALANDS LÄN</t>
        </is>
      </c>
      <c r="G151" t="inlineStr">
        <is>
          <t>MARIESTAD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46305</v>
      </c>
      <c r="F152" t="inlineStr">
        <is>
          <t>VÄSTRA GÖTALANDS LÄN</t>
        </is>
      </c>
      <c r="G152" t="inlineStr">
        <is>
          <t>MARIESTAD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46305</v>
      </c>
      <c r="F153" t="inlineStr">
        <is>
          <t>VÄSTRA GÖTALANDS LÄN</t>
        </is>
      </c>
      <c r="G153" t="inlineStr">
        <is>
          <t>MARIESTAD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45307</v>
      </c>
      <c r="E154" s="1" t="n">
        <v>46305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46305</v>
      </c>
      <c r="F155" t="inlineStr">
        <is>
          <t>VÄSTRA GÖTALANDS LÄN</t>
        </is>
      </c>
      <c r="G155" t="inlineStr">
        <is>
          <t>MARIESTAD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46305</v>
      </c>
      <c r="F156" t="inlineStr">
        <is>
          <t>VÄSTRA GÖTALANDS LÄN</t>
        </is>
      </c>
      <c r="G156" t="inlineStr">
        <is>
          <t>MARIESTAD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46305</v>
      </c>
      <c r="F157" t="inlineStr">
        <is>
          <t>VÄSTRA GÖTALANDS LÄN</t>
        </is>
      </c>
      <c r="G157" t="inlineStr">
        <is>
          <t>MARIESTAD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46305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45330</v>
      </c>
      <c r="E159" s="1" t="n">
        <v>46305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49385-2023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45211</v>
      </c>
      <c r="E160" s="1" t="n">
        <v>46305</v>
      </c>
      <c r="F160" t="inlineStr">
        <is>
          <t>VÄSTRA GÖTALANDS LÄN</t>
        </is>
      </c>
      <c r="G160" t="inlineStr">
        <is>
          <t>MARIESTAD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66772-2021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44521</v>
      </c>
      <c r="E161" s="1" t="n">
        <v>46305</v>
      </c>
      <c r="F161" t="inlineStr">
        <is>
          <t>VÄSTRA GÖTALANDS LÄN</t>
        </is>
      </c>
      <c r="G161" t="inlineStr">
        <is>
          <t>MARIESTAD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45502</v>
      </c>
      <c r="E162" s="1" t="n">
        <v>46305</v>
      </c>
      <c r="F162" t="inlineStr">
        <is>
          <t>VÄSTRA GÖTALANDS LÄN</t>
        </is>
      </c>
      <c r="G162" t="inlineStr">
        <is>
          <t>MARIESTAD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46305</v>
      </c>
      <c r="F163" t="inlineStr">
        <is>
          <t>VÄSTRA GÖTALANDS LÄN</t>
        </is>
      </c>
      <c r="G163" t="inlineStr">
        <is>
          <t>MARIESTAD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46305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46305</v>
      </c>
      <c r="F165" t="inlineStr">
        <is>
          <t>VÄSTRA GÖTALANDS LÄN</t>
        </is>
      </c>
      <c r="G165" t="inlineStr">
        <is>
          <t>MARIESTAD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46305</v>
      </c>
      <c r="F166" t="inlineStr">
        <is>
          <t>VÄSTRA GÖTALANDS LÄN</t>
        </is>
      </c>
      <c r="G166" t="inlineStr">
        <is>
          <t>MARIESTAD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46305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46305</v>
      </c>
      <c r="F168" t="inlineStr">
        <is>
          <t>VÄSTRA GÖTALANDS LÄN</t>
        </is>
      </c>
      <c r="G168" t="inlineStr">
        <is>
          <t>MARIESTAD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46305</v>
      </c>
      <c r="F169" t="inlineStr">
        <is>
          <t>VÄSTRA GÖTALANDS LÄN</t>
        </is>
      </c>
      <c r="G169" t="inlineStr">
        <is>
          <t>MARIESTAD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46305</v>
      </c>
      <c r="F170" t="inlineStr">
        <is>
          <t>VÄSTRA GÖTALANDS LÄN</t>
        </is>
      </c>
      <c r="G170" t="inlineStr">
        <is>
          <t>MARIESTAD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46305</v>
      </c>
      <c r="F171" t="inlineStr">
        <is>
          <t>VÄSTRA GÖTALANDS LÄN</t>
        </is>
      </c>
      <c r="G171" t="inlineStr">
        <is>
          <t>MARIESTAD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46305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46305</v>
      </c>
      <c r="F173" t="inlineStr">
        <is>
          <t>VÄSTRA GÖTALANDS LÄN</t>
        </is>
      </c>
      <c r="G173" t="inlineStr">
        <is>
          <t>MARIESTAD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46305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46305</v>
      </c>
      <c r="F175" t="inlineStr">
        <is>
          <t>VÄSTRA GÖTALANDS LÄN</t>
        </is>
      </c>
      <c r="G175" t="inlineStr">
        <is>
          <t>MARIESTAD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46305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52869-2024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45610</v>
      </c>
      <c r="E177" s="1" t="n">
        <v>46305</v>
      </c>
      <c r="F177" t="inlineStr">
        <is>
          <t>VÄSTRA GÖTALANDS LÄN</t>
        </is>
      </c>
      <c r="G177" t="inlineStr">
        <is>
          <t>MARIESTAD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44876</v>
      </c>
      <c r="E178" s="1" t="n">
        <v>46305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46305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46305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46305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46305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50579-2023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45217</v>
      </c>
      <c r="E183" s="1" t="n">
        <v>46305</v>
      </c>
      <c r="F183" t="inlineStr">
        <is>
          <t>VÄSTRA GÖTALANDS LÄN</t>
        </is>
      </c>
      <c r="G183" t="inlineStr">
        <is>
          <t>MARIESTAD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46305</v>
      </c>
      <c r="F184" t="inlineStr">
        <is>
          <t>VÄSTRA GÖTALANDS LÄN</t>
        </is>
      </c>
      <c r="G184" t="inlineStr">
        <is>
          <t>MARIESTAD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46305</v>
      </c>
      <c r="F185" t="inlineStr">
        <is>
          <t>VÄSTRA GÖTALANDS LÄN</t>
        </is>
      </c>
      <c r="G185" t="inlineStr">
        <is>
          <t>MARIESTAD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46305</v>
      </c>
      <c r="F186" t="inlineStr">
        <is>
          <t>VÄSTRA GÖTALANDS LÄN</t>
        </is>
      </c>
      <c r="G186" t="inlineStr">
        <is>
          <t>MARIESTAD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44936</v>
      </c>
      <c r="E187" s="1" t="n">
        <v>46305</v>
      </c>
      <c r="F187" t="inlineStr">
        <is>
          <t>VÄSTRA GÖTALANDS LÄN</t>
        </is>
      </c>
      <c r="G187" t="inlineStr">
        <is>
          <t>MARIESTAD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46305</v>
      </c>
      <c r="F188" t="inlineStr">
        <is>
          <t>VÄSTRA GÖTALANDS LÄN</t>
        </is>
      </c>
      <c r="G188" t="inlineStr">
        <is>
          <t>MARIESTAD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46305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46305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Kommuner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46305</v>
      </c>
      <c r="F191" t="inlineStr">
        <is>
          <t>VÄSTRA GÖTALANDS LÄN</t>
        </is>
      </c>
      <c r="G191" t="inlineStr">
        <is>
          <t>MARIESTAD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46305</v>
      </c>
      <c r="F192" t="inlineStr">
        <is>
          <t>VÄSTRA GÖTALANDS LÄN</t>
        </is>
      </c>
      <c r="G192" t="inlineStr">
        <is>
          <t>MARIESTAD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45199</v>
      </c>
      <c r="E193" s="1" t="n">
        <v>46305</v>
      </c>
      <c r="F193" t="inlineStr">
        <is>
          <t>VÄSTRA GÖTALANDS LÄN</t>
        </is>
      </c>
      <c r="G193" t="inlineStr">
        <is>
          <t>MARIESTAD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46305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46305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44638</v>
      </c>
      <c r="E196" s="1" t="n">
        <v>46305</v>
      </c>
      <c r="F196" t="inlineStr">
        <is>
          <t>VÄSTRA GÖTALANDS LÄN</t>
        </is>
      </c>
      <c r="G196" t="inlineStr">
        <is>
          <t>MARIESTAD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26688-2022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44739</v>
      </c>
      <c r="E197" s="1" t="n">
        <v>46305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45200</v>
      </c>
      <c r="E198" s="1" t="n">
        <v>46305</v>
      </c>
      <c r="F198" t="inlineStr">
        <is>
          <t>VÄSTRA GÖTALANDS LÄN</t>
        </is>
      </c>
      <c r="G198" t="inlineStr">
        <is>
          <t>MARIESTAD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46305</v>
      </c>
      <c r="F199" t="inlineStr">
        <is>
          <t>VÄSTRA GÖTALANDS LÄN</t>
        </is>
      </c>
      <c r="G199" t="inlineStr">
        <is>
          <t>MARIESTAD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44993</v>
      </c>
      <c r="E200" s="1" t="n">
        <v>46305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46305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46305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46305</v>
      </c>
      <c r="F203" t="inlineStr">
        <is>
          <t>VÄSTRA GÖTALANDS LÄN</t>
        </is>
      </c>
      <c r="G203" t="inlineStr">
        <is>
          <t>MARIESTAD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46305</v>
      </c>
      <c r="F204" t="inlineStr">
        <is>
          <t>VÄSTRA GÖTALANDS LÄN</t>
        </is>
      </c>
      <c r="G204" t="inlineStr">
        <is>
          <t>MARIESTAD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46305</v>
      </c>
      <c r="F205" t="inlineStr">
        <is>
          <t>VÄSTRA GÖTALANDS LÄN</t>
        </is>
      </c>
      <c r="G205" t="inlineStr">
        <is>
          <t>MARIESTAD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46305</v>
      </c>
      <c r="F206" t="inlineStr">
        <is>
          <t>VÄSTRA GÖTALANDS LÄN</t>
        </is>
      </c>
      <c r="G206" t="inlineStr">
        <is>
          <t>MARIESTAD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46305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46305</v>
      </c>
      <c r="F208" t="inlineStr">
        <is>
          <t>VÄSTRA GÖTALANDS LÄN</t>
        </is>
      </c>
      <c r="G208" t="inlineStr">
        <is>
          <t>MARIESTAD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46305</v>
      </c>
      <c r="F209" t="inlineStr">
        <is>
          <t>VÄSTRA GÖTALANDS LÄN</t>
        </is>
      </c>
      <c r="G209" t="inlineStr">
        <is>
          <t>MARIESTAD</t>
        </is>
      </c>
      <c r="I209" t="n">
        <v>10.7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46305</v>
      </c>
      <c r="F210" t="inlineStr">
        <is>
          <t>VÄSTRA GÖTALANDS LÄN</t>
        </is>
      </c>
      <c r="G210" t="inlineStr">
        <is>
          <t>MARIESTAD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46305</v>
      </c>
      <c r="F211" t="inlineStr">
        <is>
          <t>VÄSTRA GÖTALANDS LÄN</t>
        </is>
      </c>
      <c r="G211" t="inlineStr">
        <is>
          <t>MARIESTAD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46305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46305</v>
      </c>
      <c r="F213" t="inlineStr">
        <is>
          <t>VÄSTRA GÖTALANDS LÄN</t>
        </is>
      </c>
      <c r="G213" t="inlineStr">
        <is>
          <t>MARIESTAD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46305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44971</v>
      </c>
      <c r="E215" s="1" t="n">
        <v>46305</v>
      </c>
      <c r="F215" t="inlineStr">
        <is>
          <t>VÄSTRA GÖTALANDS LÄN</t>
        </is>
      </c>
      <c r="G215" t="inlineStr">
        <is>
          <t>MARIESTAD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46305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46305</v>
      </c>
      <c r="F217" t="inlineStr">
        <is>
          <t>VÄSTRA GÖTALANDS LÄN</t>
        </is>
      </c>
      <c r="G217" t="inlineStr">
        <is>
          <t>MARIESTAD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46305</v>
      </c>
      <c r="F218" t="inlineStr">
        <is>
          <t>VÄSTRA GÖTALANDS LÄN</t>
        </is>
      </c>
      <c r="G218" t="inlineStr">
        <is>
          <t>MARIESTAD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46305</v>
      </c>
      <c r="F219" t="inlineStr">
        <is>
          <t>VÄSTRA GÖTALANDS LÄN</t>
        </is>
      </c>
      <c r="G219" t="inlineStr">
        <is>
          <t>MARIESTAD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46305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46305</v>
      </c>
      <c r="F221" t="inlineStr">
        <is>
          <t>VÄSTRA GÖTALANDS LÄN</t>
        </is>
      </c>
      <c r="G221" t="inlineStr">
        <is>
          <t>MARIESTAD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13655-2023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45006</v>
      </c>
      <c r="E222" s="1" t="n">
        <v>46305</v>
      </c>
      <c r="F222" t="inlineStr">
        <is>
          <t>VÄSTRA GÖTALANDS LÄN</t>
        </is>
      </c>
      <c r="G222" t="inlineStr">
        <is>
          <t>MARIESTAD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46305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44900</v>
      </c>
      <c r="E224" s="1" t="n">
        <v>46305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46305</v>
      </c>
      <c r="F225" t="inlineStr">
        <is>
          <t>VÄSTRA GÖTALANDS LÄN</t>
        </is>
      </c>
      <c r="G225" t="inlineStr">
        <is>
          <t>MARIESTAD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46305</v>
      </c>
      <c r="F226" t="inlineStr">
        <is>
          <t>VÄSTRA GÖTALANDS LÄN</t>
        </is>
      </c>
      <c r="G226" t="inlineStr">
        <is>
          <t>MARIESTAD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46305</v>
      </c>
      <c r="F227" t="inlineStr">
        <is>
          <t>VÄSTRA GÖTALANDS LÄN</t>
        </is>
      </c>
      <c r="G227" t="inlineStr">
        <is>
          <t>MARIESTAD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46305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46305</v>
      </c>
      <c r="F229" t="inlineStr">
        <is>
          <t>VÄSTRA GÖTALANDS LÄN</t>
        </is>
      </c>
      <c r="G229" t="inlineStr">
        <is>
          <t>MARIESTAD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46305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46305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46305</v>
      </c>
      <c r="F232" t="inlineStr">
        <is>
          <t>VÄSTRA GÖTALANDS LÄN</t>
        </is>
      </c>
      <c r="G232" t="inlineStr">
        <is>
          <t>MARIESTAD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46305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46305</v>
      </c>
      <c r="F234" t="inlineStr">
        <is>
          <t>VÄSTRA GÖTALANDS LÄN</t>
        </is>
      </c>
      <c r="G234" t="inlineStr">
        <is>
          <t>MARIESTAD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46305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46305</v>
      </c>
      <c r="F236" t="inlineStr">
        <is>
          <t>VÄSTRA GÖTALANDS LÄN</t>
        </is>
      </c>
      <c r="G236" t="inlineStr">
        <is>
          <t>MARIESTAD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46305</v>
      </c>
      <c r="F237" t="inlineStr">
        <is>
          <t>VÄSTRA GÖTALANDS LÄN</t>
        </is>
      </c>
      <c r="G237" t="inlineStr">
        <is>
          <t>MARIESTAD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46305</v>
      </c>
      <c r="F238" t="inlineStr">
        <is>
          <t>VÄSTRA GÖTALANDS LÄN</t>
        </is>
      </c>
      <c r="G238" t="inlineStr">
        <is>
          <t>MARIESTAD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46305</v>
      </c>
      <c r="F239" t="inlineStr">
        <is>
          <t>VÄSTRA GÖTALANDS LÄN</t>
        </is>
      </c>
      <c r="G239" t="inlineStr">
        <is>
          <t>MARIESTAD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44746</v>
      </c>
      <c r="E240" s="1" t="n">
        <v>46305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44986</v>
      </c>
      <c r="E241" s="1" t="n">
        <v>46305</v>
      </c>
      <c r="F241" t="inlineStr">
        <is>
          <t>VÄSTRA GÖTALANDS LÄN</t>
        </is>
      </c>
      <c r="G241" t="inlineStr">
        <is>
          <t>MARIESTAD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46305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61603-2023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45265</v>
      </c>
      <c r="E243" s="1" t="n">
        <v>46305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46305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44693</v>
      </c>
      <c r="E245" s="1" t="n">
        <v>46305</v>
      </c>
      <c r="F245" t="inlineStr">
        <is>
          <t>VÄSTRA GÖTALANDS LÄN</t>
        </is>
      </c>
      <c r="G245" t="inlineStr">
        <is>
          <t>MARIESTAD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45544</v>
      </c>
      <c r="E246" s="1" t="n">
        <v>46305</v>
      </c>
      <c r="F246" t="inlineStr">
        <is>
          <t>VÄSTRA GÖTALANDS LÄN</t>
        </is>
      </c>
      <c r="G246" t="inlineStr">
        <is>
          <t>MARIESTAD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46305</v>
      </c>
      <c r="F247" t="inlineStr">
        <is>
          <t>VÄSTRA GÖTALANDS LÄN</t>
        </is>
      </c>
      <c r="G247" t="inlineStr">
        <is>
          <t>MARIESTAD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46305</v>
      </c>
      <c r="F248" t="inlineStr">
        <is>
          <t>VÄSTRA GÖTALANDS LÄN</t>
        </is>
      </c>
      <c r="G248" t="inlineStr">
        <is>
          <t>MARIESTAD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46305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45873</v>
      </c>
      <c r="E250" s="1" t="n">
        <v>46305</v>
      </c>
      <c r="F250" t="inlineStr">
        <is>
          <t>VÄSTRA GÖTALANDS LÄN</t>
        </is>
      </c>
      <c r="G250" t="inlineStr">
        <is>
          <t>MARIESTAD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49389-2023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45211</v>
      </c>
      <c r="E251" s="1" t="n">
        <v>46305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44830</v>
      </c>
      <c r="E252" s="1" t="n">
        <v>46305</v>
      </c>
      <c r="F252" t="inlineStr">
        <is>
          <t>VÄSTRA GÖTALANDS LÄN</t>
        </is>
      </c>
      <c r="G252" t="inlineStr">
        <is>
          <t>MARIESTAD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46305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46305</v>
      </c>
      <c r="F254" t="inlineStr">
        <is>
          <t>VÄSTRA GÖTALANDS LÄN</t>
        </is>
      </c>
      <c r="G254" t="inlineStr">
        <is>
          <t>MARIESTAD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46305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45135</v>
      </c>
      <c r="E256" s="1" t="n">
        <v>46305</v>
      </c>
      <c r="F256" t="inlineStr">
        <is>
          <t>VÄSTRA GÖTALANDS LÄN</t>
        </is>
      </c>
      <c r="G256" t="inlineStr">
        <is>
          <t>MARIESTAD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45528</v>
      </c>
      <c r="E257" s="1" t="n">
        <v>46305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46305</v>
      </c>
      <c r="F258" t="inlineStr">
        <is>
          <t>VÄSTRA GÖTALANDS LÄN</t>
        </is>
      </c>
      <c r="G258" t="inlineStr">
        <is>
          <t>MARIESTAD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46305</v>
      </c>
      <c r="F259" t="inlineStr">
        <is>
          <t>VÄSTRA GÖTALANDS LÄN</t>
        </is>
      </c>
      <c r="G259" t="inlineStr">
        <is>
          <t>MARIESTAD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46305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46305</v>
      </c>
      <c r="F261" t="inlineStr">
        <is>
          <t>VÄSTRA GÖTALANDS LÄN</t>
        </is>
      </c>
      <c r="G261" t="inlineStr">
        <is>
          <t>MARIESTAD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44843</v>
      </c>
      <c r="E262" s="1" t="n">
        <v>46305</v>
      </c>
      <c r="F262" t="inlineStr">
        <is>
          <t>VÄSTRA GÖTALANDS LÄN</t>
        </is>
      </c>
      <c r="G262" t="inlineStr">
        <is>
          <t>MARIESTAD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46305</v>
      </c>
      <c r="F263" t="inlineStr">
        <is>
          <t>VÄSTRA GÖTALANDS LÄN</t>
        </is>
      </c>
      <c r="G263" t="inlineStr">
        <is>
          <t>MARIESTAD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46305</v>
      </c>
      <c r="F264" t="inlineStr">
        <is>
          <t>VÄSTRA GÖTALANDS LÄN</t>
        </is>
      </c>
      <c r="G264" t="inlineStr">
        <is>
          <t>MARIESTAD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46305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36399-2024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45535</v>
      </c>
      <c r="E266" s="1" t="n">
        <v>46305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46305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46305</v>
      </c>
      <c r="F268" t="inlineStr">
        <is>
          <t>VÄSTRA GÖTALANDS LÄN</t>
        </is>
      </c>
      <c r="G268" t="inlineStr">
        <is>
          <t>MARIESTAD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46305</v>
      </c>
      <c r="F269" t="inlineStr">
        <is>
          <t>VÄSTRA GÖTALANDS LÄN</t>
        </is>
      </c>
      <c r="G269" t="inlineStr">
        <is>
          <t>MARIESTAD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46305</v>
      </c>
      <c r="F270" t="inlineStr">
        <is>
          <t>VÄSTRA GÖTALANDS LÄN</t>
        </is>
      </c>
      <c r="G270" t="inlineStr">
        <is>
          <t>MARIESTAD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46305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46305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46305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46305</v>
      </c>
      <c r="F274" t="inlineStr">
        <is>
          <t>VÄSTRA GÖTALANDS LÄN</t>
        </is>
      </c>
      <c r="G274" t="inlineStr">
        <is>
          <t>MARIESTAD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46305</v>
      </c>
      <c r="F275" t="inlineStr">
        <is>
          <t>VÄSTRA GÖTALANDS LÄN</t>
        </is>
      </c>
      <c r="G275" t="inlineStr">
        <is>
          <t>MARIESTAD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46305</v>
      </c>
      <c r="F276" t="inlineStr">
        <is>
          <t>VÄSTRA GÖTALANDS LÄN</t>
        </is>
      </c>
      <c r="G276" t="inlineStr">
        <is>
          <t>MARIESTAD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46305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46305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Naturvårdsverket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44617</v>
      </c>
      <c r="E279" s="1" t="n">
        <v>46305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46305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44816</v>
      </c>
      <c r="E281" s="1" t="n">
        <v>46305</v>
      </c>
      <c r="F281" t="inlineStr">
        <is>
          <t>VÄSTRA GÖTALANDS LÄN</t>
        </is>
      </c>
      <c r="G281" t="inlineStr">
        <is>
          <t>MARIESTAD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46305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46305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45167</v>
      </c>
      <c r="E284" s="1" t="n">
        <v>46305</v>
      </c>
      <c r="F284" t="inlineStr">
        <is>
          <t>VÄSTRA GÖTALANDS LÄN</t>
        </is>
      </c>
      <c r="G284" t="inlineStr">
        <is>
          <t>MARIESTAD</t>
        </is>
      </c>
      <c r="I284" t="n">
        <v>26.5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44937</v>
      </c>
      <c r="E285" s="1" t="n">
        <v>46305</v>
      </c>
      <c r="F285" t="inlineStr">
        <is>
          <t>VÄSTRA GÖTALANDS LÄN</t>
        </is>
      </c>
      <c r="G285" t="inlineStr">
        <is>
          <t>MARIESTAD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45674</v>
      </c>
      <c r="E286" s="1" t="n">
        <v>46305</v>
      </c>
      <c r="F286" t="inlineStr">
        <is>
          <t>VÄSTRA GÖTALANDS LÄN</t>
        </is>
      </c>
      <c r="G286" t="inlineStr">
        <is>
          <t>MARIESTAD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46305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46305</v>
      </c>
      <c r="F288" t="inlineStr">
        <is>
          <t>VÄSTRA GÖTALANDS LÄN</t>
        </is>
      </c>
      <c r="G288" t="inlineStr">
        <is>
          <t>MARIESTAD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46305</v>
      </c>
      <c r="F289" t="inlineStr">
        <is>
          <t>VÄSTRA GÖTALANDS LÄN</t>
        </is>
      </c>
      <c r="G289" t="inlineStr">
        <is>
          <t>MARIESTAD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46305</v>
      </c>
      <c r="F290" t="inlineStr">
        <is>
          <t>VÄSTRA GÖTALANDS LÄN</t>
        </is>
      </c>
      <c r="G290" t="inlineStr">
        <is>
          <t>MARIESTAD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46305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46305</v>
      </c>
      <c r="F292" t="inlineStr">
        <is>
          <t>VÄSTRA GÖTALANDS LÄN</t>
        </is>
      </c>
      <c r="G292" t="inlineStr">
        <is>
          <t>MARIESTAD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45558</v>
      </c>
      <c r="E293" s="1" t="n">
        <v>46305</v>
      </c>
      <c r="F293" t="inlineStr">
        <is>
          <t>VÄSTRA GÖTALANDS LÄN</t>
        </is>
      </c>
      <c r="G293" t="inlineStr">
        <is>
          <t>MARIESTAD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46305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46305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46305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44616</v>
      </c>
      <c r="E297" s="1" t="n">
        <v>46305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46305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45875</v>
      </c>
      <c r="E299" s="1" t="n">
        <v>46305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40455-2023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45170</v>
      </c>
      <c r="E300" s="1" t="n">
        <v>46305</v>
      </c>
      <c r="F300" t="inlineStr">
        <is>
          <t>VÄSTRA GÖTALANDS LÄN</t>
        </is>
      </c>
      <c r="G300" t="inlineStr">
        <is>
          <t>MARIESTAD</t>
        </is>
      </c>
      <c r="I300" t="n">
        <v>34.9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46305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46305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46305</v>
      </c>
      <c r="F303" t="inlineStr">
        <is>
          <t>VÄSTRA GÖTALANDS LÄN</t>
        </is>
      </c>
      <c r="G303" t="inlineStr">
        <is>
          <t>MARIESTAD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46305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46305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Kyrkan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46305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46305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46305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46305</v>
      </c>
      <c r="F309" t="inlineStr">
        <is>
          <t>VÄSTRA GÖTALANDS LÄN</t>
        </is>
      </c>
      <c r="G309" t="inlineStr">
        <is>
          <t>MARIESTAD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9558-2026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46071</v>
      </c>
      <c r="E310" s="1" t="n">
        <v>46305</v>
      </c>
      <c r="F310" t="inlineStr">
        <is>
          <t>VÄSTRA GÖTALANDS LÄN</t>
        </is>
      </c>
      <c r="G310" t="inlineStr">
        <is>
          <t>MARIESTAD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46077</v>
      </c>
      <c r="E311" s="1" t="n">
        <v>46305</v>
      </c>
      <c r="F311" t="inlineStr">
        <is>
          <t>VÄSTRA GÖTALANDS LÄN</t>
        </is>
      </c>
      <c r="G311" t="inlineStr">
        <is>
          <t>MARIESTAD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46305</v>
      </c>
      <c r="F312" t="inlineStr">
        <is>
          <t>VÄSTRA GÖTALANDS LÄN</t>
        </is>
      </c>
      <c r="G312" t="inlineStr">
        <is>
          <t>MARIESTAD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21361-2026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46142</v>
      </c>
      <c r="E313" s="1" t="n">
        <v>46305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46305</v>
      </c>
      <c r="F314" t="inlineStr">
        <is>
          <t>VÄSTRA GÖTALANDS LÄN</t>
        </is>
      </c>
      <c r="G314" t="inlineStr">
        <is>
          <t>MARIESTAD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22878-2026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46157</v>
      </c>
      <c r="E315" s="1" t="n">
        <v>46305</v>
      </c>
      <c r="F315" t="inlineStr">
        <is>
          <t>VÄSTRA GÖTALANDS LÄN</t>
        </is>
      </c>
      <c r="G315" t="inlineStr">
        <is>
          <t>MARIESTAD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46305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46305</v>
      </c>
      <c r="F317" t="inlineStr">
        <is>
          <t>VÄSTRA GÖTALANDS LÄN</t>
        </is>
      </c>
      <c r="G317" t="inlineStr">
        <is>
          <t>MARIESTAD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46305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46305</v>
      </c>
      <c r="F319" t="inlineStr">
        <is>
          <t>VÄSTRA GÖTALANDS LÄN</t>
        </is>
      </c>
      <c r="G319" t="inlineStr">
        <is>
          <t>MARIESTAD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46305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46305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46305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46305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46305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46185</v>
      </c>
      <c r="E325" s="1" t="n">
        <v>46305</v>
      </c>
      <c r="F325" t="inlineStr">
        <is>
          <t>VÄSTRA GÖTALANDS LÄN</t>
        </is>
      </c>
      <c r="G325" t="inlineStr">
        <is>
          <t>MARIESTAD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46305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46305</v>
      </c>
      <c r="F327" t="inlineStr">
        <is>
          <t>VÄSTRA GÖTALANDS LÄN</t>
        </is>
      </c>
      <c r="G327" t="inlineStr">
        <is>
          <t>MARIESTAD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46305</v>
      </c>
      <c r="F328" t="inlineStr">
        <is>
          <t>VÄSTRA GÖTALANDS LÄN</t>
        </is>
      </c>
      <c r="G328" t="inlineStr">
        <is>
          <t>MARIESTAD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46305</v>
      </c>
      <c r="F329" t="inlineStr">
        <is>
          <t>VÄSTRA GÖTALANDS LÄN</t>
        </is>
      </c>
      <c r="G329" t="inlineStr">
        <is>
          <t>MARIESTAD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46305</v>
      </c>
      <c r="F330" t="inlineStr">
        <is>
          <t>VÄSTRA GÖTALANDS LÄN</t>
        </is>
      </c>
      <c r="G330" t="inlineStr">
        <is>
          <t>MARIESTAD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46305</v>
      </c>
      <c r="F331" t="inlineStr">
        <is>
          <t>VÄSTRA GÖTALANDS LÄN</t>
        </is>
      </c>
      <c r="G331" t="inlineStr">
        <is>
          <t>MARIESTAD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46305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46305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46305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46288</v>
      </c>
      <c r="E335" s="1" t="n">
        <v>46305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46305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39286-2026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46288</v>
      </c>
      <c r="E337" s="1" t="n">
        <v>46305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46305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46288</v>
      </c>
      <c r="E339" s="1" t="n">
        <v>46305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46289</v>
      </c>
      <c r="E340" s="1" t="n">
        <v>46305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46305</v>
      </c>
      <c r="F341" t="inlineStr">
        <is>
          <t>VÄSTRA GÖTALANDS LÄN</t>
        </is>
      </c>
      <c r="G341" t="inlineStr">
        <is>
          <t>MARIESTAD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46305</v>
      </c>
      <c r="F342" t="inlineStr">
        <is>
          <t>VÄSTRA GÖTALANDS LÄN</t>
        </is>
      </c>
      <c r="G342" t="inlineStr">
        <is>
          <t>MARIESTAD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46305</v>
      </c>
      <c r="F343" t="inlineStr">
        <is>
          <t>VÄSTRA GÖTALANDS LÄN</t>
        </is>
      </c>
      <c r="G343" t="inlineStr">
        <is>
          <t>MARIESTAD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46305</v>
      </c>
      <c r="F344" t="inlineStr">
        <is>
          <t>VÄSTRA GÖTALANDS LÄN</t>
        </is>
      </c>
      <c r="G344" t="inlineStr">
        <is>
          <t>MARIESTAD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46305</v>
      </c>
      <c r="F345" t="inlineStr">
        <is>
          <t>VÄSTRA GÖTALANDS LÄN</t>
        </is>
      </c>
      <c r="G345" t="inlineStr">
        <is>
          <t>MARIESTAD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46305</v>
      </c>
      <c r="F346" t="inlineStr">
        <is>
          <t>VÄSTRA GÖTALANDS LÄN</t>
        </is>
      </c>
      <c r="G346" t="inlineStr">
        <is>
          <t>MARIESTAD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46305</v>
      </c>
      <c r="F347" t="inlineStr">
        <is>
          <t>VÄSTRA GÖTALANDS LÄN</t>
        </is>
      </c>
      <c r="G347" t="inlineStr">
        <is>
          <t>MARIESTAD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46300</v>
      </c>
      <c r="E348" s="1" t="n">
        <v>46305</v>
      </c>
      <c r="F348" t="inlineStr">
        <is>
          <t>VÄSTRA GÖTALANDS LÄN</t>
        </is>
      </c>
      <c r="G348" t="inlineStr">
        <is>
          <t>MARIESTAD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46305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46262</v>
      </c>
      <c r="E350" s="1" t="n">
        <v>46305</v>
      </c>
      <c r="F350" t="inlineStr">
        <is>
          <t>VÄSTRA GÖTALANDS LÄN</t>
        </is>
      </c>
      <c r="G350" t="inlineStr">
        <is>
          <t>MARIESTAD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46305</v>
      </c>
      <c r="F351" t="inlineStr">
        <is>
          <t>VÄSTRA GÖTALANDS LÄN</t>
        </is>
      </c>
      <c r="G351" t="inlineStr">
        <is>
          <t>MARIESTAD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46261</v>
      </c>
      <c r="E352" s="1" t="n">
        <v>46305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46305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46305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46305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2026-10-10T02:00:53Z</dcterms:created>
  <dcterms:modified xmlns:dcterms="http://purl.org/dc/terms/" xmlns:xsi="http://www.w3.org/2001/XMLSchema-instance" xsi:type="dcterms:W3CDTF">2026-10-10T02:00:54Z</dcterms:modified>
</cp:coreProperties>
</file>