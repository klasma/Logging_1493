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46312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46312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46312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46312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46312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46312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46312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46312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46312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46312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46312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46312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46312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46312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46312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17272-2023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45035</v>
      </c>
      <c r="E24" s="1" t="n">
        <v>46312</v>
      </c>
      <c r="F24" t="inlineStr">
        <is>
          <t>VÄSTRA GÖTALANDS LÄN</t>
        </is>
      </c>
      <c r="G24" t="inlineStr">
        <is>
          <t>MARIESTAD</t>
        </is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Gullklöver</t>
        </is>
      </c>
      <c r="W24">
        <f>HYPERLINK("https://klasma.github.io/Logging_1493/artfynd/A 17272-2023 artfynd.xlsx", "A 17272-2023")</f>
        <v/>
      </c>
      <c r="X24">
        <f>HYPERLINK("https://klasma.github.io/Logging_1493/kartor/A 17272-2023 karta.png", "A 17272-2023")</f>
        <v/>
      </c>
      <c r="Y24">
        <f>HYPERLINK("https://klasma.github.io/Logging_1493/kartor_geotiff/A 17272-2023 georefererad karta.tif", "A 17272-2023")</f>
        <v/>
      </c>
      <c r="AA24">
        <f>HYPERLINK("https://klasma.github.io/Logging_1493/klagomål/A 17272-2023 FSC-klagomål.docx", "A 17272-2023")</f>
        <v/>
      </c>
      <c r="AB24">
        <f>HYPERLINK("https://klasma.github.io/Logging_1493/klagomålsmail/A 17272-2023 FSC-klagomål mail.docx", "A 17272-2023")</f>
        <v/>
      </c>
      <c r="AC24">
        <f>HYPERLINK("https://klasma.github.io/Logging_1493/tillsyn/A 17272-2023 tillsynsbegäran.docx", "A 17272-2023")</f>
        <v/>
      </c>
      <c r="AD24">
        <f>HYPERLINK("https://klasma.github.io/Logging_1493/tillsynsmail/A 17272-2023 tillsynsbegäran mail.docx", "A 17272-2023")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46312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46312</v>
      </c>
      <c r="F26" t="inlineStr">
        <is>
          <t>VÄSTRA GÖTALANDS LÄN</t>
        </is>
      </c>
      <c r="G26" t="inlineStr">
        <is>
          <t>MARIESTAD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Skogsödla</t>
        </is>
      </c>
      <c r="W26">
        <f>HYPERLINK("https://klasma.github.io/Logging_1493/artfynd/A 7612-2023 artfynd.xlsx", "A 7612-2023")</f>
        <v/>
      </c>
      <c r="X26">
        <f>HYPERLINK("https://klasma.github.io/Logging_1493/kartor/A 7612-2023 karta.png", "A 7612-2023")</f>
        <v/>
      </c>
      <c r="Y26">
        <f>HYPERLINK("https://klasma.github.io/Logging_1493/kartor_geotiff/A 7612-2023 georefererad karta.tif", "A 7612-2023")</f>
        <v/>
      </c>
      <c r="AA26">
        <f>HYPERLINK("https://klasma.github.io/Logging_1493/klagomål/A 7612-2023 FSC-klagomål.docx", "A 7612-2023")</f>
        <v/>
      </c>
      <c r="AB26">
        <f>HYPERLINK("https://klasma.github.io/Logging_1493/klagomålsmail/A 7612-2023 FSC-klagomål mail.docx", "A 7612-2023")</f>
        <v/>
      </c>
      <c r="AC26">
        <f>HYPERLINK("https://klasma.github.io/Logging_1493/tillsyn/A 7612-2023 tillsynsbegäran.docx", "A 7612-2023")</f>
        <v/>
      </c>
      <c r="AD26">
        <f>HYPERLINK("https://klasma.github.io/Logging_1493/tillsynsmail/A 7612-2023 tillsynsbegäran mail.docx", "A 7612-2023")</f>
        <v/>
      </c>
    </row>
    <row r="27" ht="15" customHeight="1">
      <c r="A27" t="inlineStr">
        <is>
          <t>A 42647-2023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46312</v>
      </c>
      <c r="F27" t="inlineStr">
        <is>
          <t>VÄSTRA GÖTALANDS LÄN</t>
        </is>
      </c>
      <c r="G27" t="inlineStr">
        <is>
          <t>MARIESTAD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HYPERLINK("https://klasma.github.io/Logging_1493/artfynd/A 42647-2023 artfynd.xlsx", "A 42647-2023")</f>
        <v/>
      </c>
      <c r="X27">
        <f>HYPERLINK("https://klasma.github.io/Logging_1493/kartor/A 42647-2023 karta.png", "A 42647-2023")</f>
        <v/>
      </c>
      <c r="Y27">
        <f>HYPERLINK("https://klasma.github.io/Logging_1493/kartor_geotiff/A 42647-2023 georefererad karta.tif", "A 42647-2023")</f>
        <v/>
      </c>
      <c r="AA27">
        <f>HYPERLINK("https://klasma.github.io/Logging_1493/klagomål/A 42647-2023 FSC-klagomål.docx", "A 42647-2023")</f>
        <v/>
      </c>
      <c r="AB27">
        <f>HYPERLINK("https://klasma.github.io/Logging_1493/klagomålsmail/A 42647-2023 FSC-klagomål mail.docx", "A 42647-2023")</f>
        <v/>
      </c>
      <c r="AC27">
        <f>HYPERLINK("https://klasma.github.io/Logging_1493/tillsyn/A 42647-2023 tillsynsbegäran.docx", "A 42647-2023")</f>
        <v/>
      </c>
      <c r="AD27">
        <f>HYPERLINK("https://klasma.github.io/Logging_1493/tillsynsmail/A 42647-2023 tillsynsbegäran mail.docx", "A 42647-2023")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46312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15052-2023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46312</v>
      </c>
      <c r="F29" t="inlineStr">
        <is>
          <t>VÄSTRA GÖTALANDS LÄN</t>
        </is>
      </c>
      <c r="G29" t="inlineStr">
        <is>
          <t>MARIESTAD</t>
        </is>
      </c>
      <c r="I29" t="n">
        <v>15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Bivråk</t>
        </is>
      </c>
      <c r="W29">
        <f>HYPERLINK("https://klasma.github.io/Logging_1493/artfynd/A 15052-2023 artfynd.xlsx", "A 15052-2023")</f>
        <v/>
      </c>
      <c r="X29">
        <f>HYPERLINK("https://klasma.github.io/Logging_1493/kartor/A 15052-2023 karta.png", "A 15052-2023")</f>
        <v/>
      </c>
      <c r="Y29">
        <f>HYPERLINK("https://klasma.github.io/Logging_1493/kartor_geotiff/A 15052-2023 georefererad karta.tif", "A 15052-2023")</f>
        <v/>
      </c>
      <c r="AA29">
        <f>HYPERLINK("https://klasma.github.io/Logging_1493/klagomål/A 15052-2023 FSC-klagomål.docx", "A 15052-2023")</f>
        <v/>
      </c>
      <c r="AB29">
        <f>HYPERLINK("https://klasma.github.io/Logging_1493/klagomålsmail/A 15052-2023 FSC-klagomål mail.docx", "A 15052-2023")</f>
        <v/>
      </c>
      <c r="AC29">
        <f>HYPERLINK("https://klasma.github.io/Logging_1493/tillsyn/A 15052-2023 tillsynsbegäran.docx", "A 15052-2023")</f>
        <v/>
      </c>
      <c r="AD29">
        <f>HYPERLINK("https://klasma.github.io/Logging_1493/tillsynsmail/A 15052-2023 tillsynsbegäran mail.docx", "A 15052-2023")</f>
        <v/>
      </c>
      <c r="AE29">
        <f>HYPERLINK("https://klasma.github.io/Logging_1493/fåglar/A 15052-2023 prioriterade fågelarter.docx", "A 15052-2023")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46312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46312</v>
      </c>
      <c r="F31" t="inlineStr">
        <is>
          <t>VÄSTRA GÖTALANDS LÄN</t>
        </is>
      </c>
      <c r="G31" t="inlineStr">
        <is>
          <t>MARIESTAD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HYPERLINK("https://klasma.github.io/Logging_1493/artfynd/A 18176-2025 artfynd.xlsx", "A 18176-2025")</f>
        <v/>
      </c>
      <c r="X31">
        <f>HYPERLINK("https://klasma.github.io/Logging_1493/kartor/A 18176-2025 karta.png", "A 18176-2025")</f>
        <v/>
      </c>
      <c r="Y31">
        <f>HYPERLINK("https://klasma.github.io/Logging_1493/kartor_geotiff/A 18176-2025 georefererad karta.tif", "A 18176-2025")</f>
        <v/>
      </c>
      <c r="AA31">
        <f>HYPERLINK("https://klasma.github.io/Logging_1493/klagomål/A 18176-2025 FSC-klagomål.docx", "A 18176-2025")</f>
        <v/>
      </c>
      <c r="AB31">
        <f>HYPERLINK("https://klasma.github.io/Logging_1493/klagomålsmail/A 18176-2025 FSC-klagomål mail.docx", "A 18176-2025")</f>
        <v/>
      </c>
      <c r="AC31">
        <f>HYPERLINK("https://klasma.github.io/Logging_1493/tillsyn/A 18176-2025 tillsynsbegäran.docx", "A 18176-2025")</f>
        <v/>
      </c>
      <c r="AD31">
        <f>HYPERLINK("https://klasma.github.io/Logging_1493/tillsynsmail/A 18176-2025 tillsynsbegäran mail.docx", "A 18176-2025")</f>
        <v/>
      </c>
    </row>
    <row r="32" ht="15" customHeight="1">
      <c r="A32" t="inlineStr">
        <is>
          <t>A 49233-2023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45210</v>
      </c>
      <c r="E32" s="1" t="n">
        <v>46312</v>
      </c>
      <c r="F32" t="inlineStr">
        <is>
          <t>VÄSTRA GÖTALANDS LÄN</t>
        </is>
      </c>
      <c r="G32" t="inlineStr">
        <is>
          <t>MARIESTAD</t>
        </is>
      </c>
      <c r="I32" t="n">
        <v>6.1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Lönnlav</t>
        </is>
      </c>
      <c r="W32">
        <f>HYPERLINK("https://klasma.github.io/Logging_1493/artfynd/A 49233-2023 artfynd.xlsx", "A 49233-2023")</f>
        <v/>
      </c>
      <c r="X32">
        <f>HYPERLINK("https://klasma.github.io/Logging_1493/kartor/A 49233-2023 karta.png", "A 49233-2023")</f>
        <v/>
      </c>
      <c r="Y32">
        <f>HYPERLINK("https://klasma.github.io/Logging_1493/kartor_geotiff/A 49233-2023 georefererad karta.tif", "A 49233-2023")</f>
        <v/>
      </c>
      <c r="AA32">
        <f>HYPERLINK("https://klasma.github.io/Logging_1493/klagomål/A 49233-2023 FSC-klagomål.docx", "A 49233-2023")</f>
        <v/>
      </c>
      <c r="AB32">
        <f>HYPERLINK("https://klasma.github.io/Logging_1493/klagomålsmail/A 49233-2023 FSC-klagomål mail.docx", "A 49233-2023")</f>
        <v/>
      </c>
      <c r="AC32">
        <f>HYPERLINK("https://klasma.github.io/Logging_1493/tillsyn/A 49233-2023 tillsynsbegäran.docx", "A 49233-2023")</f>
        <v/>
      </c>
      <c r="AD32">
        <f>HYPERLINK("https://klasma.github.io/Logging_1493/tillsynsmail/A 49233-2023 tillsynsbegäran mail.docx", "A 49233-2023")</f>
        <v/>
      </c>
    </row>
    <row r="33" ht="15" customHeight="1">
      <c r="A33" t="inlineStr">
        <is>
          <t>A 30652-2023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46312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2.6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30652-2023 artfynd.xlsx", "A 30652-2023")</f>
        <v/>
      </c>
      <c r="X33">
        <f>HYPERLINK("https://klasma.github.io/Logging_1493/kartor/A 30652-2023 karta.png", "A 30652-2023")</f>
        <v/>
      </c>
      <c r="Y33">
        <f>HYPERLINK("https://klasma.github.io/Logging_1493/kartor_geotiff/A 30652-2023 georefererad karta.tif", "A 30652-2023")</f>
        <v/>
      </c>
      <c r="AA33">
        <f>HYPERLINK("https://klasma.github.io/Logging_1493/klagomål/A 30652-2023 FSC-klagomål.docx", "A 30652-2023")</f>
        <v/>
      </c>
      <c r="AB33">
        <f>HYPERLINK("https://klasma.github.io/Logging_1493/klagomålsmail/A 30652-2023 FSC-klagomål mail.docx", "A 30652-2023")</f>
        <v/>
      </c>
      <c r="AC33">
        <f>HYPERLINK("https://klasma.github.io/Logging_1493/tillsyn/A 30652-2023 tillsynsbegäran.docx", "A 30652-2023")</f>
        <v/>
      </c>
      <c r="AD33">
        <f>HYPERLINK("https://klasma.github.io/Logging_1493/tillsynsmail/A 30652-2023 tillsynsbegäran mail.docx", "A 30652-2023")</f>
        <v/>
      </c>
    </row>
    <row r="34" ht="15" customHeight="1">
      <c r="A34" t="inlineStr">
        <is>
          <t>A 9650-2025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46312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HYPERLINK("https://klasma.github.io/Logging_1493/artfynd/A 9650-2025 artfynd.xlsx", "A 9650-2025")</f>
        <v/>
      </c>
      <c r="X34">
        <f>HYPERLINK("https://klasma.github.io/Logging_1493/kartor/A 9650-2025 karta.png", "A 9650-2025")</f>
        <v/>
      </c>
      <c r="Y34">
        <f>HYPERLINK("https://klasma.github.io/Logging_1493/kartor_geotiff/A 9650-2025 georefererad karta.tif", "A 9650-2025")</f>
        <v/>
      </c>
      <c r="AA34">
        <f>HYPERLINK("https://klasma.github.io/Logging_1493/klagomål/A 9650-2025 FSC-klagomål.docx", "A 9650-2025")</f>
        <v/>
      </c>
      <c r="AB34">
        <f>HYPERLINK("https://klasma.github.io/Logging_1493/klagomålsmail/A 9650-2025 FSC-klagomål mail.docx", "A 9650-2025")</f>
        <v/>
      </c>
      <c r="AC34">
        <f>HYPERLINK("https://klasma.github.io/Logging_1493/tillsyn/A 9650-2025 tillsynsbegäran.docx", "A 9650-2025")</f>
        <v/>
      </c>
      <c r="AD34">
        <f>HYPERLINK("https://klasma.github.io/Logging_1493/tillsynsmail/A 9650-2025 tillsynsbegäran mail.docx", "A 9650-2025")</f>
        <v/>
      </c>
    </row>
    <row r="35" ht="15" customHeight="1">
      <c r="A35" t="inlineStr">
        <is>
          <t>A 29151-2025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46312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2.5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HYPERLINK("https://klasma.github.io/Logging_1493/artfynd/A 29151-2025 artfynd.xlsx", "A 29151-2025")</f>
        <v/>
      </c>
      <c r="X35">
        <f>HYPERLINK("https://klasma.github.io/Logging_1493/kartor/A 29151-2025 karta.png", "A 29151-2025")</f>
        <v/>
      </c>
      <c r="Y35">
        <f>HYPERLINK("https://klasma.github.io/Logging_1493/kartor_geotiff/A 29151-2025 georefererad karta.tif", "A 29151-2025")</f>
        <v/>
      </c>
      <c r="AA35">
        <f>HYPERLINK("https://klasma.github.io/Logging_1493/klagomål/A 29151-2025 FSC-klagomål.docx", "A 29151-2025")</f>
        <v/>
      </c>
      <c r="AB35">
        <f>HYPERLINK("https://klasma.github.io/Logging_1493/klagomålsmail/A 29151-2025 FSC-klagomål mail.docx", "A 29151-2025")</f>
        <v/>
      </c>
      <c r="AC35">
        <f>HYPERLINK("https://klasma.github.io/Logging_1493/tillsyn/A 29151-2025 tillsynsbegäran.docx", "A 29151-2025")</f>
        <v/>
      </c>
      <c r="AD35">
        <f>HYPERLINK("https://klasma.github.io/Logging_1493/tillsynsmail/A 29151-2025 tillsynsbegäran mail.docx", "A 29151-2025")</f>
        <v/>
      </c>
    </row>
    <row r="36" ht="15" customHeight="1">
      <c r="A36" t="inlineStr">
        <is>
          <t>A 29152-2025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45821</v>
      </c>
      <c r="E36" s="1" t="n">
        <v>46312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HYPERLINK("https://klasma.github.io/Logging_1493/artfynd/A 29152-2025 artfynd.xlsx", "A 29152-2025")</f>
        <v/>
      </c>
      <c r="X36">
        <f>HYPERLINK("https://klasma.github.io/Logging_1493/kartor/A 29152-2025 karta.png", "A 29152-2025")</f>
        <v/>
      </c>
      <c r="Y36">
        <f>HYPERLINK("https://klasma.github.io/Logging_1493/kartor_geotiff/A 29152-2025 georefererad karta.tif", "A 29152-2025")</f>
        <v/>
      </c>
      <c r="AA36">
        <f>HYPERLINK("https://klasma.github.io/Logging_1493/klagomål/A 29152-2025 FSC-klagomål.docx", "A 29152-2025")</f>
        <v/>
      </c>
      <c r="AB36">
        <f>HYPERLINK("https://klasma.github.io/Logging_1493/klagomålsmail/A 29152-2025 FSC-klagomål mail.docx", "A 29152-2025")</f>
        <v/>
      </c>
      <c r="AC36">
        <f>HYPERLINK("https://klasma.github.io/Logging_1493/tillsyn/A 29152-2025 tillsynsbegäran.docx", "A 29152-2025")</f>
        <v/>
      </c>
      <c r="AD36">
        <f>HYPERLINK("https://klasma.github.io/Logging_1493/tillsynsmail/A 29152-2025 tillsynsbegäran mail.docx", "A 29152-2025")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46312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46312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46312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46312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46312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46312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46312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46312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46312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46312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46312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46312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46312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46312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46312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46312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46312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46312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46312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46312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46312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46312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46312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46312</v>
      </c>
      <c r="F62" t="inlineStr">
        <is>
          <t>VÄSTRA GÖTALANDS LÄN</t>
        </is>
      </c>
      <c r="G62" t="inlineStr">
        <is>
          <t>MARIESTAD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44630</v>
      </c>
      <c r="E63" s="1" t="n">
        <v>46312</v>
      </c>
      <c r="F63" t="inlineStr">
        <is>
          <t>VÄSTRA GÖTALANDS LÄN</t>
        </is>
      </c>
      <c r="G63" t="inlineStr">
        <is>
          <t>MARIESTAD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46312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44843</v>
      </c>
      <c r="E65" s="1" t="n">
        <v>46312</v>
      </c>
      <c r="F65" t="inlineStr">
        <is>
          <t>VÄSTRA GÖTALANDS LÄN</t>
        </is>
      </c>
      <c r="G65" t="inlineStr">
        <is>
          <t>MARIESTAD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46312</v>
      </c>
      <c r="F66" t="inlineStr">
        <is>
          <t>VÄSTRA GÖTALANDS LÄN</t>
        </is>
      </c>
      <c r="G66" t="inlineStr">
        <is>
          <t>MARIESTAD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46312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44574</v>
      </c>
      <c r="E68" s="1" t="n">
        <v>46312</v>
      </c>
      <c r="F68" t="inlineStr">
        <is>
          <t>VÄSTRA GÖTALANDS LÄN</t>
        </is>
      </c>
      <c r="G68" t="inlineStr">
        <is>
          <t>MARIESTAD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46312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46312</v>
      </c>
      <c r="F70" t="inlineStr">
        <is>
          <t>VÄSTRA GÖTALANDS LÄN</t>
        </is>
      </c>
      <c r="G70" t="inlineStr">
        <is>
          <t>MARIESTAD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46312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46312</v>
      </c>
      <c r="F72" t="inlineStr">
        <is>
          <t>VÄSTRA GÖTALANDS LÄN</t>
        </is>
      </c>
      <c r="G72" t="inlineStr">
        <is>
          <t>MARIESTAD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46312</v>
      </c>
      <c r="F73" t="inlineStr">
        <is>
          <t>VÄSTRA GÖTALANDS LÄN</t>
        </is>
      </c>
      <c r="G73" t="inlineStr">
        <is>
          <t>MARIESTAD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45470</v>
      </c>
      <c r="E74" s="1" t="n">
        <v>46312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Kyrkan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46312</v>
      </c>
      <c r="F75" t="inlineStr">
        <is>
          <t>VÄSTRA GÖTALANDS LÄN</t>
        </is>
      </c>
      <c r="G75" t="inlineStr">
        <is>
          <t>MARIESTAD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46312</v>
      </c>
      <c r="F76" t="inlineStr">
        <is>
          <t>VÄSTRA GÖTALANDS LÄN</t>
        </is>
      </c>
      <c r="G76" t="inlineStr">
        <is>
          <t>MARIESTAD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46312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46312</v>
      </c>
      <c r="F78" t="inlineStr">
        <is>
          <t>VÄSTRA GÖTALANDS LÄN</t>
        </is>
      </c>
      <c r="G78" t="inlineStr">
        <is>
          <t>MARIESTAD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66771-2021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44521</v>
      </c>
      <c r="E79" s="1" t="n">
        <v>46312</v>
      </c>
      <c r="F79" t="inlineStr">
        <is>
          <t>VÄSTRA GÖTALANDS LÄN</t>
        </is>
      </c>
      <c r="G79" t="inlineStr">
        <is>
          <t>MARIESTAD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46312</v>
      </c>
      <c r="F80" t="inlineStr">
        <is>
          <t>VÄSTRA GÖTALANDS LÄN</t>
        </is>
      </c>
      <c r="G80" t="inlineStr">
        <is>
          <t>MARIESTAD</t>
        </is>
      </c>
      <c r="I80" t="n">
        <v>9.1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46312</v>
      </c>
      <c r="F81" t="inlineStr">
        <is>
          <t>VÄSTRA GÖTALANDS LÄN</t>
        </is>
      </c>
      <c r="G81" t="inlineStr">
        <is>
          <t>MARIESTAD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46312</v>
      </c>
      <c r="F82" t="inlineStr">
        <is>
          <t>VÄSTRA GÖTALANDS LÄN</t>
        </is>
      </c>
      <c r="G82" t="inlineStr">
        <is>
          <t>MARIESTAD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46312</v>
      </c>
      <c r="F83" t="inlineStr">
        <is>
          <t>VÄSTRA GÖTALANDS LÄN</t>
        </is>
      </c>
      <c r="G83" t="inlineStr">
        <is>
          <t>MARIESTAD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46312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70295-2021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44536</v>
      </c>
      <c r="E85" s="1" t="n">
        <v>46312</v>
      </c>
      <c r="F85" t="inlineStr">
        <is>
          <t>VÄSTRA GÖTALANDS LÄN</t>
        </is>
      </c>
      <c r="G85" t="inlineStr">
        <is>
          <t>MARIESTAD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45240</v>
      </c>
      <c r="E86" s="1" t="n">
        <v>46312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46312</v>
      </c>
      <c r="F87" t="inlineStr">
        <is>
          <t>VÄSTRA GÖTALANDS LÄN</t>
        </is>
      </c>
      <c r="G87" t="inlineStr">
        <is>
          <t>MARIESTAD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44797</v>
      </c>
      <c r="E88" s="1" t="n">
        <v>46312</v>
      </c>
      <c r="F88" t="inlineStr">
        <is>
          <t>VÄSTRA GÖTALANDS LÄN</t>
        </is>
      </c>
      <c r="G88" t="inlineStr">
        <is>
          <t>MARIESTAD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46312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46312</v>
      </c>
      <c r="F90" t="inlineStr">
        <is>
          <t>VÄSTRA GÖTALANDS LÄN</t>
        </is>
      </c>
      <c r="G90" t="inlineStr">
        <is>
          <t>MARIESTAD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46312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46312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46312</v>
      </c>
      <c r="F93" t="inlineStr">
        <is>
          <t>VÄSTRA GÖTALANDS LÄN</t>
        </is>
      </c>
      <c r="G93" t="inlineStr">
        <is>
          <t>MARIESTAD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45265</v>
      </c>
      <c r="E94" s="1" t="n">
        <v>46312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46312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46312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46312</v>
      </c>
      <c r="F97" t="inlineStr">
        <is>
          <t>VÄSTRA GÖTALANDS LÄN</t>
        </is>
      </c>
      <c r="G97" t="inlineStr">
        <is>
          <t>MARIESTAD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46312</v>
      </c>
      <c r="F98" t="inlineStr">
        <is>
          <t>VÄSTRA GÖTALANDS LÄN</t>
        </is>
      </c>
      <c r="G98" t="inlineStr">
        <is>
          <t>MARIESTAD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46312</v>
      </c>
      <c r="F99" t="inlineStr">
        <is>
          <t>VÄSTRA GÖTALANDS LÄN</t>
        </is>
      </c>
      <c r="G99" t="inlineStr">
        <is>
          <t>MARIESTAD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46312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44883</v>
      </c>
      <c r="E101" s="1" t="n">
        <v>46312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46312</v>
      </c>
      <c r="F102" t="inlineStr">
        <is>
          <t>VÄSTRA GÖTALANDS LÄN</t>
        </is>
      </c>
      <c r="G102" t="inlineStr">
        <is>
          <t>MARIESTAD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45199</v>
      </c>
      <c r="E103" s="1" t="n">
        <v>46312</v>
      </c>
      <c r="F103" t="inlineStr">
        <is>
          <t>VÄSTRA GÖTALANDS LÄN</t>
        </is>
      </c>
      <c r="G103" t="inlineStr">
        <is>
          <t>MARIESTAD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46312</v>
      </c>
      <c r="F104" t="inlineStr">
        <is>
          <t>VÄSTRA GÖTALANDS LÄN</t>
        </is>
      </c>
      <c r="G104" t="inlineStr">
        <is>
          <t>MARIESTAD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46312</v>
      </c>
      <c r="F105" t="inlineStr">
        <is>
          <t>VÄSTRA GÖTALANDS LÄN</t>
        </is>
      </c>
      <c r="G105" t="inlineStr">
        <is>
          <t>MARIESTAD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46312</v>
      </c>
      <c r="F106" t="inlineStr">
        <is>
          <t>VÄSTRA GÖTALANDS LÄN</t>
        </is>
      </c>
      <c r="G106" t="inlineStr">
        <is>
          <t>MARIESTAD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46312</v>
      </c>
      <c r="F107" t="inlineStr">
        <is>
          <t>VÄSTRA GÖTALANDS LÄN</t>
        </is>
      </c>
      <c r="G107" t="inlineStr">
        <is>
          <t>MARIESTAD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46312</v>
      </c>
      <c r="F108" t="inlineStr">
        <is>
          <t>VÄSTRA GÖTALANDS LÄN</t>
        </is>
      </c>
      <c r="G108" t="inlineStr">
        <is>
          <t>MARIESTAD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46312</v>
      </c>
      <c r="F109" t="inlineStr">
        <is>
          <t>VÄSTRA GÖTALANDS LÄN</t>
        </is>
      </c>
      <c r="G109" t="inlineStr">
        <is>
          <t>MARIESTAD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46312</v>
      </c>
      <c r="F110" t="inlineStr">
        <is>
          <t>VÄSTRA GÖTALANDS LÄN</t>
        </is>
      </c>
      <c r="G110" t="inlineStr">
        <is>
          <t>MARIESTAD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46312</v>
      </c>
      <c r="F111" t="inlineStr">
        <is>
          <t>VÄSTRA GÖTALANDS LÄN</t>
        </is>
      </c>
      <c r="G111" t="inlineStr">
        <is>
          <t>MARIESTAD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44645</v>
      </c>
      <c r="E112" s="1" t="n">
        <v>46312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40455-2023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45170</v>
      </c>
      <c r="E113" s="1" t="n">
        <v>46312</v>
      </c>
      <c r="F113" t="inlineStr">
        <is>
          <t>VÄSTRA GÖTALANDS LÄN</t>
        </is>
      </c>
      <c r="G113" t="inlineStr">
        <is>
          <t>MARIESTAD</t>
        </is>
      </c>
      <c r="I113" t="n">
        <v>34.9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46312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44836</v>
      </c>
      <c r="E115" s="1" t="n">
        <v>46312</v>
      </c>
      <c r="F115" t="inlineStr">
        <is>
          <t>VÄSTRA GÖTALANDS LÄN</t>
        </is>
      </c>
      <c r="G115" t="inlineStr">
        <is>
          <t>MARIESTAD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45722</v>
      </c>
      <c r="E116" s="1" t="n">
        <v>46312</v>
      </c>
      <c r="F116" t="inlineStr">
        <is>
          <t>VÄSTRA GÖTALANDS LÄN</t>
        </is>
      </c>
      <c r="G116" t="inlineStr">
        <is>
          <t>MARIESTAD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39766-2023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45167</v>
      </c>
      <c r="E117" s="1" t="n">
        <v>46312</v>
      </c>
      <c r="F117" t="inlineStr">
        <is>
          <t>VÄSTRA GÖTALANDS LÄN</t>
        </is>
      </c>
      <c r="G117" t="inlineStr">
        <is>
          <t>MARIESTAD</t>
        </is>
      </c>
      <c r="I117" t="n">
        <v>26.5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46312</v>
      </c>
      <c r="F118" t="inlineStr">
        <is>
          <t>VÄSTRA GÖTALANDS LÄN</t>
        </is>
      </c>
      <c r="G118" t="inlineStr">
        <is>
          <t>MARIESTAD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44843</v>
      </c>
      <c r="E119" s="1" t="n">
        <v>46312</v>
      </c>
      <c r="F119" t="inlineStr">
        <is>
          <t>VÄSTRA GÖTALANDS LÄN</t>
        </is>
      </c>
      <c r="G119" t="inlineStr">
        <is>
          <t>MARIESTAD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46312</v>
      </c>
      <c r="F120" t="inlineStr">
        <is>
          <t>VÄSTRA GÖTALANDS LÄN</t>
        </is>
      </c>
      <c r="G120" t="inlineStr">
        <is>
          <t>MARIESTAD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46312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46312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46312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44638</v>
      </c>
      <c r="E124" s="1" t="n">
        <v>46312</v>
      </c>
      <c r="F124" t="inlineStr">
        <is>
          <t>VÄSTRA GÖTALANDS LÄN</t>
        </is>
      </c>
      <c r="G124" t="inlineStr">
        <is>
          <t>MARIESTAD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46312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46312</v>
      </c>
      <c r="F126" t="inlineStr">
        <is>
          <t>VÄSTRA GÖTALANDS LÄN</t>
        </is>
      </c>
      <c r="G126" t="inlineStr">
        <is>
          <t>MARIESTAD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46312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46312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45560</v>
      </c>
      <c r="E129" s="1" t="n">
        <v>46312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46312</v>
      </c>
      <c r="F130" t="inlineStr">
        <is>
          <t>VÄSTRA GÖTALANDS LÄN</t>
        </is>
      </c>
      <c r="G130" t="inlineStr">
        <is>
          <t>MARIESTAD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46312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46312</v>
      </c>
      <c r="F132" t="inlineStr">
        <is>
          <t>VÄSTRA GÖTALANDS LÄN</t>
        </is>
      </c>
      <c r="G132" t="inlineStr">
        <is>
          <t>MARIESTAD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46312</v>
      </c>
      <c r="F133" t="inlineStr">
        <is>
          <t>VÄSTRA GÖTALANDS LÄN</t>
        </is>
      </c>
      <c r="G133" t="inlineStr">
        <is>
          <t>MARIESTAD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46312</v>
      </c>
      <c r="F134" t="inlineStr">
        <is>
          <t>VÄSTRA GÖTALANDS LÄN</t>
        </is>
      </c>
      <c r="G134" t="inlineStr">
        <is>
          <t>MARIESTAD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46312</v>
      </c>
      <c r="F135" t="inlineStr">
        <is>
          <t>VÄSTRA GÖTALANDS LÄN</t>
        </is>
      </c>
      <c r="G135" t="inlineStr">
        <is>
          <t>MARIESTAD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46312</v>
      </c>
      <c r="F136" t="inlineStr">
        <is>
          <t>VÄSTRA GÖTALANDS LÄN</t>
        </is>
      </c>
      <c r="G136" t="inlineStr">
        <is>
          <t>MARIESTAD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46312</v>
      </c>
      <c r="F137" t="inlineStr">
        <is>
          <t>VÄSTRA GÖTALANDS LÄN</t>
        </is>
      </c>
      <c r="G137" t="inlineStr">
        <is>
          <t>MARIESTAD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46312</v>
      </c>
      <c r="F138" t="inlineStr">
        <is>
          <t>VÄSTRA GÖTALANDS LÄN</t>
        </is>
      </c>
      <c r="G138" t="inlineStr">
        <is>
          <t>MARIESTAD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46312</v>
      </c>
      <c r="F139" t="inlineStr">
        <is>
          <t>VÄSTRA GÖTALANDS LÄN</t>
        </is>
      </c>
      <c r="G139" t="inlineStr">
        <is>
          <t>MARIESTAD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45211</v>
      </c>
      <c r="E140" s="1" t="n">
        <v>46312</v>
      </c>
      <c r="F140" t="inlineStr">
        <is>
          <t>VÄSTRA GÖTALANDS LÄN</t>
        </is>
      </c>
      <c r="G140" t="inlineStr">
        <is>
          <t>MARIESTAD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46312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46312</v>
      </c>
      <c r="F142" t="inlineStr">
        <is>
          <t>VÄSTRA GÖTALANDS LÄN</t>
        </is>
      </c>
      <c r="G142" t="inlineStr">
        <is>
          <t>MARIESTAD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46312</v>
      </c>
      <c r="F143" t="inlineStr">
        <is>
          <t>VÄSTRA GÖTALANDS LÄN</t>
        </is>
      </c>
      <c r="G143" t="inlineStr">
        <is>
          <t>MARIESTAD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46312</v>
      </c>
      <c r="F144" t="inlineStr">
        <is>
          <t>VÄSTRA GÖTALANDS LÄN</t>
        </is>
      </c>
      <c r="G144" t="inlineStr">
        <is>
          <t>MARIESTAD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45070</v>
      </c>
      <c r="E145" s="1" t="n">
        <v>46312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45131</v>
      </c>
      <c r="E146" s="1" t="n">
        <v>46312</v>
      </c>
      <c r="F146" t="inlineStr">
        <is>
          <t>VÄSTRA GÖTALANDS LÄN</t>
        </is>
      </c>
      <c r="G146" t="inlineStr">
        <is>
          <t>MARIESTAD</t>
        </is>
      </c>
      <c r="I146" t="n">
        <v>16.1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46312</v>
      </c>
      <c r="F147" t="inlineStr">
        <is>
          <t>VÄSTRA GÖTALANDS LÄN</t>
        </is>
      </c>
      <c r="G147" t="inlineStr">
        <is>
          <t>MARIESTAD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46312</v>
      </c>
      <c r="F148" t="inlineStr">
        <is>
          <t>VÄSTRA GÖTALANDS LÄN</t>
        </is>
      </c>
      <c r="G148" t="inlineStr">
        <is>
          <t>MARIESTAD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45033</v>
      </c>
      <c r="E149" s="1" t="n">
        <v>46312</v>
      </c>
      <c r="F149" t="inlineStr">
        <is>
          <t>VÄSTRA GÖTALANDS LÄN</t>
        </is>
      </c>
      <c r="G149" t="inlineStr">
        <is>
          <t>MARIESTAD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46312</v>
      </c>
      <c r="F150" t="inlineStr">
        <is>
          <t>VÄSTRA GÖTALANDS LÄN</t>
        </is>
      </c>
      <c r="G150" t="inlineStr">
        <is>
          <t>MARIESTAD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46312</v>
      </c>
      <c r="F151" t="inlineStr">
        <is>
          <t>VÄSTRA GÖTALANDS LÄN</t>
        </is>
      </c>
      <c r="G151" t="inlineStr">
        <is>
          <t>MARIESTAD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46312</v>
      </c>
      <c r="F152" t="inlineStr">
        <is>
          <t>VÄSTRA GÖTALANDS LÄN</t>
        </is>
      </c>
      <c r="G152" t="inlineStr">
        <is>
          <t>MARIESTAD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44943</v>
      </c>
      <c r="E153" s="1" t="n">
        <v>46312</v>
      </c>
      <c r="F153" t="inlineStr">
        <is>
          <t>VÄSTRA GÖTALANDS LÄN</t>
        </is>
      </c>
      <c r="G153" t="inlineStr">
        <is>
          <t>MARIESTAD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46312</v>
      </c>
      <c r="F154" t="inlineStr">
        <is>
          <t>VÄSTRA GÖTALANDS LÄN</t>
        </is>
      </c>
      <c r="G154" t="inlineStr">
        <is>
          <t>MARIESTAD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46312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46312</v>
      </c>
      <c r="F156" t="inlineStr">
        <is>
          <t>VÄSTRA GÖTALANDS LÄN</t>
        </is>
      </c>
      <c r="G156" t="inlineStr">
        <is>
          <t>MARIESTAD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46312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46312</v>
      </c>
      <c r="F158" t="inlineStr">
        <is>
          <t>VÄSTRA GÖTALANDS LÄN</t>
        </is>
      </c>
      <c r="G158" t="inlineStr">
        <is>
          <t>MARIESTAD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46312</v>
      </c>
      <c r="F159" t="inlineStr">
        <is>
          <t>VÄSTRA GÖTALANDS LÄN</t>
        </is>
      </c>
      <c r="G159" t="inlineStr">
        <is>
          <t>MARIESTAD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46312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46312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45384</v>
      </c>
      <c r="E162" s="1" t="n">
        <v>46312</v>
      </c>
      <c r="F162" t="inlineStr">
        <is>
          <t>VÄSTRA GÖTALANDS LÄN</t>
        </is>
      </c>
      <c r="G162" t="inlineStr">
        <is>
          <t>MARIESTAD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46312</v>
      </c>
      <c r="F163" t="inlineStr">
        <is>
          <t>VÄSTRA GÖTALANDS LÄN</t>
        </is>
      </c>
      <c r="G163" t="inlineStr">
        <is>
          <t>MARIESTAD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46312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46312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21361-2026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46142</v>
      </c>
      <c r="E166" s="1" t="n">
        <v>46312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46312</v>
      </c>
      <c r="F167" t="inlineStr">
        <is>
          <t>VÄSTRA GÖTALANDS LÄN</t>
        </is>
      </c>
      <c r="G167" t="inlineStr">
        <is>
          <t>MARIESTAD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46312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13655-2023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45006</v>
      </c>
      <c r="E169" s="1" t="n">
        <v>46312</v>
      </c>
      <c r="F169" t="inlineStr">
        <is>
          <t>VÄSTRA GÖTALANDS LÄN</t>
        </is>
      </c>
      <c r="G169" t="inlineStr">
        <is>
          <t>MARIESTAD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46312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46312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46312</v>
      </c>
      <c r="F172" t="inlineStr">
        <is>
          <t>VÄSTRA GÖTALANDS LÄN</t>
        </is>
      </c>
      <c r="G172" t="inlineStr">
        <is>
          <t>MARIESTAD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46312</v>
      </c>
      <c r="F173" t="inlineStr">
        <is>
          <t>VÄSTRA GÖTALANDS LÄN</t>
        </is>
      </c>
      <c r="G173" t="inlineStr">
        <is>
          <t>MARIESTAD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46312</v>
      </c>
      <c r="F174" t="inlineStr">
        <is>
          <t>VÄSTRA GÖTALANDS LÄN</t>
        </is>
      </c>
      <c r="G174" t="inlineStr">
        <is>
          <t>MARIESTAD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46312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26688-2022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44739</v>
      </c>
      <c r="E176" s="1" t="n">
        <v>46312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46312</v>
      </c>
      <c r="F177" t="inlineStr">
        <is>
          <t>VÄSTRA GÖTALANDS LÄN</t>
        </is>
      </c>
      <c r="G177" t="inlineStr">
        <is>
          <t>MARIESTAD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45324</v>
      </c>
      <c r="E178" s="1" t="n">
        <v>46312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44756</v>
      </c>
      <c r="E179" s="1" t="n">
        <v>46312</v>
      </c>
      <c r="F179" t="inlineStr">
        <is>
          <t>VÄSTRA GÖTALANDS LÄN</t>
        </is>
      </c>
      <c r="G179" t="inlineStr">
        <is>
          <t>MARIESTAD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46312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46312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36399-2024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45535</v>
      </c>
      <c r="E182" s="1" t="n">
        <v>46312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46312</v>
      </c>
      <c r="F183" t="inlineStr">
        <is>
          <t>VÄSTRA GÖTALANDS LÄN</t>
        </is>
      </c>
      <c r="G183" t="inlineStr">
        <is>
          <t>MARIESTAD</t>
        </is>
      </c>
      <c r="I183" t="n">
        <v>9.699999999999999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45412</v>
      </c>
      <c r="E184" s="1" t="n">
        <v>46312</v>
      </c>
      <c r="F184" t="inlineStr">
        <is>
          <t>VÄSTRA GÖTALANDS LÄN</t>
        </is>
      </c>
      <c r="G184" t="inlineStr">
        <is>
          <t>MARIESTAD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46312</v>
      </c>
      <c r="F185" t="inlineStr">
        <is>
          <t>VÄSTRA GÖTALANDS LÄN</t>
        </is>
      </c>
      <c r="G185" t="inlineStr">
        <is>
          <t>MARIESTAD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46312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46312</v>
      </c>
      <c r="F187" t="inlineStr">
        <is>
          <t>VÄSTRA GÖTALANDS LÄN</t>
        </is>
      </c>
      <c r="G187" t="inlineStr">
        <is>
          <t>MARIESTAD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46312</v>
      </c>
      <c r="F188" t="inlineStr">
        <is>
          <t>VÄSTRA GÖTALANDS LÄN</t>
        </is>
      </c>
      <c r="G188" t="inlineStr">
        <is>
          <t>MARIESTAD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46312</v>
      </c>
      <c r="F189" t="inlineStr">
        <is>
          <t>VÄSTRA GÖTALANDS LÄN</t>
        </is>
      </c>
      <c r="G189" t="inlineStr">
        <is>
          <t>MARIESTAD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46312</v>
      </c>
      <c r="F190" t="inlineStr">
        <is>
          <t>VÄSTRA GÖTALANDS LÄN</t>
        </is>
      </c>
      <c r="G190" t="inlineStr">
        <is>
          <t>MARIESTAD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46312</v>
      </c>
      <c r="F191" t="inlineStr">
        <is>
          <t>VÄSTRA GÖTALANDS LÄN</t>
        </is>
      </c>
      <c r="G191" t="inlineStr">
        <is>
          <t>MARIESTAD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46312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Naturvårdsverket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46312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46312</v>
      </c>
      <c r="F194" t="inlineStr">
        <is>
          <t>VÄSTRA GÖTALANDS LÄN</t>
        </is>
      </c>
      <c r="G194" t="inlineStr">
        <is>
          <t>MARIESTAD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46312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46312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46312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46312</v>
      </c>
      <c r="F198" t="inlineStr">
        <is>
          <t>VÄSTRA GÖTALANDS LÄN</t>
        </is>
      </c>
      <c r="G198" t="inlineStr">
        <is>
          <t>MARIESTAD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46312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46312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50579-2023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45217</v>
      </c>
      <c r="E201" s="1" t="n">
        <v>46312</v>
      </c>
      <c r="F201" t="inlineStr">
        <is>
          <t>VÄSTRA GÖTALANDS LÄN</t>
        </is>
      </c>
      <c r="G201" t="inlineStr">
        <is>
          <t>MARIESTAD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46312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46312</v>
      </c>
      <c r="F203" t="inlineStr">
        <is>
          <t>VÄSTRA GÖTALANDS LÄN</t>
        </is>
      </c>
      <c r="G203" t="inlineStr">
        <is>
          <t>MARIESTAD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46312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46312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46312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46312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44876</v>
      </c>
      <c r="E208" s="1" t="n">
        <v>46312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58077-2022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44900</v>
      </c>
      <c r="E209" s="1" t="n">
        <v>46312</v>
      </c>
      <c r="F209" t="inlineStr">
        <is>
          <t>VÄSTRA GÖTALANDS LÄN</t>
        </is>
      </c>
      <c r="G209" t="inlineStr">
        <is>
          <t>MARIESTAD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46312</v>
      </c>
      <c r="F210" t="inlineStr">
        <is>
          <t>VÄSTRA GÖTALANDS LÄN</t>
        </is>
      </c>
      <c r="G210" t="inlineStr">
        <is>
          <t>MARIESTAD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46312</v>
      </c>
      <c r="F211" t="inlineStr">
        <is>
          <t>VÄSTRA GÖTALANDS LÄN</t>
        </is>
      </c>
      <c r="G211" t="inlineStr">
        <is>
          <t>MARIESTAD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44957</v>
      </c>
      <c r="E212" s="1" t="n">
        <v>46312</v>
      </c>
      <c r="F212" t="inlineStr">
        <is>
          <t>VÄSTRA GÖTALANDS LÄN</t>
        </is>
      </c>
      <c r="G212" t="inlineStr">
        <is>
          <t>MARIESTAD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45371</v>
      </c>
      <c r="E213" s="1" t="n">
        <v>46312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46312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46312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46312</v>
      </c>
      <c r="F216" t="inlineStr">
        <is>
          <t>VÄSTRA GÖTALANDS LÄN</t>
        </is>
      </c>
      <c r="G216" t="inlineStr">
        <is>
          <t>MARIESTAD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46312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Kyrkan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46061</v>
      </c>
      <c r="E218" s="1" t="n">
        <v>46312</v>
      </c>
      <c r="F218" t="inlineStr">
        <is>
          <t>VÄSTRA GÖTALANDS LÄN</t>
        </is>
      </c>
      <c r="G218" t="inlineStr">
        <is>
          <t>MARIESTAD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46312</v>
      </c>
      <c r="F219" t="inlineStr">
        <is>
          <t>VÄSTRA GÖTALANDS LÄN</t>
        </is>
      </c>
      <c r="G219" t="inlineStr">
        <is>
          <t>MARIESTAD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26912-2026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46185</v>
      </c>
      <c r="E220" s="1" t="n">
        <v>46312</v>
      </c>
      <c r="F220" t="inlineStr">
        <is>
          <t>VÄSTRA GÖTALANDS LÄN</t>
        </is>
      </c>
      <c r="G220" t="inlineStr">
        <is>
          <t>MARIESTAD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46312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46312</v>
      </c>
      <c r="F222" t="inlineStr">
        <is>
          <t>VÄSTRA GÖTALANDS LÄN</t>
        </is>
      </c>
      <c r="G222" t="inlineStr">
        <is>
          <t>MARIESTAD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45268</v>
      </c>
      <c r="E223" s="1" t="n">
        <v>46312</v>
      </c>
      <c r="F223" t="inlineStr">
        <is>
          <t>VÄSTRA GÖTALANDS LÄN</t>
        </is>
      </c>
      <c r="G223" t="inlineStr">
        <is>
          <t>MARIESTAD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46312</v>
      </c>
      <c r="F224" t="inlineStr">
        <is>
          <t>VÄSTRA GÖTALANDS LÄN</t>
        </is>
      </c>
      <c r="G224" t="inlineStr">
        <is>
          <t>MARIESTAD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9558-2026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46071</v>
      </c>
      <c r="E225" s="1" t="n">
        <v>46312</v>
      </c>
      <c r="F225" t="inlineStr">
        <is>
          <t>VÄSTRA GÖTALANDS LÄN</t>
        </is>
      </c>
      <c r="G225" t="inlineStr">
        <is>
          <t>MARIESTAD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46312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46312</v>
      </c>
      <c r="F227" t="inlineStr">
        <is>
          <t>VÄSTRA GÖTALANDS LÄN</t>
        </is>
      </c>
      <c r="G227" t="inlineStr">
        <is>
          <t>MARIESTAD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46312</v>
      </c>
      <c r="F228" t="inlineStr">
        <is>
          <t>VÄSTRA GÖTALANDS LÄN</t>
        </is>
      </c>
      <c r="G228" t="inlineStr">
        <is>
          <t>MARIESTAD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46312</v>
      </c>
      <c r="F229" t="inlineStr">
        <is>
          <t>VÄSTRA GÖTALANDS LÄN</t>
        </is>
      </c>
      <c r="G229" t="inlineStr">
        <is>
          <t>MARIESTAD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46312</v>
      </c>
      <c r="F230" t="inlineStr">
        <is>
          <t>VÄSTRA GÖTALANDS LÄN</t>
        </is>
      </c>
      <c r="G230" t="inlineStr">
        <is>
          <t>MARIESTAD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46312</v>
      </c>
      <c r="F231" t="inlineStr">
        <is>
          <t>VÄSTRA GÖTALANDS LÄN</t>
        </is>
      </c>
      <c r="G231" t="inlineStr">
        <is>
          <t>MARIESTAD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46100</v>
      </c>
      <c r="E232" s="1" t="n">
        <v>46312</v>
      </c>
      <c r="F232" t="inlineStr">
        <is>
          <t>VÄSTRA GÖTALANDS LÄN</t>
        </is>
      </c>
      <c r="G232" t="inlineStr">
        <is>
          <t>MARIESTAD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46312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46312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46312</v>
      </c>
      <c r="F235" t="inlineStr">
        <is>
          <t>VÄSTRA GÖTALANDS LÄN</t>
        </is>
      </c>
      <c r="G235" t="inlineStr">
        <is>
          <t>MARIESTAD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46312</v>
      </c>
      <c r="F236" t="inlineStr">
        <is>
          <t>VÄSTRA GÖTALANDS LÄN</t>
        </is>
      </c>
      <c r="G236" t="inlineStr">
        <is>
          <t>MARIESTAD</t>
        </is>
      </c>
      <c r="I236" t="n">
        <v>11.9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46312</v>
      </c>
      <c r="F237" t="inlineStr">
        <is>
          <t>VÄSTRA GÖTALANDS LÄN</t>
        </is>
      </c>
      <c r="G237" t="inlineStr">
        <is>
          <t>MARIESTAD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46312</v>
      </c>
      <c r="F238" t="inlineStr">
        <is>
          <t>VÄSTRA GÖTALANDS LÄN</t>
        </is>
      </c>
      <c r="G238" t="inlineStr">
        <is>
          <t>MARIESTAD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44614</v>
      </c>
      <c r="E239" s="1" t="n">
        <v>46312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Kyrkan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46312</v>
      </c>
      <c r="F240" t="inlineStr">
        <is>
          <t>VÄSTRA GÖTALANDS LÄN</t>
        </is>
      </c>
      <c r="G240" t="inlineStr">
        <is>
          <t>MARIESTAD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46312</v>
      </c>
      <c r="F241" t="inlineStr">
        <is>
          <t>VÄSTRA GÖTALANDS LÄN</t>
        </is>
      </c>
      <c r="G241" t="inlineStr">
        <is>
          <t>MARIESTAD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46312</v>
      </c>
      <c r="F242" t="inlineStr">
        <is>
          <t>VÄSTRA GÖTALANDS LÄN</t>
        </is>
      </c>
      <c r="G242" t="inlineStr">
        <is>
          <t>MARIESTAD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46312</v>
      </c>
      <c r="F243" t="inlineStr">
        <is>
          <t>VÄSTRA GÖTALANDS LÄN</t>
        </is>
      </c>
      <c r="G243" t="inlineStr">
        <is>
          <t>MARIESTAD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46312</v>
      </c>
      <c r="F244" t="inlineStr">
        <is>
          <t>VÄSTRA GÖTALANDS LÄN</t>
        </is>
      </c>
      <c r="G244" t="inlineStr">
        <is>
          <t>MARIESTAD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29857-2022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44756</v>
      </c>
      <c r="E245" s="1" t="n">
        <v>46312</v>
      </c>
      <c r="F245" t="inlineStr">
        <is>
          <t>VÄSTRA GÖTALANDS LÄN</t>
        </is>
      </c>
      <c r="G245" t="inlineStr">
        <is>
          <t>MARIESTAD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45412</v>
      </c>
      <c r="E246" s="1" t="n">
        <v>46312</v>
      </c>
      <c r="F246" t="inlineStr">
        <is>
          <t>VÄSTRA GÖTALANDS LÄN</t>
        </is>
      </c>
      <c r="G246" t="inlineStr">
        <is>
          <t>MARIESTAD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46312</v>
      </c>
      <c r="F247" t="inlineStr">
        <is>
          <t>VÄSTRA GÖTALANDS LÄN</t>
        </is>
      </c>
      <c r="G247" t="inlineStr">
        <is>
          <t>MARIESTAD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46312</v>
      </c>
      <c r="F248" t="inlineStr">
        <is>
          <t>VÄSTRA GÖTALANDS LÄN</t>
        </is>
      </c>
      <c r="G248" t="inlineStr">
        <is>
          <t>MARIESTAD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46199</v>
      </c>
      <c r="E249" s="1" t="n">
        <v>46312</v>
      </c>
      <c r="F249" t="inlineStr">
        <is>
          <t>VÄSTRA GÖTALANDS LÄN</t>
        </is>
      </c>
      <c r="G249" t="inlineStr">
        <is>
          <t>MARIESTAD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46312</v>
      </c>
      <c r="F250" t="inlineStr">
        <is>
          <t>VÄSTRA GÖTALANDS LÄN</t>
        </is>
      </c>
      <c r="G250" t="inlineStr">
        <is>
          <t>MARIESTAD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46312</v>
      </c>
      <c r="F251" t="inlineStr">
        <is>
          <t>VÄSTRA GÖTALANDS LÄN</t>
        </is>
      </c>
      <c r="G251" t="inlineStr">
        <is>
          <t>MARIESTAD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60376-2021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46312</v>
      </c>
      <c r="F252" t="inlineStr">
        <is>
          <t>VÄSTRA GÖTALANDS LÄN</t>
        </is>
      </c>
      <c r="G252" t="inlineStr">
        <is>
          <t>MARIESTAD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45200</v>
      </c>
      <c r="E253" s="1" t="n">
        <v>46312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46312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46312</v>
      </c>
      <c r="F255" t="inlineStr">
        <is>
          <t>VÄSTRA GÖTALANDS LÄN</t>
        </is>
      </c>
      <c r="G255" t="inlineStr">
        <is>
          <t>MARIESTAD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45709</v>
      </c>
      <c r="E256" s="1" t="n">
        <v>46312</v>
      </c>
      <c r="F256" t="inlineStr">
        <is>
          <t>VÄSTRA GÖTALANDS LÄN</t>
        </is>
      </c>
      <c r="G256" t="inlineStr">
        <is>
          <t>MARIESTAD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46312</v>
      </c>
      <c r="F257" t="inlineStr">
        <is>
          <t>VÄSTRA GÖTALANDS LÄN</t>
        </is>
      </c>
      <c r="G257" t="inlineStr">
        <is>
          <t>MARIESTAD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46312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46312</v>
      </c>
      <c r="F259" t="inlineStr">
        <is>
          <t>VÄSTRA GÖTALANDS LÄN</t>
        </is>
      </c>
      <c r="G259" t="inlineStr">
        <is>
          <t>MARIESTAD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45114</v>
      </c>
      <c r="E260" s="1" t="n">
        <v>46312</v>
      </c>
      <c r="F260" t="inlineStr">
        <is>
          <t>VÄSTRA GÖTALANDS LÄN</t>
        </is>
      </c>
      <c r="G260" t="inlineStr">
        <is>
          <t>MARIESTAD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44489</v>
      </c>
      <c r="E261" s="1" t="n">
        <v>46312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45289</v>
      </c>
      <c r="E262" s="1" t="n">
        <v>46312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45548</v>
      </c>
      <c r="E263" s="1" t="n">
        <v>46312</v>
      </c>
      <c r="F263" t="inlineStr">
        <is>
          <t>VÄSTRA GÖTALANDS LÄN</t>
        </is>
      </c>
      <c r="G263" t="inlineStr">
        <is>
          <t>MARIESTAD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46312</v>
      </c>
      <c r="F264" t="inlineStr">
        <is>
          <t>VÄSTRA GÖTALANDS LÄN</t>
        </is>
      </c>
      <c r="G264" t="inlineStr">
        <is>
          <t>MARIESTAD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46312</v>
      </c>
      <c r="F265" t="inlineStr">
        <is>
          <t>VÄSTRA GÖTALANDS LÄN</t>
        </is>
      </c>
      <c r="G265" t="inlineStr">
        <is>
          <t>MARIESTAD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46312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46312</v>
      </c>
      <c r="F267" t="inlineStr">
        <is>
          <t>VÄSTRA GÖTALANDS LÄN</t>
        </is>
      </c>
      <c r="G267" t="inlineStr">
        <is>
          <t>MARIESTAD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74081-2021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44553</v>
      </c>
      <c r="E268" s="1" t="n">
        <v>46312</v>
      </c>
      <c r="F268" t="inlineStr">
        <is>
          <t>VÄSTRA GÖTALANDS LÄN</t>
        </is>
      </c>
      <c r="G268" t="inlineStr">
        <is>
          <t>MARIESTAD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46312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44649</v>
      </c>
      <c r="E270" s="1" t="n">
        <v>46312</v>
      </c>
      <c r="F270" t="inlineStr">
        <is>
          <t>VÄSTRA GÖTALANDS LÄN</t>
        </is>
      </c>
      <c r="G270" t="inlineStr">
        <is>
          <t>MARIESTAD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9610-2022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46312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Kyrkan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45097</v>
      </c>
      <c r="E272" s="1" t="n">
        <v>46312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46312</v>
      </c>
      <c r="F273" t="inlineStr">
        <is>
          <t>VÄSTRA GÖTALANDS LÄN</t>
        </is>
      </c>
      <c r="G273" t="inlineStr">
        <is>
          <t>MARIESTAD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46312</v>
      </c>
      <c r="F274" t="inlineStr">
        <is>
          <t>VÄSTRA GÖTALANDS LÄN</t>
        </is>
      </c>
      <c r="G274" t="inlineStr">
        <is>
          <t>MARIESTAD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44616</v>
      </c>
      <c r="E275" s="1" t="n">
        <v>46312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46312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Kyrkan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46312</v>
      </c>
      <c r="F277" t="inlineStr">
        <is>
          <t>VÄSTRA GÖTALANDS LÄN</t>
        </is>
      </c>
      <c r="G277" t="inlineStr">
        <is>
          <t>MARIESTAD</t>
        </is>
      </c>
      <c r="I277" t="n">
        <v>10.3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46312</v>
      </c>
      <c r="F278" t="inlineStr">
        <is>
          <t>VÄSTRA GÖTALANDS LÄN</t>
        </is>
      </c>
      <c r="G278" t="inlineStr">
        <is>
          <t>MARIESTAD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44999</v>
      </c>
      <c r="E279" s="1" t="n">
        <v>46312</v>
      </c>
      <c r="F279" t="inlineStr">
        <is>
          <t>VÄSTRA GÖTALANDS LÄN</t>
        </is>
      </c>
      <c r="G279" t="inlineStr">
        <is>
          <t>MARIESTAD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46312</v>
      </c>
      <c r="F280" t="inlineStr">
        <is>
          <t>VÄSTRA GÖTALANDS LÄN</t>
        </is>
      </c>
      <c r="G280" t="inlineStr">
        <is>
          <t>MARIESTAD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45528</v>
      </c>
      <c r="E281" s="1" t="n">
        <v>46312</v>
      </c>
      <c r="F281" t="inlineStr">
        <is>
          <t>VÄSTRA GÖTALANDS LÄN</t>
        </is>
      </c>
      <c r="G281" t="inlineStr">
        <is>
          <t>MARIESTAD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46312</v>
      </c>
      <c r="F282" t="inlineStr">
        <is>
          <t>VÄSTRA GÖTALANDS LÄN</t>
        </is>
      </c>
      <c r="G282" t="inlineStr">
        <is>
          <t>MARIESTAD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39286-2026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46288</v>
      </c>
      <c r="E283" s="1" t="n">
        <v>46312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46312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46312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46312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46312</v>
      </c>
      <c r="F287" t="inlineStr">
        <is>
          <t>VÄSTRA GÖTALANDS LÄN</t>
        </is>
      </c>
      <c r="G287" t="inlineStr">
        <is>
          <t>MARIESTAD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46312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46288</v>
      </c>
      <c r="E289" s="1" t="n">
        <v>46312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46312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46312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60812-2023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45260</v>
      </c>
      <c r="E292" s="1" t="n">
        <v>46312</v>
      </c>
      <c r="F292" t="inlineStr">
        <is>
          <t>VÄSTRA GÖTALANDS LÄN</t>
        </is>
      </c>
      <c r="G292" t="inlineStr">
        <is>
          <t>MARIESTAD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46312</v>
      </c>
      <c r="F293" t="inlineStr">
        <is>
          <t>VÄSTRA GÖTALANDS LÄN</t>
        </is>
      </c>
      <c r="G293" t="inlineStr">
        <is>
          <t>MARIESTAD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46312</v>
      </c>
      <c r="F294" t="inlineStr">
        <is>
          <t>VÄSTRA GÖTALANDS LÄN</t>
        </is>
      </c>
      <c r="G294" t="inlineStr">
        <is>
          <t>MARIESTAD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46312</v>
      </c>
      <c r="F295" t="inlineStr">
        <is>
          <t>VÄSTRA GÖTALANDS LÄN</t>
        </is>
      </c>
      <c r="G295" t="inlineStr">
        <is>
          <t>MARIESTAD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44746</v>
      </c>
      <c r="E296" s="1" t="n">
        <v>46312</v>
      </c>
      <c r="F296" t="inlineStr">
        <is>
          <t>VÄSTRA GÖTALANDS LÄN</t>
        </is>
      </c>
      <c r="G296" t="inlineStr">
        <is>
          <t>MARIESTAD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46293</v>
      </c>
      <c r="E297" s="1" t="n">
        <v>46312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45516</v>
      </c>
      <c r="E298" s="1" t="n">
        <v>46312</v>
      </c>
      <c r="F298" t="inlineStr">
        <is>
          <t>VÄSTRA GÖTALANDS LÄN</t>
        </is>
      </c>
      <c r="G298" t="inlineStr">
        <is>
          <t>MARIESTAD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45674</v>
      </c>
      <c r="E299" s="1" t="n">
        <v>46312</v>
      </c>
      <c r="F299" t="inlineStr">
        <is>
          <t>VÄSTRA GÖTALANDS LÄN</t>
        </is>
      </c>
      <c r="G299" t="inlineStr">
        <is>
          <t>MARIESTAD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46312</v>
      </c>
      <c r="F300" t="inlineStr">
        <is>
          <t>VÄSTRA GÖTALANDS LÄN</t>
        </is>
      </c>
      <c r="G300" t="inlineStr">
        <is>
          <t>MARIESTAD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45691</v>
      </c>
      <c r="E301" s="1" t="n">
        <v>46312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61603-2023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45265</v>
      </c>
      <c r="E302" s="1" t="n">
        <v>46312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46312</v>
      </c>
      <c r="F303" t="inlineStr">
        <is>
          <t>VÄSTRA GÖTALANDS LÄN</t>
        </is>
      </c>
      <c r="G303" t="inlineStr">
        <is>
          <t>MARIESTAD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46312</v>
      </c>
      <c r="F304" t="inlineStr">
        <is>
          <t>VÄSTRA GÖTALANDS LÄN</t>
        </is>
      </c>
      <c r="G304" t="inlineStr">
        <is>
          <t>MARIESTAD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45720</v>
      </c>
      <c r="E305" s="1" t="n">
        <v>46312</v>
      </c>
      <c r="F305" t="inlineStr">
        <is>
          <t>VÄSTRA GÖTALANDS LÄN</t>
        </is>
      </c>
      <c r="G305" t="inlineStr">
        <is>
          <t>MARIESTAD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46312</v>
      </c>
      <c r="F306" t="inlineStr">
        <is>
          <t>VÄSTRA GÖTALANDS LÄN</t>
        </is>
      </c>
      <c r="G306" t="inlineStr">
        <is>
          <t>MARIESTAD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46312</v>
      </c>
      <c r="F307" t="inlineStr">
        <is>
          <t>VÄSTRA GÖTALANDS LÄN</t>
        </is>
      </c>
      <c r="G307" t="inlineStr">
        <is>
          <t>MARIESTAD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46312</v>
      </c>
      <c r="F308" t="inlineStr">
        <is>
          <t>VÄSTRA GÖTALANDS LÄN</t>
        </is>
      </c>
      <c r="G308" t="inlineStr">
        <is>
          <t>MARIESTAD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46312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46312</v>
      </c>
      <c r="F310" t="inlineStr">
        <is>
          <t>VÄSTRA GÖTALANDS LÄN</t>
        </is>
      </c>
      <c r="G310" t="inlineStr">
        <is>
          <t>MARIESTAD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46312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46300</v>
      </c>
      <c r="E312" s="1" t="n">
        <v>46312</v>
      </c>
      <c r="F312" t="inlineStr">
        <is>
          <t>VÄSTRA GÖTALANDS LÄN</t>
        </is>
      </c>
      <c r="G312" t="inlineStr">
        <is>
          <t>MARIESTAD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46312</v>
      </c>
      <c r="F313" t="inlineStr">
        <is>
          <t>VÄSTRA GÖTALANDS LÄN</t>
        </is>
      </c>
      <c r="G313" t="inlineStr">
        <is>
          <t>MARIESTAD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46312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45516</v>
      </c>
      <c r="E315" s="1" t="n">
        <v>46312</v>
      </c>
      <c r="F315" t="inlineStr">
        <is>
          <t>VÄSTRA GÖTALANDS LÄN</t>
        </is>
      </c>
      <c r="G315" t="inlineStr">
        <is>
          <t>MARIESTAD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46312</v>
      </c>
      <c r="F316" t="inlineStr">
        <is>
          <t>VÄSTRA GÖTALANDS LÄN</t>
        </is>
      </c>
      <c r="G316" t="inlineStr">
        <is>
          <t>MARIESTAD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45545</v>
      </c>
      <c r="E317" s="1" t="n">
        <v>46312</v>
      </c>
      <c r="F317" t="inlineStr">
        <is>
          <t>VÄSTRA GÖTALANDS LÄN</t>
        </is>
      </c>
      <c r="G317" t="inlineStr">
        <is>
          <t>MARIESTAD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66772-2021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44521</v>
      </c>
      <c r="E318" s="1" t="n">
        <v>46312</v>
      </c>
      <c r="F318" t="inlineStr">
        <is>
          <t>VÄSTRA GÖTALANDS LÄN</t>
        </is>
      </c>
      <c r="G318" t="inlineStr">
        <is>
          <t>MARIESTAD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45705</v>
      </c>
      <c r="E319" s="1" t="n">
        <v>46312</v>
      </c>
      <c r="F319" t="inlineStr">
        <is>
          <t>VÄSTRA GÖTALANDS LÄN</t>
        </is>
      </c>
      <c r="G319" t="inlineStr">
        <is>
          <t>MARIESTAD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46312</v>
      </c>
      <c r="F320" t="inlineStr">
        <is>
          <t>VÄSTRA GÖTALANDS LÄN</t>
        </is>
      </c>
      <c r="G320" t="inlineStr">
        <is>
          <t>MARIESTAD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45211</v>
      </c>
      <c r="E321" s="1" t="n">
        <v>46312</v>
      </c>
      <c r="F321" t="inlineStr">
        <is>
          <t>VÄSTRA GÖTALANDS LÄN</t>
        </is>
      </c>
      <c r="G321" t="inlineStr">
        <is>
          <t>MARIESTAD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45728</v>
      </c>
      <c r="E322" s="1" t="n">
        <v>46312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45502</v>
      </c>
      <c r="E323" s="1" t="n">
        <v>46312</v>
      </c>
      <c r="F323" t="inlineStr">
        <is>
          <t>VÄSTRA GÖTALANDS LÄN</t>
        </is>
      </c>
      <c r="G323" t="inlineStr">
        <is>
          <t>MARIESTAD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45709</v>
      </c>
      <c r="E324" s="1" t="n">
        <v>46312</v>
      </c>
      <c r="F324" t="inlineStr">
        <is>
          <t>VÄSTRA GÖTALANDS LÄN</t>
        </is>
      </c>
      <c r="G324" t="inlineStr">
        <is>
          <t>MARIESTAD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46312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46312</v>
      </c>
      <c r="F326" t="inlineStr">
        <is>
          <t>VÄSTRA GÖTALANDS LÄN</t>
        </is>
      </c>
      <c r="G326" t="inlineStr">
        <is>
          <t>MARIESTAD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46261</v>
      </c>
      <c r="E327" s="1" t="n">
        <v>46312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46312</v>
      </c>
      <c r="F328" t="inlineStr">
        <is>
          <t>VÄSTRA GÖTALANDS LÄN</t>
        </is>
      </c>
      <c r="G328" t="inlineStr">
        <is>
          <t>MARIESTAD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52869-2024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45610</v>
      </c>
      <c r="E329" s="1" t="n">
        <v>46312</v>
      </c>
      <c r="F329" t="inlineStr">
        <is>
          <t>VÄSTRA GÖTALANDS LÄN</t>
        </is>
      </c>
      <c r="G329" t="inlineStr">
        <is>
          <t>MARIESTAD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46261</v>
      </c>
      <c r="E330" s="1" t="n">
        <v>46312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46312</v>
      </c>
      <c r="F331" t="inlineStr">
        <is>
          <t>VÄSTRA GÖTALANDS LÄN</t>
        </is>
      </c>
      <c r="G331" t="inlineStr">
        <is>
          <t>MARIESTAD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46312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46312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46262</v>
      </c>
      <c r="E334" s="1" t="n">
        <v>46312</v>
      </c>
      <c r="F334" t="inlineStr">
        <is>
          <t>VÄSTRA GÖTALANDS LÄN</t>
        </is>
      </c>
      <c r="G334" t="inlineStr">
        <is>
          <t>MARIESTAD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46262</v>
      </c>
      <c r="E335" s="1" t="n">
        <v>46312</v>
      </c>
      <c r="F335" t="inlineStr">
        <is>
          <t>VÄSTRA GÖTALANDS LÄN</t>
        </is>
      </c>
      <c r="G335" t="inlineStr">
        <is>
          <t>MARIESTAD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46312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45804</v>
      </c>
      <c r="E337" s="1" t="n">
        <v>46312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45804</v>
      </c>
      <c r="E338" s="1" t="n">
        <v>46312</v>
      </c>
      <c r="F338" t="inlineStr">
        <is>
          <t>VÄSTRA GÖTALANDS LÄN</t>
        </is>
      </c>
      <c r="G338" t="inlineStr">
        <is>
          <t>MARIESTAD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46312</v>
      </c>
      <c r="F339" t="inlineStr">
        <is>
          <t>VÄSTRA GÖTALANDS LÄN</t>
        </is>
      </c>
      <c r="G339" t="inlineStr">
        <is>
          <t>MARIESTAD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46312</v>
      </c>
      <c r="F340" t="inlineStr">
        <is>
          <t>VÄSTRA GÖTALANDS LÄN</t>
        </is>
      </c>
      <c r="G340" t="inlineStr">
        <is>
          <t>MARIESTAD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46312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46312</v>
      </c>
      <c r="F342" t="inlineStr">
        <is>
          <t>VÄSTRA GÖTALANDS LÄN</t>
        </is>
      </c>
      <c r="G342" t="inlineStr">
        <is>
          <t>MARIESTAD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46312</v>
      </c>
      <c r="F343" t="inlineStr">
        <is>
          <t>VÄSTRA GÖTALANDS LÄN</t>
        </is>
      </c>
      <c r="G343" t="inlineStr">
        <is>
          <t>MARIESTAD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45821</v>
      </c>
      <c r="E344" s="1" t="n">
        <v>46312</v>
      </c>
      <c r="F344" t="inlineStr">
        <is>
          <t>VÄSTRA GÖTALANDS LÄN</t>
        </is>
      </c>
      <c r="G344" t="inlineStr">
        <is>
          <t>MARIESTAD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46312</v>
      </c>
      <c r="F345" t="inlineStr">
        <is>
          <t>VÄSTRA GÖTALANDS LÄN</t>
        </is>
      </c>
      <c r="G345" t="inlineStr">
        <is>
          <t>MARIESTAD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46312</v>
      </c>
      <c r="F346" t="inlineStr">
        <is>
          <t>VÄSTRA GÖTALANDS LÄN</t>
        </is>
      </c>
      <c r="G346" t="inlineStr">
        <is>
          <t>MARIESTAD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45827</v>
      </c>
      <c r="E347" s="1" t="n">
        <v>46312</v>
      </c>
      <c r="F347" t="inlineStr">
        <is>
          <t>VÄSTRA GÖTALANDS LÄN</t>
        </is>
      </c>
      <c r="G347" t="inlineStr">
        <is>
          <t>MARIESTAD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46312</v>
      </c>
      <c r="F348" t="inlineStr">
        <is>
          <t>VÄSTRA GÖTALANDS LÄN</t>
        </is>
      </c>
      <c r="G348" t="inlineStr">
        <is>
          <t>MARIESTAD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46312</v>
      </c>
      <c r="F349" t="inlineStr">
        <is>
          <t>VÄSTRA GÖTALANDS LÄN</t>
        </is>
      </c>
      <c r="G349" t="inlineStr">
        <is>
          <t>MARIESTAD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46312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46312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46312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46312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2026-10-17T02:06:04Z</dcterms:created>
  <dcterms:modified xmlns:dcterms="http://purl.org/dc/terms/" xmlns:xsi="http://www.w3.org/2001/XMLSchema-instance" xsi:type="dcterms:W3CDTF">2026-10-17T02:06:04Z</dcterms:modified>
</cp:coreProperties>
</file>