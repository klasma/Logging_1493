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46284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46284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46284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46284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46284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46284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46284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46284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46284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46284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46284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46284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46284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46284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46284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46284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Ask
Tallticka</t>
        </is>
      </c>
      <c r="W17">
        <f>HYPERLINK("https://klasma.github.io/Logging_1493/artfynd/A 63287-2025 artfynd.xlsx", "A 63287-2025")</f>
        <v/>
      </c>
      <c r="X17">
        <f>HYPERLINK("https://klasma.github.io/Logging_1493/kartor/A 63287-2025 karta.png", "A 63287-2025")</f>
        <v/>
      </c>
      <c r="Y17">
        <f>HYPERLINK("https://klasma.github.io/Logging_1493/kartor_geotiff/A 63287-2025 georefererad karta.tif", "A 63287-2025")</f>
        <v/>
      </c>
      <c r="AA17">
        <f>HYPERLINK("https://klasma.github.io/Logging_1493/klagomål/A 63287-2025 FSC-klagomål.docx", "A 63287-2025")</f>
        <v/>
      </c>
      <c r="AB17">
        <f>HYPERLINK("https://klasma.github.io/Logging_1493/klagomålsmail/A 63287-2025 FSC-klagomål mail.docx", "A 63287-2025")</f>
        <v/>
      </c>
      <c r="AC17">
        <f>HYPERLINK("https://klasma.github.io/Logging_1493/tillsyn/A 63287-2025 tillsynsbegäran.docx", "A 63287-2025")</f>
        <v/>
      </c>
      <c r="AD17">
        <f>HYPERLINK("https://klasma.github.io/Logging_1493/tillsynsmail/A 63287-2025 tillsynsbegäran mail.docx", "A 63287-2025")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46284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46284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46284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46284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46284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46284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46284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46284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46284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46284</v>
      </c>
      <c r="F27" t="inlineStr">
        <is>
          <t>VÄSTRA GÖTALANDS LÄN</t>
        </is>
      </c>
      <c r="G27" t="inlineStr">
        <is>
          <t>MARIESTAD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Skogsödla</t>
        </is>
      </c>
      <c r="W27">
        <f>HYPERLINK("https://klasma.github.io/Logging_1493/artfynd/A 7612-2023 artfynd.xlsx", "A 7612-2023")</f>
        <v/>
      </c>
      <c r="X27">
        <f>HYPERLINK("https://klasma.github.io/Logging_1493/kartor/A 7612-2023 karta.png", "A 7612-2023")</f>
        <v/>
      </c>
      <c r="Y27">
        <f>HYPERLINK("https://klasma.github.io/Logging_1493/kartor_geotiff/A 7612-2023 georefererad karta.tif", "A 7612-2023")</f>
        <v/>
      </c>
      <c r="AA27">
        <f>HYPERLINK("https://klasma.github.io/Logging_1493/klagomål/A 7612-2023 FSC-klagomål.docx", "A 7612-2023")</f>
        <v/>
      </c>
      <c r="AB27">
        <f>HYPERLINK("https://klasma.github.io/Logging_1493/klagomålsmail/A 7612-2023 FSC-klagomål mail.docx", "A 7612-2023")</f>
        <v/>
      </c>
      <c r="AC27">
        <f>HYPERLINK("https://klasma.github.io/Logging_1493/tillsyn/A 7612-2023 tillsynsbegäran.docx", "A 7612-2023")</f>
        <v/>
      </c>
      <c r="AD27">
        <f>HYPERLINK("https://klasma.github.io/Logging_1493/tillsynsmail/A 7612-2023 tillsynsbegäran mail.docx", "A 7612-2023")</f>
        <v/>
      </c>
    </row>
    <row r="28" ht="15" customHeight="1">
      <c r="A28" t="inlineStr">
        <is>
          <t>A 42647-2023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46284</v>
      </c>
      <c r="F28" t="inlineStr">
        <is>
          <t>VÄSTRA GÖTALANDS LÄN</t>
        </is>
      </c>
      <c r="G28" t="inlineStr">
        <is>
          <t>MARIESTAD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Ärtsångare</t>
        </is>
      </c>
      <c r="W28">
        <f>HYPERLINK("https://klasma.github.io/Logging_1493/artfynd/A 42647-2023 artfynd.xlsx", "A 42647-2023")</f>
        <v/>
      </c>
      <c r="X28">
        <f>HYPERLINK("https://klasma.github.io/Logging_1493/kartor/A 42647-2023 karta.png", "A 42647-2023")</f>
        <v/>
      </c>
      <c r="Y28">
        <f>HYPERLINK("https://klasma.github.io/Logging_1493/kartor_geotiff/A 42647-2023 georefererad karta.tif", "A 42647-2023")</f>
        <v/>
      </c>
      <c r="AA28">
        <f>HYPERLINK("https://klasma.github.io/Logging_1493/klagomål/A 42647-2023 FSC-klagomål.docx", "A 42647-2023")</f>
        <v/>
      </c>
      <c r="AB28">
        <f>HYPERLINK("https://klasma.github.io/Logging_1493/klagomålsmail/A 42647-2023 FSC-klagomål mail.docx", "A 42647-2023")</f>
        <v/>
      </c>
      <c r="AC28">
        <f>HYPERLINK("https://klasma.github.io/Logging_1493/tillsyn/A 42647-2023 tillsynsbegäran.docx", "A 42647-2023")</f>
        <v/>
      </c>
      <c r="AD28">
        <f>HYPERLINK("https://klasma.github.io/Logging_1493/tillsynsmail/A 42647-2023 tillsynsbegäran mail.docx", "A 42647-2023")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46284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15052-2023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46284</v>
      </c>
      <c r="F30" t="inlineStr">
        <is>
          <t>VÄSTRA GÖTALANDS LÄN</t>
        </is>
      </c>
      <c r="G30" t="inlineStr">
        <is>
          <t>MARIESTAD</t>
        </is>
      </c>
      <c r="I30" t="n">
        <v>15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Bivråk</t>
        </is>
      </c>
      <c r="W30">
        <f>HYPERLINK("https://klasma.github.io/Logging_1493/artfynd/A 15052-2023 artfynd.xlsx", "A 15052-2023")</f>
        <v/>
      </c>
      <c r="X30">
        <f>HYPERLINK("https://klasma.github.io/Logging_1493/kartor/A 15052-2023 karta.png", "A 15052-2023")</f>
        <v/>
      </c>
      <c r="Y30">
        <f>HYPERLINK("https://klasma.github.io/Logging_1493/kartor_geotiff/A 15052-2023 georefererad karta.tif", "A 15052-2023")</f>
        <v/>
      </c>
      <c r="AA30">
        <f>HYPERLINK("https://klasma.github.io/Logging_1493/klagomål/A 15052-2023 FSC-klagomål.docx", "A 15052-2023")</f>
        <v/>
      </c>
      <c r="AB30">
        <f>HYPERLINK("https://klasma.github.io/Logging_1493/klagomålsmail/A 15052-2023 FSC-klagomål mail.docx", "A 15052-2023")</f>
        <v/>
      </c>
      <c r="AC30">
        <f>HYPERLINK("https://klasma.github.io/Logging_1493/tillsyn/A 15052-2023 tillsynsbegäran.docx", "A 15052-2023")</f>
        <v/>
      </c>
      <c r="AD30">
        <f>HYPERLINK("https://klasma.github.io/Logging_1493/tillsynsmail/A 15052-2023 tillsynsbegäran mail.docx", "A 15052-2023")</f>
        <v/>
      </c>
      <c r="AE30">
        <f>HYPERLINK("https://klasma.github.io/Logging_1493/fåglar/A 15052-2023 prioriterade fågelarter.docx", "A 15052-2023")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46284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46284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46284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12379-2026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46090</v>
      </c>
      <c r="E34" s="1" t="n">
        <v>46284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5.7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HYPERLINK("https://klasma.github.io/Logging_1493/artfynd/A 12379-2026 artfynd.xlsx", "A 12379-2026")</f>
        <v/>
      </c>
      <c r="X34">
        <f>HYPERLINK("https://klasma.github.io/Logging_1493/kartor/A 12379-2026 karta.png", "A 12379-2026")</f>
        <v/>
      </c>
      <c r="Y34">
        <f>HYPERLINK("https://klasma.github.io/Logging_1493/kartor_geotiff/A 12379-2026 georefererad karta.tif", "A 12379-2026")</f>
        <v/>
      </c>
      <c r="AA34">
        <f>HYPERLINK("https://klasma.github.io/Logging_1493/klagomål/A 12379-2026 FSC-klagomål.docx", "A 12379-2026")</f>
        <v/>
      </c>
      <c r="AB34">
        <f>HYPERLINK("https://klasma.github.io/Logging_1493/klagomålsmail/A 12379-2026 FSC-klagomål mail.docx", "A 12379-2026")</f>
        <v/>
      </c>
      <c r="AC34">
        <f>HYPERLINK("https://klasma.github.io/Logging_1493/tillsyn/A 12379-2026 tillsynsbegäran.docx", "A 12379-2026")</f>
        <v/>
      </c>
      <c r="AD34">
        <f>HYPERLINK("https://klasma.github.io/Logging_1493/tillsynsmail/A 12379-2026 tillsynsbegäran mail.docx", "A 12379-2026")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46284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46284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46284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46284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46284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46284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46284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46284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46284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46284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46284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46284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46284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46284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46284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46284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46284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46284</v>
      </c>
      <c r="F52" t="inlineStr">
        <is>
          <t>VÄSTRA GÖTALANDS LÄN</t>
        </is>
      </c>
      <c r="G52" t="inlineStr">
        <is>
          <t>MARIESTAD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44461</v>
      </c>
      <c r="E53" s="1" t="n">
        <v>46284</v>
      </c>
      <c r="F53" t="inlineStr">
        <is>
          <t>VÄSTRA GÖTALANDS LÄN</t>
        </is>
      </c>
      <c r="G53" t="inlineStr">
        <is>
          <t>MARIESTAD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46284</v>
      </c>
      <c r="F54" t="inlineStr">
        <is>
          <t>VÄSTRA GÖTALANDS LÄN</t>
        </is>
      </c>
      <c r="G54" t="inlineStr">
        <is>
          <t>MARIESTAD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67146-2021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46284</v>
      </c>
      <c r="F55" t="inlineStr">
        <is>
          <t>VÄSTRA GÖTALANDS LÄN</t>
        </is>
      </c>
      <c r="G55" t="inlineStr">
        <is>
          <t>MARIESTAD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46284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Kyrkan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44766</v>
      </c>
      <c r="E57" s="1" t="n">
        <v>46284</v>
      </c>
      <c r="F57" t="inlineStr">
        <is>
          <t>VÄSTRA GÖTALANDS LÄN</t>
        </is>
      </c>
      <c r="G57" t="inlineStr">
        <is>
          <t>MARIESTAD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46284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46284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30827-2022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44758</v>
      </c>
      <c r="E60" s="1" t="n">
        <v>46284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46284</v>
      </c>
      <c r="F61" t="inlineStr">
        <is>
          <t>VÄSTRA GÖTALANDS LÄN</t>
        </is>
      </c>
      <c r="G61" t="inlineStr">
        <is>
          <t>MARIESTAD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44649</v>
      </c>
      <c r="E62" s="1" t="n">
        <v>46284</v>
      </c>
      <c r="F62" t="inlineStr">
        <is>
          <t>VÄSTRA GÖTALANDS LÄN</t>
        </is>
      </c>
      <c r="G62" t="inlineStr">
        <is>
          <t>MARIESTAD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46284</v>
      </c>
      <c r="F63" t="inlineStr">
        <is>
          <t>VÄSTRA GÖTALANDS LÄN</t>
        </is>
      </c>
      <c r="G63" t="inlineStr">
        <is>
          <t>MARIESTAD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46284</v>
      </c>
      <c r="F64" t="inlineStr">
        <is>
          <t>VÄSTRA GÖTALANDS LÄN</t>
        </is>
      </c>
      <c r="G64" t="inlineStr">
        <is>
          <t>MARIESTAD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68081-2021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46284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67142-2021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46284</v>
      </c>
      <c r="F66" t="inlineStr">
        <is>
          <t>VÄSTRA GÖTALANDS LÄN</t>
        </is>
      </c>
      <c r="G66" t="inlineStr">
        <is>
          <t>MARIESTAD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46284</v>
      </c>
      <c r="F67" t="inlineStr">
        <is>
          <t>VÄSTRA GÖTALANDS LÄN</t>
        </is>
      </c>
      <c r="G67" t="inlineStr">
        <is>
          <t>MARIESTAD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68922-2021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46284</v>
      </c>
      <c r="F68" t="inlineStr">
        <is>
          <t>VÄSTRA GÖTALANDS LÄN</t>
        </is>
      </c>
      <c r="G68" t="inlineStr">
        <is>
          <t>MARIESTAD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46284</v>
      </c>
      <c r="F69" t="inlineStr">
        <is>
          <t>VÄSTRA GÖTALANDS LÄN</t>
        </is>
      </c>
      <c r="G69" t="inlineStr">
        <is>
          <t>MARIESTAD</t>
        </is>
      </c>
      <c r="H69" t="inlineStr">
        <is>
          <t>Kyrkan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46284</v>
      </c>
      <c r="F70" t="inlineStr">
        <is>
          <t>VÄSTRA GÖTALANDS LÄN</t>
        </is>
      </c>
      <c r="G70" t="inlineStr">
        <is>
          <t>MARIESTAD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44843</v>
      </c>
      <c r="E71" s="1" t="n">
        <v>46284</v>
      </c>
      <c r="F71" t="inlineStr">
        <is>
          <t>VÄSTRA GÖTALANDS LÄN</t>
        </is>
      </c>
      <c r="G71" t="inlineStr">
        <is>
          <t>MARIESTAD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46284</v>
      </c>
      <c r="F72" t="inlineStr">
        <is>
          <t>VÄSTRA GÖTALANDS LÄN</t>
        </is>
      </c>
      <c r="G72" t="inlineStr">
        <is>
          <t>MARIESTAD</t>
        </is>
      </c>
      <c r="I72" t="n">
        <v>8.800000000000001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46284</v>
      </c>
      <c r="F73" t="inlineStr">
        <is>
          <t>VÄSTRA GÖTALANDS LÄN</t>
        </is>
      </c>
      <c r="G73" t="inlineStr">
        <is>
          <t>MARIESTAD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46284</v>
      </c>
      <c r="F74" t="inlineStr">
        <is>
          <t>VÄSTRA GÖTALANDS LÄN</t>
        </is>
      </c>
      <c r="G74" t="inlineStr">
        <is>
          <t>MARIESTAD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46284</v>
      </c>
      <c r="F75" t="inlineStr">
        <is>
          <t>VÄSTRA GÖTALANDS LÄN</t>
        </is>
      </c>
      <c r="G75" t="inlineStr">
        <is>
          <t>MARIESTAD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46284</v>
      </c>
      <c r="F76" t="inlineStr">
        <is>
          <t>VÄSTRA GÖTALANDS LÄN</t>
        </is>
      </c>
      <c r="G76" t="inlineStr">
        <is>
          <t>MARIESTAD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46284</v>
      </c>
      <c r="F77" t="inlineStr">
        <is>
          <t>VÄSTRA GÖTALANDS LÄN</t>
        </is>
      </c>
      <c r="G77" t="inlineStr">
        <is>
          <t>MARIESTAD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46284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Kommuner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46284</v>
      </c>
      <c r="F79" t="inlineStr">
        <is>
          <t>VÄSTRA GÖTALANDS LÄN</t>
        </is>
      </c>
      <c r="G79" t="inlineStr">
        <is>
          <t>MARIESTAD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46284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46284</v>
      </c>
      <c r="F81" t="inlineStr">
        <is>
          <t>VÄSTRA GÖTALANDS LÄN</t>
        </is>
      </c>
      <c r="G81" t="inlineStr">
        <is>
          <t>MARIESTAD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46284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Kyrkan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46284</v>
      </c>
      <c r="F83" t="inlineStr">
        <is>
          <t>VÄSTRA GÖTALANDS LÄN</t>
        </is>
      </c>
      <c r="G83" t="inlineStr">
        <is>
          <t>MARIESTAD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50327-2024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46284</v>
      </c>
      <c r="F84" t="inlineStr">
        <is>
          <t>VÄSTRA GÖTALANDS LÄN</t>
        </is>
      </c>
      <c r="G84" t="inlineStr">
        <is>
          <t>MARIESTAD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46284</v>
      </c>
      <c r="F85" t="inlineStr">
        <is>
          <t>VÄSTRA GÖTALANDS LÄN</t>
        </is>
      </c>
      <c r="G85" t="inlineStr">
        <is>
          <t>MARIESTAD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66771-2021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44521</v>
      </c>
      <c r="E86" s="1" t="n">
        <v>46284</v>
      </c>
      <c r="F86" t="inlineStr">
        <is>
          <t>VÄSTRA GÖTALANDS LÄN</t>
        </is>
      </c>
      <c r="G86" t="inlineStr">
        <is>
          <t>MARIESTAD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46284</v>
      </c>
      <c r="F87" t="inlineStr">
        <is>
          <t>VÄSTRA GÖTALANDS LÄN</t>
        </is>
      </c>
      <c r="G87" t="inlineStr">
        <is>
          <t>MARIESTAD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46284</v>
      </c>
      <c r="F88" t="inlineStr">
        <is>
          <t>VÄSTRA GÖTALANDS LÄN</t>
        </is>
      </c>
      <c r="G88" t="inlineStr">
        <is>
          <t>MARIESTAD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46284</v>
      </c>
      <c r="F89" t="inlineStr">
        <is>
          <t>VÄSTRA GÖTALANDS LÄN</t>
        </is>
      </c>
      <c r="G89" t="inlineStr">
        <is>
          <t>MARIESTAD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46284</v>
      </c>
      <c r="F90" t="inlineStr">
        <is>
          <t>VÄSTRA GÖTALANDS LÄN</t>
        </is>
      </c>
      <c r="G90" t="inlineStr">
        <is>
          <t>MARIESTAD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46284</v>
      </c>
      <c r="F91" t="inlineStr">
        <is>
          <t>VÄSTRA GÖTALANDS LÄN</t>
        </is>
      </c>
      <c r="G91" t="inlineStr">
        <is>
          <t>MARIESTAD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44971</v>
      </c>
      <c r="E92" s="1" t="n">
        <v>46284</v>
      </c>
      <c r="F92" t="inlineStr">
        <is>
          <t>VÄSTRA GÖTALANDS LÄN</t>
        </is>
      </c>
      <c r="G92" t="inlineStr">
        <is>
          <t>MARIESTAD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70295-2021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46284</v>
      </c>
      <c r="F93" t="inlineStr">
        <is>
          <t>VÄSTRA GÖTALANDS LÄN</t>
        </is>
      </c>
      <c r="G93" t="inlineStr">
        <is>
          <t>MARIESTAD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46284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46284</v>
      </c>
      <c r="F95" t="inlineStr">
        <is>
          <t>VÄSTRA GÖTALANDS LÄN</t>
        </is>
      </c>
      <c r="G95" t="inlineStr">
        <is>
          <t>MARIESTAD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44797</v>
      </c>
      <c r="E96" s="1" t="n">
        <v>46284</v>
      </c>
      <c r="F96" t="inlineStr">
        <is>
          <t>VÄSTRA GÖTALANDS LÄN</t>
        </is>
      </c>
      <c r="G96" t="inlineStr">
        <is>
          <t>MARIESTAD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45268</v>
      </c>
      <c r="E97" s="1" t="n">
        <v>46284</v>
      </c>
      <c r="F97" t="inlineStr">
        <is>
          <t>VÄSTRA GÖTALANDS LÄN</t>
        </is>
      </c>
      <c r="G97" t="inlineStr">
        <is>
          <t>MARIESTAD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46284</v>
      </c>
      <c r="F98" t="inlineStr">
        <is>
          <t>VÄSTRA GÖTALANDS LÄN</t>
        </is>
      </c>
      <c r="G98" t="inlineStr">
        <is>
          <t>MARIESTAD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46284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45265</v>
      </c>
      <c r="E100" s="1" t="n">
        <v>46284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46284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46284</v>
      </c>
      <c r="F102" t="inlineStr">
        <is>
          <t>VÄSTRA GÖTALANDS LÄN</t>
        </is>
      </c>
      <c r="G102" t="inlineStr">
        <is>
          <t>MARIESTAD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46284</v>
      </c>
      <c r="F103" t="inlineStr">
        <is>
          <t>VÄSTRA GÖTALANDS LÄN</t>
        </is>
      </c>
      <c r="G103" t="inlineStr">
        <is>
          <t>MARIESTAD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70259-2021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46284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14288-2024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46284</v>
      </c>
      <c r="F105" t="inlineStr">
        <is>
          <t>VÄSTRA GÖTALANDS LÄN</t>
        </is>
      </c>
      <c r="G105" t="inlineStr">
        <is>
          <t>MARIESTAD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46284</v>
      </c>
      <c r="F106" t="inlineStr">
        <is>
          <t>VÄSTRA GÖTALANDS LÄN</t>
        </is>
      </c>
      <c r="G106" t="inlineStr">
        <is>
          <t>MARIESTAD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44901</v>
      </c>
      <c r="E107" s="1" t="n">
        <v>46284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44883</v>
      </c>
      <c r="E108" s="1" t="n">
        <v>46284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46284</v>
      </c>
      <c r="F109" t="inlineStr">
        <is>
          <t>VÄSTRA GÖTALANDS LÄN</t>
        </is>
      </c>
      <c r="G109" t="inlineStr">
        <is>
          <t>MARIESTAD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45199</v>
      </c>
      <c r="E110" s="1" t="n">
        <v>46284</v>
      </c>
      <c r="F110" t="inlineStr">
        <is>
          <t>VÄSTRA GÖTALANDS LÄN</t>
        </is>
      </c>
      <c r="G110" t="inlineStr">
        <is>
          <t>MARIESTAD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46284</v>
      </c>
      <c r="F111" t="inlineStr">
        <is>
          <t>VÄSTRA GÖTALANDS LÄN</t>
        </is>
      </c>
      <c r="G111" t="inlineStr">
        <is>
          <t>MARIESTAD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46284</v>
      </c>
      <c r="F112" t="inlineStr">
        <is>
          <t>VÄSTRA GÖTALANDS LÄN</t>
        </is>
      </c>
      <c r="G112" t="inlineStr">
        <is>
          <t>MARIESTAD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46284</v>
      </c>
      <c r="F113" t="inlineStr">
        <is>
          <t>VÄSTRA GÖTALANDS LÄN</t>
        </is>
      </c>
      <c r="G113" t="inlineStr">
        <is>
          <t>MARIESTAD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46284</v>
      </c>
      <c r="F114" t="inlineStr">
        <is>
          <t>VÄSTRA GÖTALANDS LÄN</t>
        </is>
      </c>
      <c r="G114" t="inlineStr">
        <is>
          <t>MARIESTAD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44994</v>
      </c>
      <c r="E115" s="1" t="n">
        <v>46284</v>
      </c>
      <c r="F115" t="inlineStr">
        <is>
          <t>VÄSTRA GÖTALANDS LÄN</t>
        </is>
      </c>
      <c r="G115" t="inlineStr">
        <is>
          <t>MARIESTAD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46284</v>
      </c>
      <c r="F116" t="inlineStr">
        <is>
          <t>VÄSTRA GÖTALANDS LÄN</t>
        </is>
      </c>
      <c r="G116" t="inlineStr">
        <is>
          <t>MARIESTAD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46284</v>
      </c>
      <c r="F117" t="inlineStr">
        <is>
          <t>VÄSTRA GÖTALANDS LÄN</t>
        </is>
      </c>
      <c r="G117" t="inlineStr">
        <is>
          <t>MARIESTAD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46284</v>
      </c>
      <c r="F118" t="inlineStr">
        <is>
          <t>VÄSTRA GÖTALANDS LÄN</t>
        </is>
      </c>
      <c r="G118" t="inlineStr">
        <is>
          <t>MARIESTAD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46284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44836</v>
      </c>
      <c r="E120" s="1" t="n">
        <v>46284</v>
      </c>
      <c r="F120" t="inlineStr">
        <is>
          <t>VÄSTRA GÖTALANDS LÄN</t>
        </is>
      </c>
      <c r="G120" t="inlineStr">
        <is>
          <t>MARIESTAD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46284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46284</v>
      </c>
      <c r="F122" t="inlineStr">
        <is>
          <t>VÄSTRA GÖTALANDS LÄN</t>
        </is>
      </c>
      <c r="G122" t="inlineStr">
        <is>
          <t>MARIESTAD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40455-2023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45170</v>
      </c>
      <c r="E123" s="1" t="n">
        <v>46284</v>
      </c>
      <c r="F123" t="inlineStr">
        <is>
          <t>VÄSTRA GÖTALANDS LÄN</t>
        </is>
      </c>
      <c r="G123" t="inlineStr">
        <is>
          <t>MARIESTAD</t>
        </is>
      </c>
      <c r="I123" t="n">
        <v>34.9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46284</v>
      </c>
      <c r="F124" t="inlineStr">
        <is>
          <t>VÄSTRA GÖTALANDS LÄN</t>
        </is>
      </c>
      <c r="G124" t="inlineStr">
        <is>
          <t>MARIESTAD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44843</v>
      </c>
      <c r="E125" s="1" t="n">
        <v>46284</v>
      </c>
      <c r="F125" t="inlineStr">
        <is>
          <t>VÄSTRA GÖTALANDS LÄN</t>
        </is>
      </c>
      <c r="G125" t="inlineStr">
        <is>
          <t>MARIESTAD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46284</v>
      </c>
      <c r="F126" t="inlineStr">
        <is>
          <t>VÄSTRA GÖTALANDS LÄN</t>
        </is>
      </c>
      <c r="G126" t="inlineStr">
        <is>
          <t>MARIESTAD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44638</v>
      </c>
      <c r="E127" s="1" t="n">
        <v>46284</v>
      </c>
      <c r="F127" t="inlineStr">
        <is>
          <t>VÄSTRA GÖTALANDS LÄN</t>
        </is>
      </c>
      <c r="G127" t="inlineStr">
        <is>
          <t>MARIESTAD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39766-2023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45167</v>
      </c>
      <c r="E128" s="1" t="n">
        <v>46284</v>
      </c>
      <c r="F128" t="inlineStr">
        <is>
          <t>VÄSTRA GÖTALANDS LÄN</t>
        </is>
      </c>
      <c r="G128" t="inlineStr">
        <is>
          <t>MARIESTAD</t>
        </is>
      </c>
      <c r="I128" t="n">
        <v>26.5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46284</v>
      </c>
      <c r="F129" t="inlineStr">
        <is>
          <t>VÄSTRA GÖTALANDS LÄN</t>
        </is>
      </c>
      <c r="G129" t="inlineStr">
        <is>
          <t>MARIESTAD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46284</v>
      </c>
      <c r="F130" t="inlineStr">
        <is>
          <t>VÄSTRA GÖTALANDS LÄN</t>
        </is>
      </c>
      <c r="G130" t="inlineStr">
        <is>
          <t>MARIESTAD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46284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46284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46284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46284</v>
      </c>
      <c r="F134" t="inlineStr">
        <is>
          <t>VÄSTRA GÖTALANDS LÄN</t>
        </is>
      </c>
      <c r="G134" t="inlineStr">
        <is>
          <t>MARIESTAD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45201</v>
      </c>
      <c r="E135" s="1" t="n">
        <v>46284</v>
      </c>
      <c r="F135" t="inlineStr">
        <is>
          <t>VÄSTRA GÖTALANDS LÄN</t>
        </is>
      </c>
      <c r="G135" t="inlineStr">
        <is>
          <t>MARIESTAD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46284</v>
      </c>
      <c r="F136" t="inlineStr">
        <is>
          <t>VÄSTRA GÖTALANDS LÄN</t>
        </is>
      </c>
      <c r="G136" t="inlineStr">
        <is>
          <t>MARIESTAD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46284</v>
      </c>
      <c r="F137" t="inlineStr">
        <is>
          <t>VÄSTRA GÖTALANDS LÄN</t>
        </is>
      </c>
      <c r="G137" t="inlineStr">
        <is>
          <t>MARIESTAD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46284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44620</v>
      </c>
      <c r="E139" s="1" t="n">
        <v>46284</v>
      </c>
      <c r="F139" t="inlineStr">
        <is>
          <t>VÄSTRA GÖTALANDS LÄN</t>
        </is>
      </c>
      <c r="G139" t="inlineStr">
        <is>
          <t>MARIESTAD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45211</v>
      </c>
      <c r="E140" s="1" t="n">
        <v>46284</v>
      </c>
      <c r="F140" t="inlineStr">
        <is>
          <t>VÄSTRA GÖTALANDS LÄN</t>
        </is>
      </c>
      <c r="G140" t="inlineStr">
        <is>
          <t>MARIESTAD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46284</v>
      </c>
      <c r="F141" t="inlineStr">
        <is>
          <t>VÄSTRA GÖTALANDS LÄN</t>
        </is>
      </c>
      <c r="G141" t="inlineStr">
        <is>
          <t>MARIESTAD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41406-2024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45560</v>
      </c>
      <c r="E142" s="1" t="n">
        <v>46284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46284</v>
      </c>
      <c r="F143" t="inlineStr">
        <is>
          <t>VÄSTRA GÖTALANDS LÄN</t>
        </is>
      </c>
      <c r="G143" t="inlineStr">
        <is>
          <t>MARIESTAD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46284</v>
      </c>
      <c r="F144" t="inlineStr">
        <is>
          <t>VÄSTRA GÖTALANDS LÄN</t>
        </is>
      </c>
      <c r="G144" t="inlineStr">
        <is>
          <t>MARIESTAD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46284</v>
      </c>
      <c r="F145" t="inlineStr">
        <is>
          <t>VÄSTRA GÖTALANDS LÄN</t>
        </is>
      </c>
      <c r="G145" t="inlineStr">
        <is>
          <t>MARIESTAD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46284</v>
      </c>
      <c r="F146" t="inlineStr">
        <is>
          <t>VÄSTRA GÖTALANDS LÄN</t>
        </is>
      </c>
      <c r="G146" t="inlineStr">
        <is>
          <t>MARIESTAD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46284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46284</v>
      </c>
      <c r="F148" t="inlineStr">
        <is>
          <t>VÄSTRA GÖTALANDS LÄN</t>
        </is>
      </c>
      <c r="G148" t="inlineStr">
        <is>
          <t>MARIESTAD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46284</v>
      </c>
      <c r="F149" t="inlineStr">
        <is>
          <t>VÄSTRA GÖTALANDS LÄN</t>
        </is>
      </c>
      <c r="G149" t="inlineStr">
        <is>
          <t>MARIESTAD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46284</v>
      </c>
      <c r="F150" t="inlineStr">
        <is>
          <t>VÄSTRA GÖTALANDS LÄN</t>
        </is>
      </c>
      <c r="G150" t="inlineStr">
        <is>
          <t>MARIESTAD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45070</v>
      </c>
      <c r="E151" s="1" t="n">
        <v>46284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33571-2023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45131</v>
      </c>
      <c r="E152" s="1" t="n">
        <v>46284</v>
      </c>
      <c r="F152" t="inlineStr">
        <is>
          <t>VÄSTRA GÖTALANDS LÄN</t>
        </is>
      </c>
      <c r="G152" t="inlineStr">
        <is>
          <t>MARIESTAD</t>
        </is>
      </c>
      <c r="I152" t="n">
        <v>16.1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46284</v>
      </c>
      <c r="F153" t="inlineStr">
        <is>
          <t>VÄSTRA GÖTALANDS LÄN</t>
        </is>
      </c>
      <c r="G153" t="inlineStr">
        <is>
          <t>MARIESTAD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46284</v>
      </c>
      <c r="F154" t="inlineStr">
        <is>
          <t>VÄSTRA GÖTALANDS LÄN</t>
        </is>
      </c>
      <c r="G154" t="inlineStr">
        <is>
          <t>MARIESTAD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46284</v>
      </c>
      <c r="F155" t="inlineStr">
        <is>
          <t>VÄSTRA GÖTALANDS LÄN</t>
        </is>
      </c>
      <c r="G155" t="inlineStr">
        <is>
          <t>MARIESTAD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45033</v>
      </c>
      <c r="E156" s="1" t="n">
        <v>46284</v>
      </c>
      <c r="F156" t="inlineStr">
        <is>
          <t>VÄSTRA GÖTALANDS LÄN</t>
        </is>
      </c>
      <c r="G156" t="inlineStr">
        <is>
          <t>MARIESTAD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46284</v>
      </c>
      <c r="F157" t="inlineStr">
        <is>
          <t>VÄSTRA GÖTALANDS LÄN</t>
        </is>
      </c>
      <c r="G157" t="inlineStr">
        <is>
          <t>MARIESTAD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45210</v>
      </c>
      <c r="E158" s="1" t="n">
        <v>46284</v>
      </c>
      <c r="F158" t="inlineStr">
        <is>
          <t>VÄSTRA GÖTALANDS LÄN</t>
        </is>
      </c>
      <c r="G158" t="inlineStr">
        <is>
          <t>MARIESTAD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49193-2023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45210</v>
      </c>
      <c r="E159" s="1" t="n">
        <v>46284</v>
      </c>
      <c r="F159" t="inlineStr">
        <is>
          <t>VÄSTRA GÖTALANDS LÄN</t>
        </is>
      </c>
      <c r="G159" t="inlineStr">
        <is>
          <t>MARIESTAD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46284</v>
      </c>
      <c r="F160" t="inlineStr">
        <is>
          <t>VÄSTRA GÖTALANDS LÄN</t>
        </is>
      </c>
      <c r="G160" t="inlineStr">
        <is>
          <t>MARIESTAD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46284</v>
      </c>
      <c r="F161" t="inlineStr">
        <is>
          <t>VÄSTRA GÖTALANDS LÄN</t>
        </is>
      </c>
      <c r="G161" t="inlineStr">
        <is>
          <t>MARIESTAD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44943</v>
      </c>
      <c r="E162" s="1" t="n">
        <v>46284</v>
      </c>
      <c r="F162" t="inlineStr">
        <is>
          <t>VÄSTRA GÖTALANDS LÄN</t>
        </is>
      </c>
      <c r="G162" t="inlineStr">
        <is>
          <t>MARIESTAD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35581-2023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45135</v>
      </c>
      <c r="E163" s="1" t="n">
        <v>46284</v>
      </c>
      <c r="F163" t="inlineStr">
        <is>
          <t>VÄSTRA GÖTALANDS LÄN</t>
        </is>
      </c>
      <c r="G163" t="inlineStr">
        <is>
          <t>MARIESTAD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46284</v>
      </c>
      <c r="F164" t="inlineStr">
        <is>
          <t>VÄSTRA GÖTALANDS LÄN</t>
        </is>
      </c>
      <c r="G164" t="inlineStr">
        <is>
          <t>MARIESTAD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45384</v>
      </c>
      <c r="E165" s="1" t="n">
        <v>46284</v>
      </c>
      <c r="F165" t="inlineStr">
        <is>
          <t>VÄSTRA GÖTALANDS LÄN</t>
        </is>
      </c>
      <c r="G165" t="inlineStr">
        <is>
          <t>MARIESTAD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46284</v>
      </c>
      <c r="F166" t="inlineStr">
        <is>
          <t>VÄSTRA GÖTALANDS LÄN</t>
        </is>
      </c>
      <c r="G166" t="inlineStr">
        <is>
          <t>MARIESTAD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46284</v>
      </c>
      <c r="F167" t="inlineStr">
        <is>
          <t>VÄSTRA GÖTALANDS LÄN</t>
        </is>
      </c>
      <c r="G167" t="inlineStr">
        <is>
          <t>MARIESTAD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13655-2023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45006</v>
      </c>
      <c r="E168" s="1" t="n">
        <v>46284</v>
      </c>
      <c r="F168" t="inlineStr">
        <is>
          <t>VÄSTRA GÖTALANDS LÄN</t>
        </is>
      </c>
      <c r="G168" t="inlineStr">
        <is>
          <t>MARIESTAD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46284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46284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46284</v>
      </c>
      <c r="F171" t="inlineStr">
        <is>
          <t>VÄSTRA GÖTALANDS LÄN</t>
        </is>
      </c>
      <c r="G171" t="inlineStr">
        <is>
          <t>MARIESTAD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26688-2022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44739</v>
      </c>
      <c r="E172" s="1" t="n">
        <v>46284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46284</v>
      </c>
      <c r="F173" t="inlineStr">
        <is>
          <t>VÄSTRA GÖTALANDS LÄN</t>
        </is>
      </c>
      <c r="G173" t="inlineStr">
        <is>
          <t>MARIESTAD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46284</v>
      </c>
      <c r="F174" t="inlineStr">
        <is>
          <t>VÄSTRA GÖTALANDS LÄN</t>
        </is>
      </c>
      <c r="G174" t="inlineStr">
        <is>
          <t>MARIESTAD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46284</v>
      </c>
      <c r="F175" t="inlineStr">
        <is>
          <t>VÄSTRA GÖTALANDS LÄN</t>
        </is>
      </c>
      <c r="G175" t="inlineStr">
        <is>
          <t>MARIESTAD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46284</v>
      </c>
      <c r="F176" t="inlineStr">
        <is>
          <t>VÄSTRA GÖTALANDS LÄN</t>
        </is>
      </c>
      <c r="G176" t="inlineStr">
        <is>
          <t>MARIESTAD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46284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44756</v>
      </c>
      <c r="E178" s="1" t="n">
        <v>46284</v>
      </c>
      <c r="F178" t="inlineStr">
        <is>
          <t>VÄSTRA GÖTALANDS LÄN</t>
        </is>
      </c>
      <c r="G178" t="inlineStr">
        <is>
          <t>MARIESTAD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44936</v>
      </c>
      <c r="E179" s="1" t="n">
        <v>46284</v>
      </c>
      <c r="F179" t="inlineStr">
        <is>
          <t>VÄSTRA GÖTALANDS LÄN</t>
        </is>
      </c>
      <c r="G179" t="inlineStr">
        <is>
          <t>MARIESTAD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46284</v>
      </c>
      <c r="F180" t="inlineStr">
        <is>
          <t>VÄSTRA GÖTALANDS LÄN</t>
        </is>
      </c>
      <c r="G180" t="inlineStr">
        <is>
          <t>MARIESTAD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45639</v>
      </c>
      <c r="E181" s="1" t="n">
        <v>46284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46284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36399-2024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45535</v>
      </c>
      <c r="E183" s="1" t="n">
        <v>46284</v>
      </c>
      <c r="F183" t="inlineStr">
        <is>
          <t>VÄSTRA GÖTALANDS LÄN</t>
        </is>
      </c>
      <c r="G183" t="inlineStr">
        <is>
          <t>MARIESTAD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46284</v>
      </c>
      <c r="F184" t="inlineStr">
        <is>
          <t>VÄSTRA GÖTALANDS LÄN</t>
        </is>
      </c>
      <c r="G184" t="inlineStr">
        <is>
          <t>MARIESTAD</t>
        </is>
      </c>
      <c r="I184" t="n">
        <v>9.699999999999999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46284</v>
      </c>
      <c r="F185" t="inlineStr">
        <is>
          <t>VÄSTRA GÖTALANDS LÄN</t>
        </is>
      </c>
      <c r="G185" t="inlineStr">
        <is>
          <t>MARIESTAD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45412</v>
      </c>
      <c r="E186" s="1" t="n">
        <v>46284</v>
      </c>
      <c r="F186" t="inlineStr">
        <is>
          <t>VÄSTRA GÖTALANDS LÄN</t>
        </is>
      </c>
      <c r="G186" t="inlineStr">
        <is>
          <t>MARIESTAD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46284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Övriga Aktiebolag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46284</v>
      </c>
      <c r="F188" t="inlineStr">
        <is>
          <t>VÄSTRA GÖTALANDS LÄN</t>
        </is>
      </c>
      <c r="G188" t="inlineStr">
        <is>
          <t>MARIESTAD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45271</v>
      </c>
      <c r="E189" s="1" t="n">
        <v>46284</v>
      </c>
      <c r="F189" t="inlineStr">
        <is>
          <t>VÄSTRA GÖTALANDS LÄN</t>
        </is>
      </c>
      <c r="G189" t="inlineStr">
        <is>
          <t>MARIESTAD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45268</v>
      </c>
      <c r="E190" s="1" t="n">
        <v>46284</v>
      </c>
      <c r="F190" t="inlineStr">
        <is>
          <t>VÄSTRA GÖTALANDS LÄN</t>
        </is>
      </c>
      <c r="G190" t="inlineStr">
        <is>
          <t>MARIESTAD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46284</v>
      </c>
      <c r="F191" t="inlineStr">
        <is>
          <t>VÄSTRA GÖTALANDS LÄN</t>
        </is>
      </c>
      <c r="G191" t="inlineStr">
        <is>
          <t>MARIESTAD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46284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Naturvårdsverket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46284</v>
      </c>
      <c r="F193" t="inlineStr">
        <is>
          <t>VÄSTRA GÖTALANDS LÄN</t>
        </is>
      </c>
      <c r="G193" t="inlineStr">
        <is>
          <t>MARIESTAD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46284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46284</v>
      </c>
      <c r="F195" t="inlineStr">
        <is>
          <t>VÄSTRA GÖTALANDS LÄN</t>
        </is>
      </c>
      <c r="G195" t="inlineStr">
        <is>
          <t>MARIESTAD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21361-2026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46142</v>
      </c>
      <c r="E196" s="1" t="n">
        <v>46284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45271</v>
      </c>
      <c r="E197" s="1" t="n">
        <v>46284</v>
      </c>
      <c r="F197" t="inlineStr">
        <is>
          <t>VÄSTRA GÖTALANDS LÄN</t>
        </is>
      </c>
      <c r="G197" t="inlineStr">
        <is>
          <t>MARIESTAD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46284</v>
      </c>
      <c r="F198" t="inlineStr">
        <is>
          <t>VÄSTRA GÖTALANDS LÄN</t>
        </is>
      </c>
      <c r="G198" t="inlineStr">
        <is>
          <t>MARIESTAD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50579-2023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45217</v>
      </c>
      <c r="E199" s="1" t="n">
        <v>46284</v>
      </c>
      <c r="F199" t="inlineStr">
        <is>
          <t>VÄSTRA GÖTALANDS LÄN</t>
        </is>
      </c>
      <c r="G199" t="inlineStr">
        <is>
          <t>MARIESTAD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46284</v>
      </c>
      <c r="F200" t="inlineStr">
        <is>
          <t>VÄSTRA GÖTALANDS LÄN</t>
        </is>
      </c>
      <c r="G200" t="inlineStr">
        <is>
          <t>MARIESTAD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46284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46284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46284</v>
      </c>
      <c r="F203" t="inlineStr">
        <is>
          <t>VÄSTRA GÖTALANDS LÄN</t>
        </is>
      </c>
      <c r="G203" t="inlineStr">
        <is>
          <t>MARIESTAD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23454-2026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46284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46284</v>
      </c>
      <c r="F205" t="inlineStr">
        <is>
          <t>VÄSTRA GÖTALANDS LÄN</t>
        </is>
      </c>
      <c r="G205" t="inlineStr">
        <is>
          <t>MARIESTAD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44876</v>
      </c>
      <c r="E206" s="1" t="n">
        <v>46284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44900</v>
      </c>
      <c r="E207" s="1" t="n">
        <v>46284</v>
      </c>
      <c r="F207" t="inlineStr">
        <is>
          <t>VÄSTRA GÖTALANDS LÄN</t>
        </is>
      </c>
      <c r="G207" t="inlineStr">
        <is>
          <t>MARIESTAD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46003</v>
      </c>
      <c r="E208" s="1" t="n">
        <v>46284</v>
      </c>
      <c r="F208" t="inlineStr">
        <is>
          <t>VÄSTRA GÖTALANDS LÄN</t>
        </is>
      </c>
      <c r="G208" t="inlineStr">
        <is>
          <t>MARIESTAD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46284</v>
      </c>
      <c r="F209" t="inlineStr">
        <is>
          <t>VÄSTRA GÖTALANDS LÄN</t>
        </is>
      </c>
      <c r="G209" t="inlineStr">
        <is>
          <t>MARIESTAD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46284</v>
      </c>
      <c r="F210" t="inlineStr">
        <is>
          <t>VÄSTRA GÖTALANDS LÄN</t>
        </is>
      </c>
      <c r="G210" t="inlineStr">
        <is>
          <t>MARIESTAD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45371</v>
      </c>
      <c r="E211" s="1" t="n">
        <v>46284</v>
      </c>
      <c r="F211" t="inlineStr">
        <is>
          <t>VÄSTRA GÖTALANDS LÄN</t>
        </is>
      </c>
      <c r="G211" t="inlineStr">
        <is>
          <t>MARIESTAD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46284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10192-2022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44622</v>
      </c>
      <c r="E213" s="1" t="n">
        <v>46284</v>
      </c>
      <c r="F213" t="inlineStr">
        <is>
          <t>VÄSTRA GÖTALANDS LÄN</t>
        </is>
      </c>
      <c r="G213" t="inlineStr">
        <is>
          <t>MARIESTAD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46284</v>
      </c>
      <c r="F214" t="inlineStr">
        <is>
          <t>VÄSTRA GÖTALANDS LÄN</t>
        </is>
      </c>
      <c r="G214" t="inlineStr">
        <is>
          <t>MARIESTAD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45516</v>
      </c>
      <c r="E215" s="1" t="n">
        <v>46284</v>
      </c>
      <c r="F215" t="inlineStr">
        <is>
          <t>VÄSTRA GÖTALANDS LÄN</t>
        </is>
      </c>
      <c r="G215" t="inlineStr">
        <is>
          <t>MARIESTAD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46284</v>
      </c>
      <c r="F216" t="inlineStr">
        <is>
          <t>VÄSTRA GÖTALANDS LÄN</t>
        </is>
      </c>
      <c r="G216" t="inlineStr">
        <is>
          <t>MARIESTAD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45271</v>
      </c>
      <c r="E217" s="1" t="n">
        <v>46284</v>
      </c>
      <c r="F217" t="inlineStr">
        <is>
          <t>VÄSTRA GÖTALANDS LÄN</t>
        </is>
      </c>
      <c r="G217" t="inlineStr">
        <is>
          <t>MARIESTAD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46284</v>
      </c>
      <c r="F218" t="inlineStr">
        <is>
          <t>VÄSTRA GÖTALANDS LÄN</t>
        </is>
      </c>
      <c r="G218" t="inlineStr">
        <is>
          <t>MARIESTAD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46284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46284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46284</v>
      </c>
      <c r="F221" t="inlineStr">
        <is>
          <t>VÄSTRA GÖTALANDS LÄN</t>
        </is>
      </c>
      <c r="G221" t="inlineStr">
        <is>
          <t>MARIESTAD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46284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46284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46171</v>
      </c>
      <c r="E224" s="1" t="n">
        <v>46284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45350</v>
      </c>
      <c r="E225" s="1" t="n">
        <v>46284</v>
      </c>
      <c r="F225" t="inlineStr">
        <is>
          <t>VÄSTRA GÖTALANDS LÄN</t>
        </is>
      </c>
      <c r="G225" t="inlineStr">
        <is>
          <t>MARIESTAD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46284</v>
      </c>
      <c r="F226" t="inlineStr">
        <is>
          <t>VÄSTRA GÖTALANDS LÄN</t>
        </is>
      </c>
      <c r="G226" t="inlineStr">
        <is>
          <t>MARIESTAD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46284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45210</v>
      </c>
      <c r="E228" s="1" t="n">
        <v>46284</v>
      </c>
      <c r="F228" t="inlineStr">
        <is>
          <t>VÄSTRA GÖTALANDS LÄN</t>
        </is>
      </c>
      <c r="G228" t="inlineStr">
        <is>
          <t>MARIESTAD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46284</v>
      </c>
      <c r="F229" t="inlineStr">
        <is>
          <t>VÄSTRA GÖTALANDS LÄN</t>
        </is>
      </c>
      <c r="G229" t="inlineStr">
        <is>
          <t>MARIESTAD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46284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Kyrkan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46284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45702</v>
      </c>
      <c r="E232" s="1" t="n">
        <v>46284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46284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Kyrkan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56344-2022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44890</v>
      </c>
      <c r="E234" s="1" t="n">
        <v>46284</v>
      </c>
      <c r="F234" t="inlineStr">
        <is>
          <t>VÄSTRA GÖTALANDS LÄN</t>
        </is>
      </c>
      <c r="G234" t="inlineStr">
        <is>
          <t>MARIESTAD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46284</v>
      </c>
      <c r="F235" t="inlineStr">
        <is>
          <t>VÄSTRA GÖTALANDS LÄN</t>
        </is>
      </c>
      <c r="G235" t="inlineStr">
        <is>
          <t>MARIESTAD</t>
        </is>
      </c>
      <c r="I235" t="n">
        <v>11.9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46061</v>
      </c>
      <c r="E236" s="1" t="n">
        <v>46284</v>
      </c>
      <c r="F236" t="inlineStr">
        <is>
          <t>VÄSTRA GÖTALANDS LÄN</t>
        </is>
      </c>
      <c r="G236" t="inlineStr">
        <is>
          <t>MARIESTAD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46284</v>
      </c>
      <c r="F237" t="inlineStr">
        <is>
          <t>VÄSTRA GÖTALANDS LÄN</t>
        </is>
      </c>
      <c r="G237" t="inlineStr">
        <is>
          <t>MARIESTAD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44614</v>
      </c>
      <c r="E238" s="1" t="n">
        <v>46284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Kyrkan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9479-2026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46284</v>
      </c>
      <c r="F239" t="inlineStr">
        <is>
          <t>VÄSTRA GÖTALANDS LÄN</t>
        </is>
      </c>
      <c r="G239" t="inlineStr">
        <is>
          <t>MARIESTAD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9558-2026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46071</v>
      </c>
      <c r="E240" s="1" t="n">
        <v>46284</v>
      </c>
      <c r="F240" t="inlineStr">
        <is>
          <t>VÄSTRA GÖTALANDS LÄN</t>
        </is>
      </c>
      <c r="G240" t="inlineStr">
        <is>
          <t>MARIESTAD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44816</v>
      </c>
      <c r="E241" s="1" t="n">
        <v>46284</v>
      </c>
      <c r="F241" t="inlineStr">
        <is>
          <t>VÄSTRA GÖTALANDS LÄN</t>
        </is>
      </c>
      <c r="G241" t="inlineStr">
        <is>
          <t>MARIESTAD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46284</v>
      </c>
      <c r="F242" t="inlineStr">
        <is>
          <t>VÄSTRA GÖTALANDS LÄN</t>
        </is>
      </c>
      <c r="G242" t="inlineStr">
        <is>
          <t>MARIESTAD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46284</v>
      </c>
      <c r="F243" t="inlineStr">
        <is>
          <t>VÄSTRA GÖTALANDS LÄN</t>
        </is>
      </c>
      <c r="G243" t="inlineStr">
        <is>
          <t>MARIESTAD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45583</v>
      </c>
      <c r="E244" s="1" t="n">
        <v>46284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46284</v>
      </c>
      <c r="F245" t="inlineStr">
        <is>
          <t>VÄSTRA GÖTALANDS LÄN</t>
        </is>
      </c>
      <c r="G245" t="inlineStr">
        <is>
          <t>MARIESTAD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46080</v>
      </c>
      <c r="E246" s="1" t="n">
        <v>46284</v>
      </c>
      <c r="F246" t="inlineStr">
        <is>
          <t>VÄSTRA GÖTALANDS LÄN</t>
        </is>
      </c>
      <c r="G246" t="inlineStr">
        <is>
          <t>MARIESTAD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44981</v>
      </c>
      <c r="E247" s="1" t="n">
        <v>46284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46284</v>
      </c>
      <c r="F248" t="inlineStr">
        <is>
          <t>VÄSTRA GÖTALANDS LÄN</t>
        </is>
      </c>
      <c r="G248" t="inlineStr">
        <is>
          <t>MARIESTAD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26912-2026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46185</v>
      </c>
      <c r="E249" s="1" t="n">
        <v>46284</v>
      </c>
      <c r="F249" t="inlineStr">
        <is>
          <t>VÄSTRA GÖTALANDS LÄN</t>
        </is>
      </c>
      <c r="G249" t="inlineStr">
        <is>
          <t>MARIESTAD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27116-2026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46284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44756</v>
      </c>
      <c r="E251" s="1" t="n">
        <v>46284</v>
      </c>
      <c r="F251" t="inlineStr">
        <is>
          <t>VÄSTRA GÖTALANDS LÄN</t>
        </is>
      </c>
      <c r="G251" t="inlineStr">
        <is>
          <t>MARIESTAD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45412</v>
      </c>
      <c r="E252" s="1" t="n">
        <v>46284</v>
      </c>
      <c r="F252" t="inlineStr">
        <is>
          <t>VÄSTRA GÖTALANDS LÄN</t>
        </is>
      </c>
      <c r="G252" t="inlineStr">
        <is>
          <t>MARIESTAD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46284</v>
      </c>
      <c r="F253" t="inlineStr">
        <is>
          <t>VÄSTRA GÖTALANDS LÄN</t>
        </is>
      </c>
      <c r="G253" t="inlineStr">
        <is>
          <t>MARIESTAD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46284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46284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44965</v>
      </c>
      <c r="E256" s="1" t="n">
        <v>46284</v>
      </c>
      <c r="F256" t="inlineStr">
        <is>
          <t>VÄSTRA GÖTALANDS LÄN</t>
        </is>
      </c>
      <c r="G256" t="inlineStr">
        <is>
          <t>MARIESTAD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60376-2021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46284</v>
      </c>
      <c r="F257" t="inlineStr">
        <is>
          <t>VÄSTRA GÖTALANDS LÄN</t>
        </is>
      </c>
      <c r="G257" t="inlineStr">
        <is>
          <t>MARIESTAD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45200</v>
      </c>
      <c r="E258" s="1" t="n">
        <v>46284</v>
      </c>
      <c r="F258" t="inlineStr">
        <is>
          <t>VÄSTRA GÖTALANDS LÄN</t>
        </is>
      </c>
      <c r="G258" t="inlineStr">
        <is>
          <t>MARIESTAD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45590</v>
      </c>
      <c r="E259" s="1" t="n">
        <v>46284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Kyrkan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45709</v>
      </c>
      <c r="E260" s="1" t="n">
        <v>46284</v>
      </c>
      <c r="F260" t="inlineStr">
        <is>
          <t>VÄSTRA GÖTALANDS LÄN</t>
        </is>
      </c>
      <c r="G260" t="inlineStr">
        <is>
          <t>MARIESTAD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46100</v>
      </c>
      <c r="E261" s="1" t="n">
        <v>46284</v>
      </c>
      <c r="F261" t="inlineStr">
        <is>
          <t>VÄSTRA GÖTALANDS LÄN</t>
        </is>
      </c>
      <c r="G261" t="inlineStr">
        <is>
          <t>MARIESTAD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46284</v>
      </c>
      <c r="F262" t="inlineStr">
        <is>
          <t>VÄSTRA GÖTALANDS LÄN</t>
        </is>
      </c>
      <c r="G262" t="inlineStr">
        <is>
          <t>MARIESTAD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46284</v>
      </c>
      <c r="F263" t="inlineStr">
        <is>
          <t>VÄSTRA GÖTALANDS LÄN</t>
        </is>
      </c>
      <c r="G263" t="inlineStr">
        <is>
          <t>MARIESTAD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58598-2021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44489</v>
      </c>
      <c r="E264" s="1" t="n">
        <v>46284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65197-2023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45289</v>
      </c>
      <c r="E265" s="1" t="n">
        <v>46284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Sveaskog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46284</v>
      </c>
      <c r="F266" t="inlineStr">
        <is>
          <t>VÄSTRA GÖTALANDS LÄN</t>
        </is>
      </c>
      <c r="G266" t="inlineStr">
        <is>
          <t>MARIESTAD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46284</v>
      </c>
      <c r="F267" t="inlineStr">
        <is>
          <t>VÄSTRA GÖTALANDS LÄN</t>
        </is>
      </c>
      <c r="G267" t="inlineStr">
        <is>
          <t>MARIESTAD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46284</v>
      </c>
      <c r="F268" t="inlineStr">
        <is>
          <t>VÄSTRA GÖTALANDS LÄN</t>
        </is>
      </c>
      <c r="G268" t="inlineStr">
        <is>
          <t>MARIESTAD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44881</v>
      </c>
      <c r="E269" s="1" t="n">
        <v>46284</v>
      </c>
      <c r="F269" t="inlineStr">
        <is>
          <t>VÄSTRA GÖTALANDS LÄN</t>
        </is>
      </c>
      <c r="G269" t="inlineStr">
        <is>
          <t>MARIESTAD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46284</v>
      </c>
      <c r="F270" t="inlineStr">
        <is>
          <t>VÄSTRA GÖTALANDS LÄN</t>
        </is>
      </c>
      <c r="G270" t="inlineStr">
        <is>
          <t>MARIESTAD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34253-2024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45524</v>
      </c>
      <c r="E271" s="1" t="n">
        <v>46284</v>
      </c>
      <c r="F271" t="inlineStr">
        <is>
          <t>VÄSTRA GÖTALANDS LÄN</t>
        </is>
      </c>
      <c r="G271" t="inlineStr">
        <is>
          <t>MARIESTAD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74081-2021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44553</v>
      </c>
      <c r="E272" s="1" t="n">
        <v>46284</v>
      </c>
      <c r="F272" t="inlineStr">
        <is>
          <t>VÄSTRA GÖTALANDS LÄN</t>
        </is>
      </c>
      <c r="G272" t="inlineStr">
        <is>
          <t>MARIESTAD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45590</v>
      </c>
      <c r="E273" s="1" t="n">
        <v>46284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13798-2022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44649</v>
      </c>
      <c r="E274" s="1" t="n">
        <v>46284</v>
      </c>
      <c r="F274" t="inlineStr">
        <is>
          <t>VÄSTRA GÖTALANDS LÄN</t>
        </is>
      </c>
      <c r="G274" t="inlineStr">
        <is>
          <t>MARIESTAD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44617</v>
      </c>
      <c r="E275" s="1" t="n">
        <v>46284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46205</v>
      </c>
      <c r="E276" s="1" t="n">
        <v>46284</v>
      </c>
      <c r="F276" t="inlineStr">
        <is>
          <t>VÄSTRA GÖTALANDS LÄN</t>
        </is>
      </c>
      <c r="G276" t="inlineStr">
        <is>
          <t>MARIESTAD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46284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29673-2026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46199</v>
      </c>
      <c r="E278" s="1" t="n">
        <v>46284</v>
      </c>
      <c r="F278" t="inlineStr">
        <is>
          <t>VÄSTRA GÖTALANDS LÄN</t>
        </is>
      </c>
      <c r="G278" t="inlineStr">
        <is>
          <t>MARIESTAD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46284</v>
      </c>
      <c r="F279" t="inlineStr">
        <is>
          <t>VÄSTRA GÖTALANDS LÄN</t>
        </is>
      </c>
      <c r="G279" t="inlineStr">
        <is>
          <t>MARIESTAD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46284</v>
      </c>
      <c r="F280" t="inlineStr">
        <is>
          <t>VÄSTRA GÖTALANDS LÄN</t>
        </is>
      </c>
      <c r="G280" t="inlineStr">
        <is>
          <t>MARIESTAD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45722</v>
      </c>
      <c r="E281" s="1" t="n">
        <v>46284</v>
      </c>
      <c r="F281" t="inlineStr">
        <is>
          <t>VÄSTRA GÖTALANDS LÄN</t>
        </is>
      </c>
      <c r="G281" t="inlineStr">
        <is>
          <t>MARIESTAD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44616</v>
      </c>
      <c r="E282" s="1" t="n">
        <v>46284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Kyrkan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29656-2026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46284</v>
      </c>
      <c r="F283" t="inlineStr">
        <is>
          <t>VÄSTRA GÖTALANDS LÄN</t>
        </is>
      </c>
      <c r="G283" t="inlineStr">
        <is>
          <t>MARIESTAD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46284</v>
      </c>
      <c r="F284" t="inlineStr">
        <is>
          <t>VÄSTRA GÖTALANDS LÄN</t>
        </is>
      </c>
      <c r="G284" t="inlineStr">
        <is>
          <t>MARIESTAD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46284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48273-2024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45590</v>
      </c>
      <c r="E286" s="1" t="n">
        <v>46284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45070</v>
      </c>
      <c r="E287" s="1" t="n">
        <v>46284</v>
      </c>
      <c r="F287" t="inlineStr">
        <is>
          <t>VÄSTRA GÖTALANDS LÄN</t>
        </is>
      </c>
      <c r="G287" t="inlineStr">
        <is>
          <t>MARIESTAD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45751</v>
      </c>
      <c r="E288" s="1" t="n">
        <v>46284</v>
      </c>
      <c r="F288" t="inlineStr">
        <is>
          <t>VÄSTRA GÖTALANDS LÄN</t>
        </is>
      </c>
      <c r="G288" t="inlineStr">
        <is>
          <t>MARIESTAD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44999</v>
      </c>
      <c r="E289" s="1" t="n">
        <v>46284</v>
      </c>
      <c r="F289" t="inlineStr">
        <is>
          <t>VÄSTRA GÖTALANDS LÄN</t>
        </is>
      </c>
      <c r="G289" t="inlineStr">
        <is>
          <t>MARIESTAD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45200</v>
      </c>
      <c r="E290" s="1" t="n">
        <v>46284</v>
      </c>
      <c r="F290" t="inlineStr">
        <is>
          <t>VÄSTRA GÖTALANDS LÄN</t>
        </is>
      </c>
      <c r="G290" t="inlineStr">
        <is>
          <t>MARIESTAD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45528</v>
      </c>
      <c r="E291" s="1" t="n">
        <v>46284</v>
      </c>
      <c r="F291" t="inlineStr">
        <is>
          <t>VÄSTRA GÖTALANDS LÄN</t>
        </is>
      </c>
      <c r="G291" t="inlineStr">
        <is>
          <t>MARIESTAD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46253</v>
      </c>
      <c r="E292" s="1" t="n">
        <v>46284</v>
      </c>
      <c r="F292" t="inlineStr">
        <is>
          <t>VÄSTRA GÖTALANDS LÄN</t>
        </is>
      </c>
      <c r="G292" t="inlineStr">
        <is>
          <t>MARIESTAD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46284</v>
      </c>
      <c r="F293" t="inlineStr">
        <is>
          <t>VÄSTRA GÖTALANDS LÄN</t>
        </is>
      </c>
      <c r="G293" t="inlineStr">
        <is>
          <t>MARIESTAD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44848</v>
      </c>
      <c r="E294" s="1" t="n">
        <v>46284</v>
      </c>
      <c r="F294" t="inlineStr">
        <is>
          <t>VÄSTRA GÖTALANDS LÄN</t>
        </is>
      </c>
      <c r="G294" t="inlineStr">
        <is>
          <t>MARIESTAD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60812-2023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45260</v>
      </c>
      <c r="E295" s="1" t="n">
        <v>46284</v>
      </c>
      <c r="F295" t="inlineStr">
        <is>
          <t>VÄSTRA GÖTALANDS LÄN</t>
        </is>
      </c>
      <c r="G295" t="inlineStr">
        <is>
          <t>MARIESTAD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45393</v>
      </c>
      <c r="E296" s="1" t="n">
        <v>46284</v>
      </c>
      <c r="F296" t="inlineStr">
        <is>
          <t>VÄSTRA GÖTALANDS LÄN</t>
        </is>
      </c>
      <c r="G296" t="inlineStr">
        <is>
          <t>MARIESTAD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32794-2024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45516</v>
      </c>
      <c r="E297" s="1" t="n">
        <v>46284</v>
      </c>
      <c r="F297" t="inlineStr">
        <is>
          <t>VÄSTRA GÖTALANDS LÄN</t>
        </is>
      </c>
      <c r="G297" t="inlineStr">
        <is>
          <t>MARIESTAD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44746</v>
      </c>
      <c r="E298" s="1" t="n">
        <v>46284</v>
      </c>
      <c r="F298" t="inlineStr">
        <is>
          <t>VÄSTRA GÖTALANDS LÄN</t>
        </is>
      </c>
      <c r="G298" t="inlineStr">
        <is>
          <t>MARIESTAD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35279-2026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46261</v>
      </c>
      <c r="E299" s="1" t="n">
        <v>46284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46261</v>
      </c>
      <c r="E300" s="1" t="n">
        <v>46284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45516</v>
      </c>
      <c r="E301" s="1" t="n">
        <v>46284</v>
      </c>
      <c r="F301" t="inlineStr">
        <is>
          <t>VÄSTRA GÖTALANDS LÄN</t>
        </is>
      </c>
      <c r="G301" t="inlineStr">
        <is>
          <t>MARIESTAD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45674</v>
      </c>
      <c r="E302" s="1" t="n">
        <v>46284</v>
      </c>
      <c r="F302" t="inlineStr">
        <is>
          <t>VÄSTRA GÖTALANDS LÄN</t>
        </is>
      </c>
      <c r="G302" t="inlineStr">
        <is>
          <t>MARIESTAD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46262</v>
      </c>
      <c r="E303" s="1" t="n">
        <v>46284</v>
      </c>
      <c r="F303" t="inlineStr">
        <is>
          <t>VÄSTRA GÖTALANDS LÄN</t>
        </is>
      </c>
      <c r="G303" t="inlineStr">
        <is>
          <t>MARIESTAD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46284</v>
      </c>
      <c r="F304" t="inlineStr">
        <is>
          <t>VÄSTRA GÖTALANDS LÄN</t>
        </is>
      </c>
      <c r="G304" t="inlineStr">
        <is>
          <t>MARIESTAD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35431-2026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46262</v>
      </c>
      <c r="E305" s="1" t="n">
        <v>46284</v>
      </c>
      <c r="F305" t="inlineStr">
        <is>
          <t>VÄSTRA GÖTALANDS LÄN</t>
        </is>
      </c>
      <c r="G305" t="inlineStr">
        <is>
          <t>MARIESTAD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45691</v>
      </c>
      <c r="E306" s="1" t="n">
        <v>46284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61603-2023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45265</v>
      </c>
      <c r="E307" s="1" t="n">
        <v>46284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46284</v>
      </c>
      <c r="F308" t="inlineStr">
        <is>
          <t>VÄSTRA GÖTALANDS LÄN</t>
        </is>
      </c>
      <c r="G308" t="inlineStr">
        <is>
          <t>MARIESTAD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46284</v>
      </c>
      <c r="F309" t="inlineStr">
        <is>
          <t>VÄSTRA GÖTALANDS LÄN</t>
        </is>
      </c>
      <c r="G309" t="inlineStr">
        <is>
          <t>MARIESTAD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45299</v>
      </c>
      <c r="E310" s="1" t="n">
        <v>46284</v>
      </c>
      <c r="F310" t="inlineStr">
        <is>
          <t>VÄSTRA GÖTALANDS LÄN</t>
        </is>
      </c>
      <c r="G310" t="inlineStr">
        <is>
          <t>MARIESTAD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46284</v>
      </c>
      <c r="F311" t="inlineStr">
        <is>
          <t>VÄSTRA GÖTALANDS LÄN</t>
        </is>
      </c>
      <c r="G311" t="inlineStr">
        <is>
          <t>MARIESTAD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45684</v>
      </c>
      <c r="E312" s="1" t="n">
        <v>46284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45307</v>
      </c>
      <c r="E313" s="1" t="n">
        <v>46284</v>
      </c>
      <c r="F313" t="inlineStr">
        <is>
          <t>VÄSTRA GÖTALANDS LÄN</t>
        </is>
      </c>
      <c r="G313" t="inlineStr">
        <is>
          <t>MARIESTAD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46284</v>
      </c>
      <c r="F314" t="inlineStr">
        <is>
          <t>VÄSTRA GÖTALANDS LÄN</t>
        </is>
      </c>
      <c r="G314" t="inlineStr">
        <is>
          <t>MARIESTAD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48324-2024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45590</v>
      </c>
      <c r="E315" s="1" t="n">
        <v>46284</v>
      </c>
      <c r="F315" t="inlineStr">
        <is>
          <t>VÄSTRA GÖTALANDS LÄN</t>
        </is>
      </c>
      <c r="G315" t="inlineStr">
        <is>
          <t>MARIESTAD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46284</v>
      </c>
      <c r="F316" t="inlineStr">
        <is>
          <t>VÄSTRA GÖTALANDS LÄN</t>
        </is>
      </c>
      <c r="G316" t="inlineStr">
        <is>
          <t>MARIESTAD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66772-2021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44521</v>
      </c>
      <c r="E317" s="1" t="n">
        <v>46284</v>
      </c>
      <c r="F317" t="inlineStr">
        <is>
          <t>VÄSTRA GÖTALANDS LÄN</t>
        </is>
      </c>
      <c r="G317" t="inlineStr">
        <is>
          <t>MARIESTAD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45705</v>
      </c>
      <c r="E318" s="1" t="n">
        <v>46284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46284</v>
      </c>
      <c r="F319" t="inlineStr">
        <is>
          <t>VÄSTRA GÖTALANDS LÄN</t>
        </is>
      </c>
      <c r="G319" t="inlineStr">
        <is>
          <t>MARIESTAD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49385-2023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45211</v>
      </c>
      <c r="E320" s="1" t="n">
        <v>46284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46284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45502</v>
      </c>
      <c r="E322" s="1" t="n">
        <v>46284</v>
      </c>
      <c r="F322" t="inlineStr">
        <is>
          <t>VÄSTRA GÖTALANDS LÄN</t>
        </is>
      </c>
      <c r="G322" t="inlineStr">
        <is>
          <t>MARIESTAD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45709</v>
      </c>
      <c r="E323" s="1" t="n">
        <v>46284</v>
      </c>
      <c r="F323" t="inlineStr">
        <is>
          <t>VÄSTRA GÖTALANDS LÄN</t>
        </is>
      </c>
      <c r="G323" t="inlineStr">
        <is>
          <t>MARIESTAD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45790</v>
      </c>
      <c r="E324" s="1" t="n">
        <v>46284</v>
      </c>
      <c r="F324" t="inlineStr">
        <is>
          <t>VÄSTRA GÖTALANDS LÄN</t>
        </is>
      </c>
      <c r="G324" t="inlineStr">
        <is>
          <t>MARIESTAD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45716</v>
      </c>
      <c r="E325" s="1" t="n">
        <v>46284</v>
      </c>
      <c r="F325" t="inlineStr">
        <is>
          <t>VÄSTRA GÖTALANDS LÄN</t>
        </is>
      </c>
      <c r="G325" t="inlineStr">
        <is>
          <t>MARIESTAD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45331</v>
      </c>
      <c r="E326" s="1" t="n">
        <v>46284</v>
      </c>
      <c r="F326" t="inlineStr">
        <is>
          <t>VÄSTRA GÖTALANDS LÄN</t>
        </is>
      </c>
      <c r="G326" t="inlineStr">
        <is>
          <t>MARIESTAD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52869-2024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45610</v>
      </c>
      <c r="E327" s="1" t="n">
        <v>46284</v>
      </c>
      <c r="F327" t="inlineStr">
        <is>
          <t>VÄSTRA GÖTALANDS LÄN</t>
        </is>
      </c>
      <c r="G327" t="inlineStr">
        <is>
          <t>MARIESTAD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46284</v>
      </c>
      <c r="F328" t="inlineStr">
        <is>
          <t>VÄSTRA GÖTALANDS LÄN</t>
        </is>
      </c>
      <c r="G328" t="inlineStr">
        <is>
          <t>MARIESTAD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46284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46284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46284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46284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46284</v>
      </c>
      <c r="F333" t="inlineStr">
        <is>
          <t>VÄSTRA GÖTALANDS LÄN</t>
        </is>
      </c>
      <c r="G333" t="inlineStr">
        <is>
          <t>MARIESTAD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46284</v>
      </c>
      <c r="F334" t="inlineStr">
        <is>
          <t>VÄSTRA GÖTALANDS LÄN</t>
        </is>
      </c>
      <c r="G334" t="inlineStr">
        <is>
          <t>MARIESTAD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46284</v>
      </c>
      <c r="F335" t="inlineStr">
        <is>
          <t>VÄSTRA GÖTALANDS LÄN</t>
        </is>
      </c>
      <c r="G335" t="inlineStr">
        <is>
          <t>MARIESTAD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46284</v>
      </c>
      <c r="F336" t="inlineStr">
        <is>
          <t>VÄSTRA GÖTALANDS LÄN</t>
        </is>
      </c>
      <c r="G336" t="inlineStr">
        <is>
          <t>MARIESTAD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46284</v>
      </c>
      <c r="F337" t="inlineStr">
        <is>
          <t>VÄSTRA GÖTALANDS LÄN</t>
        </is>
      </c>
      <c r="G337" t="inlineStr">
        <is>
          <t>MARIESTAD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46284</v>
      </c>
      <c r="F338" t="inlineStr">
        <is>
          <t>VÄSTRA GÖTALANDS LÄN</t>
        </is>
      </c>
      <c r="G338" t="inlineStr">
        <is>
          <t>MARIESTAD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46284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46284</v>
      </c>
      <c r="F340" t="inlineStr">
        <is>
          <t>VÄSTRA GÖTALANDS LÄN</t>
        </is>
      </c>
      <c r="G340" t="inlineStr">
        <is>
          <t>MARIESTAD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46284</v>
      </c>
      <c r="F341" t="inlineStr">
        <is>
          <t>VÄSTRA GÖTALANDS LÄN</t>
        </is>
      </c>
      <c r="G341" t="inlineStr">
        <is>
          <t>MARIESTAD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46284</v>
      </c>
      <c r="F342" t="inlineStr">
        <is>
          <t>VÄSTRA GÖTALANDS LÄN</t>
        </is>
      </c>
      <c r="G342" t="inlineStr">
        <is>
          <t>MARIESTAD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46284</v>
      </c>
      <c r="F343" t="inlineStr">
        <is>
          <t>VÄSTRA GÖTALANDS LÄN</t>
        </is>
      </c>
      <c r="G343" t="inlineStr">
        <is>
          <t>MARIESTAD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46284</v>
      </c>
      <c r="F344" t="inlineStr">
        <is>
          <t>VÄSTRA GÖTALANDS LÄN</t>
        </is>
      </c>
      <c r="G344" t="inlineStr">
        <is>
          <t>MARIESTAD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46284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4868-2024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45618</v>
      </c>
      <c r="E346" s="1" t="n">
        <v>46284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1204-2025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45757</v>
      </c>
      <c r="E347" s="1" t="n">
        <v>46284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359-2026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46064</v>
      </c>
      <c r="E348" s="1" t="n">
        <v>46284</v>
      </c>
      <c r="F348" t="inlineStr">
        <is>
          <t>VÄSTRA GÖTALANDS LÄN</t>
        </is>
      </c>
      <c r="G348" t="inlineStr">
        <is>
          <t>MARIESTAD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2026-09-19T02:03:28Z</dcterms:created>
  <dcterms:modified xmlns:dcterms="http://purl.org/dc/terms/" xmlns:xsi="http://www.w3.org/2001/XMLSchema-instance" xsi:type="dcterms:W3CDTF">2026-09-19T02:03:29Z</dcterms:modified>
</cp:coreProperties>
</file>