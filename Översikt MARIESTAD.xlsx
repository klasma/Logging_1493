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46082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46082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46082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46082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46082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46082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46082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46082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46082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46082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46082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46082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46082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46082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46082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46082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46082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46082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46082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46082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46082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46082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46082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46082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46082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46082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46082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46082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46082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46082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46082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46082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46082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56755-2024</t>
        </is>
      </c>
      <c r="B77" s="1" t="n">
        <v>45628.39192129629</v>
      </c>
      <c r="C77" s="1" t="n">
        <v>46082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9783-2025</t>
        </is>
      </c>
      <c r="B78" s="1" t="n">
        <v>45716.50848379629</v>
      </c>
      <c r="C78" s="1" t="n">
        <v>46082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46082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46082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8471-2025</t>
        </is>
      </c>
      <c r="B81" s="1" t="n">
        <v>45709.47332175926</v>
      </c>
      <c r="C81" s="1" t="n">
        <v>46082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3857-2025</t>
        </is>
      </c>
      <c r="B82" s="1" t="n">
        <v>45682</v>
      </c>
      <c r="C82" s="1" t="n">
        <v>46082</v>
      </c>
      <c r="D82" t="inlineStr">
        <is>
          <t>VÄSTRA GÖTALANDS LÄN</t>
        </is>
      </c>
      <c r="E82" t="inlineStr">
        <is>
          <t>MARIESTAD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49566-2023</t>
        </is>
      </c>
      <c r="B83" s="1" t="n">
        <v>45211.65027777778</v>
      </c>
      <c r="C83" s="1" t="n">
        <v>46082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46082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46082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46082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17139-2024</t>
        </is>
      </c>
      <c r="B87" s="1" t="n">
        <v>45412.63122685185</v>
      </c>
      <c r="C87" s="1" t="n">
        <v>46082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17165-2024</t>
        </is>
      </c>
      <c r="B88" s="1" t="n">
        <v>45412.85292824074</v>
      </c>
      <c r="C88" s="1" t="n">
        <v>46082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21503-2024</t>
        </is>
      </c>
      <c r="B89" s="1" t="n">
        <v>45441</v>
      </c>
      <c r="C89" s="1" t="n">
        <v>46082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27451-2023</t>
        </is>
      </c>
      <c r="B90" s="1" t="n">
        <v>45097.42556712963</v>
      </c>
      <c r="C90" s="1" t="n">
        <v>46082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46082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39437-2021</t>
        </is>
      </c>
      <c r="B92" s="1" t="n">
        <v>44414.531875</v>
      </c>
      <c r="C92" s="1" t="n">
        <v>46082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11729-2024</t>
        </is>
      </c>
      <c r="B93" s="1" t="n">
        <v>45373.68430555556</v>
      </c>
      <c r="C93" s="1" t="n">
        <v>46082</v>
      </c>
      <c r="D93" t="inlineStr">
        <is>
          <t>VÄSTRA GÖTALANDS LÄN</t>
        </is>
      </c>
      <c r="E93" t="inlineStr">
        <is>
          <t>MARIESTAD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24765-2024</t>
        </is>
      </c>
      <c r="B94" s="1" t="n">
        <v>45460.6934837963</v>
      </c>
      <c r="C94" s="1" t="n">
        <v>46082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38114-2022</t>
        </is>
      </c>
      <c r="B95" s="1" t="n">
        <v>44812.31384259259</v>
      </c>
      <c r="C95" s="1" t="n">
        <v>46082</v>
      </c>
      <c r="D95" t="inlineStr">
        <is>
          <t>VÄSTRA GÖTALANDS LÄN</t>
        </is>
      </c>
      <c r="E95" t="inlineStr">
        <is>
          <t>MARIESTAD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50053-2023</t>
        </is>
      </c>
      <c r="B96" s="1" t="n">
        <v>45215</v>
      </c>
      <c r="C96" s="1" t="n">
        <v>46082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HYPERLINK("https://klasma.github.io/Logging_1493/knärot/A 50053-2023 karta knärot.png", "A 50053-2023")</f>
        <v/>
      </c>
      <c r="V96">
        <f>HYPERLINK("https://klasma.github.io/Logging_1493/klagomål/A 50053-2023 FSC-klagomål.docx", "A 50053-2023")</f>
        <v/>
      </c>
      <c r="W96">
        <f>HYPERLINK("https://klasma.github.io/Logging_1493/klagomålsmail/A 50053-2023 FSC-klagomål mail.docx", "A 50053-2023")</f>
        <v/>
      </c>
      <c r="X96">
        <f>HYPERLINK("https://klasma.github.io/Logging_1493/tillsyn/A 50053-2023 tillsynsbegäran.docx", "A 50053-2023")</f>
        <v/>
      </c>
      <c r="Y96">
        <f>HYPERLINK("https://klasma.github.io/Logging_1493/tillsynsmail/A 50053-2023 tillsynsbegäran mail.docx", "A 50053-2023")</f>
        <v/>
      </c>
    </row>
    <row r="97" ht="15" customHeight="1">
      <c r="A97" t="inlineStr">
        <is>
          <t>A 14291-2024</t>
        </is>
      </c>
      <c r="B97" s="1" t="n">
        <v>45393.63282407408</v>
      </c>
      <c r="C97" s="1" t="n">
        <v>46082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54717-2022</t>
        </is>
      </c>
      <c r="B98" s="1" t="n">
        <v>44883.53908564815</v>
      </c>
      <c r="C98" s="1" t="n">
        <v>46082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46082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74081-2021</t>
        </is>
      </c>
      <c r="B100" s="1" t="n">
        <v>44553</v>
      </c>
      <c r="C100" s="1" t="n">
        <v>46082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33571-2023</t>
        </is>
      </c>
      <c r="B101" s="1" t="n">
        <v>45131</v>
      </c>
      <c r="C101" s="1" t="n">
        <v>46082</v>
      </c>
      <c r="D101" t="inlineStr">
        <is>
          <t>VÄSTRA GÖTALANDS LÄN</t>
        </is>
      </c>
      <c r="E101" t="inlineStr">
        <is>
          <t>MARIESTAD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32799-2024</t>
        </is>
      </c>
      <c r="B102" s="1" t="n">
        <v>45516.56393518519</v>
      </c>
      <c r="C102" s="1" t="n">
        <v>46082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46082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61601-2023</t>
        </is>
      </c>
      <c r="B104" s="1" t="n">
        <v>45265</v>
      </c>
      <c r="C104" s="1" t="n">
        <v>46082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46082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62754-2023</t>
        </is>
      </c>
      <c r="B106" s="1" t="n">
        <v>45271.62900462963</v>
      </c>
      <c r="C106" s="1" t="n">
        <v>46082</v>
      </c>
      <c r="D106" t="inlineStr">
        <is>
          <t>VÄSTRA GÖTALANDS LÄN</t>
        </is>
      </c>
      <c r="E106" t="inlineStr">
        <is>
          <t>MARIESTAD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46082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46082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46082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55777-2023</t>
        </is>
      </c>
      <c r="B110" s="1" t="n">
        <v>45239.49313657408</v>
      </c>
      <c r="C110" s="1" t="n">
        <v>46082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66771-2021</t>
        </is>
      </c>
      <c r="B111" s="1" t="n">
        <v>44521</v>
      </c>
      <c r="C111" s="1" t="n">
        <v>46082</v>
      </c>
      <c r="D111" t="inlineStr">
        <is>
          <t>VÄSTRA GÖTALANDS LÄN</t>
        </is>
      </c>
      <c r="E111" t="inlineStr">
        <is>
          <t>MARIESTAD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57692-2023</t>
        </is>
      </c>
      <c r="B112" s="1" t="n">
        <v>45243</v>
      </c>
      <c r="C112" s="1" t="n">
        <v>46082</v>
      </c>
      <c r="D112" t="inlineStr">
        <is>
          <t>VÄSTRA GÖTALANDS LÄN</t>
        </is>
      </c>
      <c r="E112" t="inlineStr">
        <is>
          <t>MARIESTAD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58896-2022</t>
        </is>
      </c>
      <c r="B113" s="1" t="n">
        <v>44903.59100694444</v>
      </c>
      <c r="C113" s="1" t="n">
        <v>46082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48255-2024</t>
        </is>
      </c>
      <c r="B114" s="1" t="n">
        <v>45590.41381944445</v>
      </c>
      <c r="C114" s="1" t="n">
        <v>46082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2394-2025</t>
        </is>
      </c>
      <c r="B115" s="1" t="n">
        <v>45674.33615740741</v>
      </c>
      <c r="C115" s="1" t="n">
        <v>46082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25946-2025</t>
        </is>
      </c>
      <c r="B116" s="1" t="n">
        <v>45804.59502314815</v>
      </c>
      <c r="C116" s="1" t="n">
        <v>46082</v>
      </c>
      <c r="D116" t="inlineStr">
        <is>
          <t>VÄSTRA GÖTALANDS LÄN</t>
        </is>
      </c>
      <c r="E116" t="inlineStr">
        <is>
          <t>MARIESTAD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40455-2023</t>
        </is>
      </c>
      <c r="B117" s="1" t="n">
        <v>45170</v>
      </c>
      <c r="C117" s="1" t="n">
        <v>46082</v>
      </c>
      <c r="D117" t="inlineStr">
        <is>
          <t>VÄSTRA GÖTALANDS LÄN</t>
        </is>
      </c>
      <c r="E117" t="inlineStr">
        <is>
          <t>MARIESTAD</t>
        </is>
      </c>
      <c r="G117" t="n">
        <v>34.9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38915-2025</t>
        </is>
      </c>
      <c r="B118" s="1" t="n">
        <v>45887.62195601852</v>
      </c>
      <c r="C118" s="1" t="n">
        <v>46082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15610-2025</t>
        </is>
      </c>
      <c r="B119" s="1" t="n">
        <v>45748.34873842593</v>
      </c>
      <c r="C119" s="1" t="n">
        <v>46082</v>
      </c>
      <c r="D119" t="inlineStr">
        <is>
          <t>VÄSTRA GÖTALANDS LÄN</t>
        </is>
      </c>
      <c r="E119" t="inlineStr">
        <is>
          <t>MARIESTAD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38947-2025</t>
        </is>
      </c>
      <c r="B120" s="1" t="n">
        <v>45887.65528935185</v>
      </c>
      <c r="C120" s="1" t="n">
        <v>46082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26815-2025</t>
        </is>
      </c>
      <c r="B121" s="1" t="n">
        <v>45810.63402777778</v>
      </c>
      <c r="C121" s="1" t="n">
        <v>46082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46082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60812-2023</t>
        </is>
      </c>
      <c r="B123" s="1" t="n">
        <v>45260</v>
      </c>
      <c r="C123" s="1" t="n">
        <v>46082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38950-2025</t>
        </is>
      </c>
      <c r="B124" s="1" t="n">
        <v>45887.65802083333</v>
      </c>
      <c r="C124" s="1" t="n">
        <v>46082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16713-2025</t>
        </is>
      </c>
      <c r="B125" s="1" t="n">
        <v>45754.48366898148</v>
      </c>
      <c r="C125" s="1" t="n">
        <v>46082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32794-2024</t>
        </is>
      </c>
      <c r="B126" s="1" t="n">
        <v>45516.55818287037</v>
      </c>
      <c r="C126" s="1" t="n">
        <v>46082</v>
      </c>
      <c r="D126" t="inlineStr">
        <is>
          <t>VÄSTRA GÖTALANDS LÄN</t>
        </is>
      </c>
      <c r="E126" t="inlineStr">
        <is>
          <t>MARIESTAD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32798-2024</t>
        </is>
      </c>
      <c r="B127" s="1" t="n">
        <v>45516.56214120371</v>
      </c>
      <c r="C127" s="1" t="n">
        <v>46082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12361-2023</t>
        </is>
      </c>
      <c r="B128" s="1" t="n">
        <v>44999</v>
      </c>
      <c r="C128" s="1" t="n">
        <v>46082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46082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38948-2025</t>
        </is>
      </c>
      <c r="B130" s="1" t="n">
        <v>45887.65668981482</v>
      </c>
      <c r="C130" s="1" t="n">
        <v>46082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39405-2025</t>
        </is>
      </c>
      <c r="B131" s="1" t="n">
        <v>45889</v>
      </c>
      <c r="C131" s="1" t="n">
        <v>46082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11815-2023</t>
        </is>
      </c>
      <c r="B132" s="1" t="n">
        <v>44994.81083333334</v>
      </c>
      <c r="C132" s="1" t="n">
        <v>46082</v>
      </c>
      <c r="D132" t="inlineStr">
        <is>
          <t>VÄSTRA GÖTALANDS LÄN</t>
        </is>
      </c>
      <c r="E132" t="inlineStr">
        <is>
          <t>MARIESTAD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16867-2023</t>
        </is>
      </c>
      <c r="B133" s="1" t="n">
        <v>45033</v>
      </c>
      <c r="C133" s="1" t="n">
        <v>46082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28012-2025</t>
        </is>
      </c>
      <c r="B134" s="1" t="n">
        <v>45817.60978009259</v>
      </c>
      <c r="C134" s="1" t="n">
        <v>46082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56054-2023</t>
        </is>
      </c>
      <c r="B135" s="1" t="n">
        <v>45240</v>
      </c>
      <c r="C135" s="1" t="n">
        <v>46082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49932-2022</t>
        </is>
      </c>
      <c r="B136" s="1" t="n">
        <v>44865</v>
      </c>
      <c r="C136" s="1" t="n">
        <v>46082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28313-2025</t>
        </is>
      </c>
      <c r="B137" s="1" t="n">
        <v>45818.62532407408</v>
      </c>
      <c r="C137" s="1" t="n">
        <v>46082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46082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28902-2025</t>
        </is>
      </c>
      <c r="B139" s="1" t="n">
        <v>45820.64241898148</v>
      </c>
      <c r="C139" s="1" t="n">
        <v>46082</v>
      </c>
      <c r="D139" t="inlineStr">
        <is>
          <t>VÄSTRA GÖTALANDS LÄN</t>
        </is>
      </c>
      <c r="E139" t="inlineStr">
        <is>
          <t>MARIESTAD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1315-2023</t>
        </is>
      </c>
      <c r="B140" s="1" t="n">
        <v>44936</v>
      </c>
      <c r="C140" s="1" t="n">
        <v>46082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28440-2025</t>
        </is>
      </c>
      <c r="B141" s="1" t="n">
        <v>45819.39317129629</v>
      </c>
      <c r="C141" s="1" t="n">
        <v>46082</v>
      </c>
      <c r="D141" t="inlineStr">
        <is>
          <t>VÄSTRA GÖTALANDS LÄN</t>
        </is>
      </c>
      <c r="E141" t="inlineStr">
        <is>
          <t>MARIESTAD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28899-2025</t>
        </is>
      </c>
      <c r="B142" s="1" t="n">
        <v>45820.63811342593</v>
      </c>
      <c r="C142" s="1" t="n">
        <v>46082</v>
      </c>
      <c r="D142" t="inlineStr">
        <is>
          <t>VÄSTRA GÖTALANDS LÄN</t>
        </is>
      </c>
      <c r="E142" t="inlineStr">
        <is>
          <t>MARIESTAD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28447-2025</t>
        </is>
      </c>
      <c r="B143" s="1" t="n">
        <v>45819.4</v>
      </c>
      <c r="C143" s="1" t="n">
        <v>46082</v>
      </c>
      <c r="D143" t="inlineStr">
        <is>
          <t>VÄSTRA GÖTALANDS LÄN</t>
        </is>
      </c>
      <c r="E143" t="inlineStr">
        <is>
          <t>MARIESTAD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28449-2025</t>
        </is>
      </c>
      <c r="B144" s="1" t="n">
        <v>45819.40282407407</v>
      </c>
      <c r="C144" s="1" t="n">
        <v>46082</v>
      </c>
      <c r="D144" t="inlineStr">
        <is>
          <t>VÄSTRA GÖTALANDS LÄN</t>
        </is>
      </c>
      <c r="E144" t="inlineStr">
        <is>
          <t>MARIESTAD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28956-2025</t>
        </is>
      </c>
      <c r="B145" s="1" t="n">
        <v>45821.30320601852</v>
      </c>
      <c r="C145" s="1" t="n">
        <v>46082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53097-2022</t>
        </is>
      </c>
      <c r="B146" s="1" t="n">
        <v>44876.42122685185</v>
      </c>
      <c r="C146" s="1" t="n">
        <v>46082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29448-2025</t>
        </is>
      </c>
      <c r="B147" s="1" t="n">
        <v>45824.66903935185</v>
      </c>
      <c r="C147" s="1" t="n">
        <v>46082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29245-2025</t>
        </is>
      </c>
      <c r="B148" s="1" t="n">
        <v>45824.3672337963</v>
      </c>
      <c r="C148" s="1" t="n">
        <v>46082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48267-2024</t>
        </is>
      </c>
      <c r="B149" s="1" t="n">
        <v>45590.42981481482</v>
      </c>
      <c r="C149" s="1" t="n">
        <v>46082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49200-2023</t>
        </is>
      </c>
      <c r="B150" s="1" t="n">
        <v>45210.59091435185</v>
      </c>
      <c r="C150" s="1" t="n">
        <v>46082</v>
      </c>
      <c r="D150" t="inlineStr">
        <is>
          <t>VÄSTRA GÖTALANDS LÄN</t>
        </is>
      </c>
      <c r="E150" t="inlineStr">
        <is>
          <t>MARIESTAD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40952-2025</t>
        </is>
      </c>
      <c r="B151" s="1" t="n">
        <v>45897.66349537037</v>
      </c>
      <c r="C151" s="1" t="n">
        <v>46082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29670-2025</t>
        </is>
      </c>
      <c r="B152" s="1" t="n">
        <v>45825.49831018518</v>
      </c>
      <c r="C152" s="1" t="n">
        <v>46082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15206-2025</t>
        </is>
      </c>
      <c r="B153" s="1" t="n">
        <v>45744.57194444445</v>
      </c>
      <c r="C153" s="1" t="n">
        <v>46082</v>
      </c>
      <c r="D153" t="inlineStr">
        <is>
          <t>VÄSTRA GÖTALANDS LÄN</t>
        </is>
      </c>
      <c r="E153" t="inlineStr">
        <is>
          <t>MARIESTAD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39046-2024</t>
        </is>
      </c>
      <c r="B154" s="1" t="n">
        <v>45548.48182870371</v>
      </c>
      <c r="C154" s="1" t="n">
        <v>46082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29668-2025</t>
        </is>
      </c>
      <c r="B155" s="1" t="n">
        <v>45825.49658564815</v>
      </c>
      <c r="C155" s="1" t="n">
        <v>46082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29672-2025</t>
        </is>
      </c>
      <c r="B156" s="1" t="n">
        <v>45825.50122685185</v>
      </c>
      <c r="C156" s="1" t="n">
        <v>46082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29494-2025</t>
        </is>
      </c>
      <c r="B157" s="1" t="n">
        <v>45824.82013888889</v>
      </c>
      <c r="C157" s="1" t="n">
        <v>46082</v>
      </c>
      <c r="D157" t="inlineStr">
        <is>
          <t>VÄSTRA GÖTALANDS LÄN</t>
        </is>
      </c>
      <c r="E157" t="inlineStr">
        <is>
          <t>MARIESTAD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29805-2025</t>
        </is>
      </c>
      <c r="B158" s="1" t="n">
        <v>45825</v>
      </c>
      <c r="C158" s="1" t="n">
        <v>46082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49933-2024</t>
        </is>
      </c>
      <c r="B159" s="1" t="n">
        <v>45597.58248842593</v>
      </c>
      <c r="C159" s="1" t="n">
        <v>46082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7578-2025</t>
        </is>
      </c>
      <c r="B160" s="1" t="n">
        <v>45705</v>
      </c>
      <c r="C160" s="1" t="n">
        <v>46082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1283-2023</t>
        </is>
      </c>
      <c r="B161" s="1" t="n">
        <v>44936</v>
      </c>
      <c r="C161" s="1" t="n">
        <v>46082</v>
      </c>
      <c r="D161" t="inlineStr">
        <is>
          <t>VÄSTRA GÖTALANDS LÄN</t>
        </is>
      </c>
      <c r="E161" t="inlineStr">
        <is>
          <t>MARIESTAD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30404-2025</t>
        </is>
      </c>
      <c r="B162" s="1" t="n">
        <v>45827.59276620371</v>
      </c>
      <c r="C162" s="1" t="n">
        <v>46082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30413-2025</t>
        </is>
      </c>
      <c r="B163" s="1" t="n">
        <v>45827.60287037037</v>
      </c>
      <c r="C163" s="1" t="n">
        <v>46082</v>
      </c>
      <c r="D163" t="inlineStr">
        <is>
          <t>VÄSTRA GÖTALANDS LÄN</t>
        </is>
      </c>
      <c r="E163" t="inlineStr">
        <is>
          <t>MARIESTAD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46082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48187-2023</t>
        </is>
      </c>
      <c r="B165" s="1" t="n">
        <v>45199</v>
      </c>
      <c r="C165" s="1" t="n">
        <v>46082</v>
      </c>
      <c r="D165" t="inlineStr">
        <is>
          <t>VÄSTRA GÖTALANDS LÄN</t>
        </is>
      </c>
      <c r="E165" t="inlineStr">
        <is>
          <t>MARIESTAD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2577-2023</t>
        </is>
      </c>
      <c r="B166" s="1" t="n">
        <v>44943.78166666667</v>
      </c>
      <c r="C166" s="1" t="n">
        <v>46082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46082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26688-2022</t>
        </is>
      </c>
      <c r="B168" s="1" t="n">
        <v>44739</v>
      </c>
      <c r="C168" s="1" t="n">
        <v>46082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11414-2023</t>
        </is>
      </c>
      <c r="B169" s="1" t="n">
        <v>44993</v>
      </c>
      <c r="C169" s="1" t="n">
        <v>46082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33202-2025</t>
        </is>
      </c>
      <c r="B170" s="1" t="n">
        <v>45840</v>
      </c>
      <c r="C170" s="1" t="n">
        <v>46082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8021-2024</t>
        </is>
      </c>
      <c r="B171" s="1" t="n">
        <v>45350.92024305555</v>
      </c>
      <c r="C171" s="1" t="n">
        <v>46082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41993-2022</t>
        </is>
      </c>
      <c r="B172" s="1" t="n">
        <v>44830</v>
      </c>
      <c r="C172" s="1" t="n">
        <v>46082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14977-2023</t>
        </is>
      </c>
      <c r="B173" s="1" t="n">
        <v>45015.53054398148</v>
      </c>
      <c r="C173" s="1" t="n">
        <v>46082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46082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46082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43098-2025</t>
        </is>
      </c>
      <c r="B176" s="1" t="n">
        <v>45909.62886574074</v>
      </c>
      <c r="C176" s="1" t="n">
        <v>46082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33400-2025</t>
        </is>
      </c>
      <c r="B177" s="1" t="n">
        <v>45841.42353009259</v>
      </c>
      <c r="C177" s="1" t="n">
        <v>46082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43093-2025</t>
        </is>
      </c>
      <c r="B178" s="1" t="n">
        <v>45909.62569444445</v>
      </c>
      <c r="C178" s="1" t="n">
        <v>46082</v>
      </c>
      <c r="D178" t="inlineStr">
        <is>
          <t>VÄSTRA GÖTALANDS LÄN</t>
        </is>
      </c>
      <c r="E178" t="inlineStr">
        <is>
          <t>MARIESTAD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7418-2023</t>
        </is>
      </c>
      <c r="B179" s="1" t="n">
        <v>44971</v>
      </c>
      <c r="C179" s="1" t="n">
        <v>46082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8849-2022</t>
        </is>
      </c>
      <c r="B180" s="1" t="n">
        <v>44614</v>
      </c>
      <c r="C180" s="1" t="n">
        <v>46082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43099-2025</t>
        </is>
      </c>
      <c r="B181" s="1" t="n">
        <v>45909</v>
      </c>
      <c r="C181" s="1" t="n">
        <v>46082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33492-2025</t>
        </is>
      </c>
      <c r="B182" s="1" t="n">
        <v>45841.50793981482</v>
      </c>
      <c r="C182" s="1" t="n">
        <v>46082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5011-2023</t>
        </is>
      </c>
      <c r="B183" s="1" t="n">
        <v>44958</v>
      </c>
      <c r="C183" s="1" t="n">
        <v>46082</v>
      </c>
      <c r="D183" t="inlineStr">
        <is>
          <t>VÄSTRA GÖTALANDS LÄN</t>
        </is>
      </c>
      <c r="E183" t="inlineStr">
        <is>
          <t>MARIESTAD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7168-2023</t>
        </is>
      </c>
      <c r="B184" s="1" t="n">
        <v>44965</v>
      </c>
      <c r="C184" s="1" t="n">
        <v>46082</v>
      </c>
      <c r="D184" t="inlineStr">
        <is>
          <t>VÄSTRA GÖTALANDS LÄN</t>
        </is>
      </c>
      <c r="E184" t="inlineStr">
        <is>
          <t>MARIESTAD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6387-2023</t>
        </is>
      </c>
      <c r="B185" s="1" t="n">
        <v>44965.64119212963</v>
      </c>
      <c r="C185" s="1" t="n">
        <v>46082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46082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13655-2023</t>
        </is>
      </c>
      <c r="B187" s="1" t="n">
        <v>45006</v>
      </c>
      <c r="C187" s="1" t="n">
        <v>46082</v>
      </c>
      <c r="D187" t="inlineStr">
        <is>
          <t>VÄSTRA GÖTALANDS LÄN</t>
        </is>
      </c>
      <c r="E187" t="inlineStr">
        <is>
          <t>MARIESTAD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43570-2025</t>
        </is>
      </c>
      <c r="B188" s="1" t="n">
        <v>45911.63373842592</v>
      </c>
      <c r="C188" s="1" t="n">
        <v>46082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43575-2025</t>
        </is>
      </c>
      <c r="B189" s="1" t="n">
        <v>45911.63979166667</v>
      </c>
      <c r="C189" s="1" t="n">
        <v>46082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46082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43524-2025</t>
        </is>
      </c>
      <c r="B191" s="1" t="n">
        <v>45911.58439814814</v>
      </c>
      <c r="C191" s="1" t="n">
        <v>46082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46082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46082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46082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44404-2025</t>
        </is>
      </c>
      <c r="B195" s="1" t="n">
        <v>45916.51296296297</v>
      </c>
      <c r="C195" s="1" t="n">
        <v>46082</v>
      </c>
      <c r="D195" t="inlineStr">
        <is>
          <t>VÄSTRA GÖTALANDS LÄN</t>
        </is>
      </c>
      <c r="E195" t="inlineStr">
        <is>
          <t>MARIESTAD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46082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46082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8321-2025</t>
        </is>
      </c>
      <c r="B198" s="1" t="n">
        <v>45708.62912037037</v>
      </c>
      <c r="C198" s="1" t="n">
        <v>46082</v>
      </c>
      <c r="D198" t="inlineStr">
        <is>
          <t>VÄSTRA GÖTALANDS LÄN</t>
        </is>
      </c>
      <c r="E198" t="inlineStr">
        <is>
          <t>MARIESTAD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45036-2025</t>
        </is>
      </c>
      <c r="B199" s="1" t="n">
        <v>45918.70782407407</v>
      </c>
      <c r="C199" s="1" t="n">
        <v>46082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46082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45484-2025</t>
        </is>
      </c>
      <c r="B201" s="1" t="n">
        <v>45922.54543981481</v>
      </c>
      <c r="C201" s="1" t="n">
        <v>46082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45347-2025</t>
        </is>
      </c>
      <c r="B202" s="1" t="n">
        <v>45922.35247685185</v>
      </c>
      <c r="C202" s="1" t="n">
        <v>46082</v>
      </c>
      <c r="D202" t="inlineStr">
        <is>
          <t>VÄSTRA GÖTALANDS LÄN</t>
        </is>
      </c>
      <c r="E202" t="inlineStr">
        <is>
          <t>MARIESTAD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633-2025</t>
        </is>
      </c>
      <c r="B203" s="1" t="n">
        <v>45664.63055555556</v>
      </c>
      <c r="C203" s="1" t="n">
        <v>46082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10826-2025</t>
        </is>
      </c>
      <c r="B204" s="1" t="n">
        <v>45722.55954861111</v>
      </c>
      <c r="C204" s="1" t="n">
        <v>46082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10839-2025</t>
        </is>
      </c>
      <c r="B205" s="1" t="n">
        <v>45722.57290509259</v>
      </c>
      <c r="C205" s="1" t="n">
        <v>46082</v>
      </c>
      <c r="D205" t="inlineStr">
        <is>
          <t>VÄSTRA GÖTALANDS LÄN</t>
        </is>
      </c>
      <c r="E205" t="inlineStr">
        <is>
          <t>MARIESTAD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11587-2025</t>
        </is>
      </c>
      <c r="B206" s="1" t="n">
        <v>45727.40679398148</v>
      </c>
      <c r="C206" s="1" t="n">
        <v>46082</v>
      </c>
      <c r="D206" t="inlineStr">
        <is>
          <t>VÄSTRA GÖTALANDS LÄN</t>
        </is>
      </c>
      <c r="E206" t="inlineStr">
        <is>
          <t>MARIESTAD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10182-2023</t>
        </is>
      </c>
      <c r="B207" s="1" t="n">
        <v>44986</v>
      </c>
      <c r="C207" s="1" t="n">
        <v>46082</v>
      </c>
      <c r="D207" t="inlineStr">
        <is>
          <t>VÄSTRA GÖTALANDS LÄN</t>
        </is>
      </c>
      <c r="E207" t="inlineStr">
        <is>
          <t>MARIESTAD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36738-2025</t>
        </is>
      </c>
      <c r="B208" s="1" t="n">
        <v>45873.53010416667</v>
      </c>
      <c r="C208" s="1" t="n">
        <v>46082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7450-2025</t>
        </is>
      </c>
      <c r="B209" s="1" t="n">
        <v>45705.4209837963</v>
      </c>
      <c r="C209" s="1" t="n">
        <v>46082</v>
      </c>
      <c r="D209" t="inlineStr">
        <is>
          <t>VÄSTRA GÖTALANDS LÄN</t>
        </is>
      </c>
      <c r="E209" t="inlineStr">
        <is>
          <t>MARIESTAD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37041-2025</t>
        </is>
      </c>
      <c r="B210" s="1" t="n">
        <v>45875</v>
      </c>
      <c r="C210" s="1" t="n">
        <v>46082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37171-2025</t>
        </is>
      </c>
      <c r="B211" s="1" t="n">
        <v>45875.6099537037</v>
      </c>
      <c r="C211" s="1" t="n">
        <v>46082</v>
      </c>
      <c r="D211" t="inlineStr">
        <is>
          <t>VÄSTRA GÖTALANDS LÄN</t>
        </is>
      </c>
      <c r="E211" t="inlineStr">
        <is>
          <t>MARIESTAD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37098-2025</t>
        </is>
      </c>
      <c r="B212" s="1" t="n">
        <v>45875.4712037037</v>
      </c>
      <c r="C212" s="1" t="n">
        <v>46082</v>
      </c>
      <c r="D212" t="inlineStr">
        <is>
          <t>VÄSTRA GÖTALANDS LÄN</t>
        </is>
      </c>
      <c r="E212" t="inlineStr">
        <is>
          <t>MARIESTAD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37917-2024</t>
        </is>
      </c>
      <c r="B213" s="1" t="n">
        <v>45544.47037037037</v>
      </c>
      <c r="C213" s="1" t="n">
        <v>46082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4987-2025</t>
        </is>
      </c>
      <c r="B214" s="1" t="n">
        <v>45691.32157407407</v>
      </c>
      <c r="C214" s="1" t="n">
        <v>46082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4991-2025</t>
        </is>
      </c>
      <c r="B215" s="1" t="n">
        <v>45691.3403587963</v>
      </c>
      <c r="C215" s="1" t="n">
        <v>46082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49188-2023</t>
        </is>
      </c>
      <c r="B216" s="1" t="n">
        <v>45210.57627314814</v>
      </c>
      <c r="C216" s="1" t="n">
        <v>46082</v>
      </c>
      <c r="D216" t="inlineStr">
        <is>
          <t>VÄSTRA GÖTALANDS LÄN</t>
        </is>
      </c>
      <c r="E216" t="inlineStr">
        <is>
          <t>MARIESTAD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49193-2023</t>
        </is>
      </c>
      <c r="B217" s="1" t="n">
        <v>45210.58008101852</v>
      </c>
      <c r="C217" s="1" t="n">
        <v>46082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42000-2022</t>
        </is>
      </c>
      <c r="B218" s="1" t="n">
        <v>44830</v>
      </c>
      <c r="C218" s="1" t="n">
        <v>46082</v>
      </c>
      <c r="D218" t="inlineStr">
        <is>
          <t>VÄSTRA GÖTALANDS LÄN</t>
        </is>
      </c>
      <c r="E218" t="inlineStr">
        <is>
          <t>MARIESTAD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49582-2023</t>
        </is>
      </c>
      <c r="B219" s="1" t="n">
        <v>45211.67170138889</v>
      </c>
      <c r="C219" s="1" t="n">
        <v>46082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18243-2025</t>
        </is>
      </c>
      <c r="B220" s="1" t="n">
        <v>45762.31956018518</v>
      </c>
      <c r="C220" s="1" t="n">
        <v>46082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27369-2021</t>
        </is>
      </c>
      <c r="B221" s="1" t="n">
        <v>44351</v>
      </c>
      <c r="C221" s="1" t="n">
        <v>46082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46082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18245-2025</t>
        </is>
      </c>
      <c r="B223" s="1" t="n">
        <v>45762.32237268519</v>
      </c>
      <c r="C223" s="1" t="n">
        <v>46082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49015-2025</t>
        </is>
      </c>
      <c r="B224" s="1" t="n">
        <v>45937.61165509259</v>
      </c>
      <c r="C224" s="1" t="n">
        <v>46082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46082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9795-2025</t>
        </is>
      </c>
      <c r="B226" s="1" t="n">
        <v>45716.55226851852</v>
      </c>
      <c r="C226" s="1" t="n">
        <v>46082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19261-2025</t>
        </is>
      </c>
      <c r="B227" s="1" t="n">
        <v>45769.51013888889</v>
      </c>
      <c r="C227" s="1" t="n">
        <v>46082</v>
      </c>
      <c r="D227" t="inlineStr">
        <is>
          <t>VÄSTRA GÖTALANDS LÄN</t>
        </is>
      </c>
      <c r="E227" t="inlineStr">
        <is>
          <t>MARIESTAD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19268-2025</t>
        </is>
      </c>
      <c r="B228" s="1" t="n">
        <v>45769.51427083334</v>
      </c>
      <c r="C228" s="1" t="n">
        <v>46082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28162-2022</t>
        </is>
      </c>
      <c r="B229" s="1" t="n">
        <v>44746.56627314815</v>
      </c>
      <c r="C229" s="1" t="n">
        <v>46082</v>
      </c>
      <c r="D229" t="inlineStr">
        <is>
          <t>VÄSTRA GÖTALANDS LÄN</t>
        </is>
      </c>
      <c r="E229" t="inlineStr">
        <is>
          <t>MARIESTAD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45636-2022</t>
        </is>
      </c>
      <c r="B230" s="1" t="n">
        <v>44843</v>
      </c>
      <c r="C230" s="1" t="n">
        <v>46082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22360-2023</t>
        </is>
      </c>
      <c r="B231" s="1" t="n">
        <v>45070.58734953704</v>
      </c>
      <c r="C231" s="1" t="n">
        <v>46082</v>
      </c>
      <c r="D231" t="inlineStr">
        <is>
          <t>VÄSTRA GÖTALANDS LÄN</t>
        </is>
      </c>
      <c r="E231" t="inlineStr">
        <is>
          <t>MARIESTAD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46523-2022</t>
        </is>
      </c>
      <c r="B232" s="1" t="n">
        <v>44847</v>
      </c>
      <c r="C232" s="1" t="n">
        <v>46082</v>
      </c>
      <c r="D232" t="inlineStr">
        <is>
          <t>VÄSTRA GÖTALANDS LÄN</t>
        </is>
      </c>
      <c r="E232" t="inlineStr">
        <is>
          <t>MARIESTAD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49156-2023</t>
        </is>
      </c>
      <c r="B233" s="1" t="n">
        <v>45210.51917824074</v>
      </c>
      <c r="C233" s="1" t="n">
        <v>46082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46082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46082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46082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51222-2025</t>
        </is>
      </c>
      <c r="B237" s="1" t="n">
        <v>45947.65197916667</v>
      </c>
      <c r="C237" s="1" t="n">
        <v>46082</v>
      </c>
      <c r="D237" t="inlineStr">
        <is>
          <t>VÄSTRA GÖTALANDS LÄN</t>
        </is>
      </c>
      <c r="E237" t="inlineStr">
        <is>
          <t>MARIESTAD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2583-2023</t>
        </is>
      </c>
      <c r="B238" s="1" t="n">
        <v>44943</v>
      </c>
      <c r="C238" s="1" t="n">
        <v>46082</v>
      </c>
      <c r="D238" t="inlineStr">
        <is>
          <t>VÄSTRA GÖTALANDS LÄN</t>
        </is>
      </c>
      <c r="E238" t="inlineStr">
        <is>
          <t>MARIESTAD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47194-2021</t>
        </is>
      </c>
      <c r="B239" s="1" t="n">
        <v>44447.32616898148</v>
      </c>
      <c r="C239" s="1" t="n">
        <v>46082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58286-2022</t>
        </is>
      </c>
      <c r="B240" s="1" t="n">
        <v>44901.49652777778</v>
      </c>
      <c r="C240" s="1" t="n">
        <v>46082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44836.73601851852</v>
      </c>
      <c r="C241" s="1" t="n">
        <v>46082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53104-2025</t>
        </is>
      </c>
      <c r="B242" s="1" t="n">
        <v>45958.43296296296</v>
      </c>
      <c r="C242" s="1" t="n">
        <v>46082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11814-2023</t>
        </is>
      </c>
      <c r="B243" s="1" t="n">
        <v>44994.8055787037</v>
      </c>
      <c r="C243" s="1" t="n">
        <v>46082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53116-2025</t>
        </is>
      </c>
      <c r="B244" s="1" t="n">
        <v>45958.44686342592</v>
      </c>
      <c r="C244" s="1" t="n">
        <v>46082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46082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46082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53741-2025</t>
        </is>
      </c>
      <c r="B247" s="1" t="n">
        <v>45960.64665509259</v>
      </c>
      <c r="C247" s="1" t="n">
        <v>46082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46873-2023</t>
        </is>
      </c>
      <c r="B248" s="1" t="n">
        <v>45200.84795138889</v>
      </c>
      <c r="C248" s="1" t="n">
        <v>46082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46082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62772-2023</t>
        </is>
      </c>
      <c r="B250" s="1" t="n">
        <v>45268</v>
      </c>
      <c r="C250" s="1" t="n">
        <v>46082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54828-2025</t>
        </is>
      </c>
      <c r="B251" s="1" t="n">
        <v>45966.67394675926</v>
      </c>
      <c r="C251" s="1" t="n">
        <v>46082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54447-2025</t>
        </is>
      </c>
      <c r="B252" s="1" t="n">
        <v>45965.53032407408</v>
      </c>
      <c r="C252" s="1" t="n">
        <v>46082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38800-2023</t>
        </is>
      </c>
      <c r="B253" s="1" t="n">
        <v>45163.45347222222</v>
      </c>
      <c r="C253" s="1" t="n">
        <v>46082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17143-2024</t>
        </is>
      </c>
      <c r="B254" s="1" t="n">
        <v>45412.63918981481</v>
      </c>
      <c r="C254" s="1" t="n">
        <v>46082</v>
      </c>
      <c r="D254" t="inlineStr">
        <is>
          <t>VÄSTRA GÖTALANDS LÄN</t>
        </is>
      </c>
      <c r="E254" t="inlineStr">
        <is>
          <t>MARIESTAD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17166-2024</t>
        </is>
      </c>
      <c r="B255" s="1" t="n">
        <v>45412.85439814815</v>
      </c>
      <c r="C255" s="1" t="n">
        <v>46082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14657-2024</t>
        </is>
      </c>
      <c r="B256" s="1" t="n">
        <v>45397</v>
      </c>
      <c r="C256" s="1" t="n">
        <v>46082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55744-2025</t>
        </is>
      </c>
      <c r="B257" s="1" t="n">
        <v>45972.57346064815</v>
      </c>
      <c r="C257" s="1" t="n">
        <v>46082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Övriga Aktiebolag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41391-2024</t>
        </is>
      </c>
      <c r="B258" s="1" t="n">
        <v>45560.31561342593</v>
      </c>
      <c r="C258" s="1" t="n">
        <v>46082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55951-2025</t>
        </is>
      </c>
      <c r="B259" s="1" t="n">
        <v>45973.47078703704</v>
      </c>
      <c r="C259" s="1" t="n">
        <v>46082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9793-2022</t>
        </is>
      </c>
      <c r="B260" s="1" t="n">
        <v>44620.36565972222</v>
      </c>
      <c r="C260" s="1" t="n">
        <v>46082</v>
      </c>
      <c r="D260" t="inlineStr">
        <is>
          <t>VÄSTRA GÖTALANDS LÄN</t>
        </is>
      </c>
      <c r="E260" t="inlineStr">
        <is>
          <t>MARIESTAD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10457-2025</t>
        </is>
      </c>
      <c r="B261" s="1" t="n">
        <v>45720</v>
      </c>
      <c r="C261" s="1" t="n">
        <v>46082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46082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7491-2025</t>
        </is>
      </c>
      <c r="B263" s="1" t="n">
        <v>45705.48096064815</v>
      </c>
      <c r="C263" s="1" t="n">
        <v>46082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7494-2025</t>
        </is>
      </c>
      <c r="B264" s="1" t="n">
        <v>45705.48537037037</v>
      </c>
      <c r="C264" s="1" t="n">
        <v>46082</v>
      </c>
      <c r="D264" t="inlineStr">
        <is>
          <t>VÄSTRA GÖTALANDS LÄN</t>
        </is>
      </c>
      <c r="E264" t="inlineStr">
        <is>
          <t>MARIESTAD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26790-2024</t>
        </is>
      </c>
      <c r="B265" s="1" t="n">
        <v>45470.49233796296</v>
      </c>
      <c r="C265" s="1" t="n">
        <v>46082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46082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11397-2022</t>
        </is>
      </c>
      <c r="B267" s="1" t="n">
        <v>44630.53233796296</v>
      </c>
      <c r="C267" s="1" t="n">
        <v>46082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39116-2024</t>
        </is>
      </c>
      <c r="B268" s="1" t="n">
        <v>45548.58743055556</v>
      </c>
      <c r="C268" s="1" t="n">
        <v>46082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16466-2025</t>
        </is>
      </c>
      <c r="B269" s="1" t="n">
        <v>45751.53894675926</v>
      </c>
      <c r="C269" s="1" t="n">
        <v>46082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5164-2024</t>
        </is>
      </c>
      <c r="B270" s="1" t="n">
        <v>45330.53326388889</v>
      </c>
      <c r="C270" s="1" t="n">
        <v>46082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48297-2024</t>
        </is>
      </c>
      <c r="B271" s="1" t="n">
        <v>45590.4659837963</v>
      </c>
      <c r="C271" s="1" t="n">
        <v>46082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59316-2025</t>
        </is>
      </c>
      <c r="B272" s="1" t="n">
        <v>45989.31944444445</v>
      </c>
      <c r="C272" s="1" t="n">
        <v>46082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58154-2025</t>
        </is>
      </c>
      <c r="B273" s="1" t="n">
        <v>45982</v>
      </c>
      <c r="C273" s="1" t="n">
        <v>46082</v>
      </c>
      <c r="D273" t="inlineStr">
        <is>
          <t>VÄSTRA GÖTALANDS LÄN</t>
        </is>
      </c>
      <c r="E273" t="inlineStr">
        <is>
          <t>MARIESTAD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46082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11551-2025</t>
        </is>
      </c>
      <c r="B275" s="1" t="n">
        <v>45727.34619212963</v>
      </c>
      <c r="C275" s="1" t="n">
        <v>46082</v>
      </c>
      <c r="D275" t="inlineStr">
        <is>
          <t>VÄSTRA GÖTALANDS LÄN</t>
        </is>
      </c>
      <c r="E275" t="inlineStr">
        <is>
          <t>MARIESTAD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50581-2023</t>
        </is>
      </c>
      <c r="B276" s="1" t="n">
        <v>45217.39053240741</v>
      </c>
      <c r="C276" s="1" t="n">
        <v>46082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13798-2022</t>
        </is>
      </c>
      <c r="B277" s="1" t="n">
        <v>44649.55983796297</v>
      </c>
      <c r="C277" s="1" t="n">
        <v>46082</v>
      </c>
      <c r="D277" t="inlineStr">
        <is>
          <t>VÄSTRA GÖTALANDS LÄN</t>
        </is>
      </c>
      <c r="E277" t="inlineStr">
        <is>
          <t>MARIESTAD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11147-2022</t>
        </is>
      </c>
      <c r="B278" s="1" t="n">
        <v>44629</v>
      </c>
      <c r="C278" s="1" t="n">
        <v>46082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3464-2026</t>
        </is>
      </c>
      <c r="B279" s="1" t="n">
        <v>46042.52333333333</v>
      </c>
      <c r="C279" s="1" t="n">
        <v>46082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13315-2022</t>
        </is>
      </c>
      <c r="B280" s="1" t="n">
        <v>44645</v>
      </c>
      <c r="C280" s="1" t="n">
        <v>46082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12532-2022</t>
        </is>
      </c>
      <c r="B281" s="1" t="n">
        <v>44638</v>
      </c>
      <c r="C281" s="1" t="n">
        <v>46082</v>
      </c>
      <c r="D281" t="inlineStr">
        <is>
          <t>VÄSTRA GÖTALANDS LÄN</t>
        </is>
      </c>
      <c r="E281" t="inlineStr">
        <is>
          <t>MARIESTAD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46082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46875-2023</t>
        </is>
      </c>
      <c r="B283" s="1" t="n">
        <v>45200.85653935185</v>
      </c>
      <c r="C283" s="1" t="n">
        <v>46082</v>
      </c>
      <c r="D283" t="inlineStr">
        <is>
          <t>VÄSTRA GÖTALANDS LÄN</t>
        </is>
      </c>
      <c r="E283" t="inlineStr">
        <is>
          <t>MARIESTAD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5146-2025</t>
        </is>
      </c>
      <c r="B284" s="1" t="n">
        <v>45691.58796296296</v>
      </c>
      <c r="C284" s="1" t="n">
        <v>46082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61863-2025</t>
        </is>
      </c>
      <c r="B285" s="1" t="n">
        <v>46003.3871412037</v>
      </c>
      <c r="C285" s="1" t="n">
        <v>46082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38580-2023</t>
        </is>
      </c>
      <c r="B286" s="1" t="n">
        <v>45162</v>
      </c>
      <c r="C286" s="1" t="n">
        <v>46082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46082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61853-2025</t>
        </is>
      </c>
      <c r="B288" s="1" t="n">
        <v>46003.38445601852</v>
      </c>
      <c r="C288" s="1" t="n">
        <v>46082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18129-2025</t>
        </is>
      </c>
      <c r="B289" s="1" t="n">
        <v>45761.59930555556</v>
      </c>
      <c r="C289" s="1" t="n">
        <v>46082</v>
      </c>
      <c r="D289" t="inlineStr">
        <is>
          <t>VÄSTRA GÖTALANDS LÄN</t>
        </is>
      </c>
      <c r="E289" t="inlineStr">
        <is>
          <t>MARIESTAD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46082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1636-2022</t>
        </is>
      </c>
      <c r="B291" s="1" t="n">
        <v>44574.24587962963</v>
      </c>
      <c r="C291" s="1" t="n">
        <v>46082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61855-2025</t>
        </is>
      </c>
      <c r="B292" s="1" t="n">
        <v>46003.3855787037</v>
      </c>
      <c r="C292" s="1" t="n">
        <v>46082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5408-2026</t>
        </is>
      </c>
      <c r="B293" s="1" t="n">
        <v>46050.52313657408</v>
      </c>
      <c r="C293" s="1" t="n">
        <v>46082</v>
      </c>
      <c r="D293" t="inlineStr">
        <is>
          <t>VÄSTRA GÖTALANDS LÄN</t>
        </is>
      </c>
      <c r="E293" t="inlineStr">
        <is>
          <t>MARIESTAD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62514-2025</t>
        </is>
      </c>
      <c r="B294" s="1" t="n">
        <v>46007.59984953704</v>
      </c>
      <c r="C294" s="1" t="n">
        <v>46082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49205-2023</t>
        </is>
      </c>
      <c r="B295" s="1" t="n">
        <v>45210.59508101852</v>
      </c>
      <c r="C295" s="1" t="n">
        <v>46082</v>
      </c>
      <c r="D295" t="inlineStr">
        <is>
          <t>VÄSTRA GÖTALANDS LÄN</t>
        </is>
      </c>
      <c r="E295" t="inlineStr">
        <is>
          <t>MARIESTAD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5407-2026</t>
        </is>
      </c>
      <c r="B296" s="1" t="n">
        <v>46050.52133101852</v>
      </c>
      <c r="C296" s="1" t="n">
        <v>46082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62633-2025</t>
        </is>
      </c>
      <c r="B297" s="1" t="n">
        <v>46008.36337962963</v>
      </c>
      <c r="C297" s="1" t="n">
        <v>46082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49184-2023</t>
        </is>
      </c>
      <c r="B298" s="1" t="n">
        <v>45210.57178240741</v>
      </c>
      <c r="C298" s="1" t="n">
        <v>46082</v>
      </c>
      <c r="D298" t="inlineStr">
        <is>
          <t>VÄSTRA GÖTALANDS LÄN</t>
        </is>
      </c>
      <c r="E298" t="inlineStr">
        <is>
          <t>MARIESTAD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62434-2025</t>
        </is>
      </c>
      <c r="B299" s="1" t="n">
        <v>46007.45995370371</v>
      </c>
      <c r="C299" s="1" t="n">
        <v>46082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18962-2025</t>
        </is>
      </c>
      <c r="B300" s="1" t="n">
        <v>45764.52909722222</v>
      </c>
      <c r="C300" s="1" t="n">
        <v>46082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58077-2022</t>
        </is>
      </c>
      <c r="B301" s="1" t="n">
        <v>44900</v>
      </c>
      <c r="C301" s="1" t="n">
        <v>46082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63287-2025</t>
        </is>
      </c>
      <c r="B302" s="1" t="n">
        <v>46009</v>
      </c>
      <c r="C302" s="1" t="n">
        <v>46082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44219-2023</t>
        </is>
      </c>
      <c r="B303" s="1" t="n">
        <v>45188.55583333333</v>
      </c>
      <c r="C303" s="1" t="n">
        <v>46082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5716-2026</t>
        </is>
      </c>
      <c r="B304" s="1" t="n">
        <v>46051.53651620371</v>
      </c>
      <c r="C304" s="1" t="n">
        <v>46082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28053-2022</t>
        </is>
      </c>
      <c r="B305" s="1" t="n">
        <v>44746.41878472222</v>
      </c>
      <c r="C305" s="1" t="n">
        <v>46082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26345-2024</t>
        </is>
      </c>
      <c r="B306" s="1" t="n">
        <v>45469.35059027778</v>
      </c>
      <c r="C306" s="1" t="n">
        <v>46082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6897-2026</t>
        </is>
      </c>
      <c r="B307" s="1" t="n">
        <v>46057.48568287037</v>
      </c>
      <c r="C307" s="1" t="n">
        <v>46082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44746.41486111111</v>
      </c>
      <c r="C308" s="1" t="n">
        <v>46082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44746.42554398148</v>
      </c>
      <c r="C309" s="1" t="n">
        <v>46082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35047-2022</t>
        </is>
      </c>
      <c r="B310" s="1" t="n">
        <v>44797.32917824074</v>
      </c>
      <c r="C310" s="1" t="n">
        <v>46082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61603-2023</t>
        </is>
      </c>
      <c r="B311" s="1" t="n">
        <v>45265</v>
      </c>
      <c r="C311" s="1" t="n">
        <v>46082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18133-2025</t>
        </is>
      </c>
      <c r="B312" s="1" t="n">
        <v>45761.60090277778</v>
      </c>
      <c r="C312" s="1" t="n">
        <v>46082</v>
      </c>
      <c r="D312" t="inlineStr">
        <is>
          <t>VÄSTRA GÖTALANDS LÄN</t>
        </is>
      </c>
      <c r="E312" t="inlineStr">
        <is>
          <t>MARIESTAD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19553-2022</t>
        </is>
      </c>
      <c r="B313" s="1" t="n">
        <v>44693.65290509259</v>
      </c>
      <c r="C313" s="1" t="n">
        <v>46082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4437-2024</t>
        </is>
      </c>
      <c r="B314" s="1" t="n">
        <v>45324</v>
      </c>
      <c r="C314" s="1" t="n">
        <v>46082</v>
      </c>
      <c r="D314" t="inlineStr">
        <is>
          <t>VÄSTRA GÖTALANDS LÄN</t>
        </is>
      </c>
      <c r="E314" t="inlineStr">
        <is>
          <t>MARIESTAD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49389-2023</t>
        </is>
      </c>
      <c r="B315" s="1" t="n">
        <v>45211</v>
      </c>
      <c r="C315" s="1" t="n">
        <v>46082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9479-2026</t>
        </is>
      </c>
      <c r="B316" s="1" t="n">
        <v>46071.52628472223</v>
      </c>
      <c r="C316" s="1" t="n">
        <v>46082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571-2026</t>
        </is>
      </c>
      <c r="B317" s="1" t="n">
        <v>46029.47251157407</v>
      </c>
      <c r="C317" s="1" t="n">
        <v>46082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573-2026</t>
        </is>
      </c>
      <c r="B318" s="1" t="n">
        <v>46029.47435185185</v>
      </c>
      <c r="C318" s="1" t="n">
        <v>46082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47009-2024</t>
        </is>
      </c>
      <c r="B319" s="1" t="n">
        <v>45583</v>
      </c>
      <c r="C319" s="1" t="n">
        <v>46082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46082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46082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46082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9563-2026</t>
        </is>
      </c>
      <c r="B323" s="1" t="n">
        <v>46071.65186342593</v>
      </c>
      <c r="C323" s="1" t="n">
        <v>46082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46945-2023</t>
        </is>
      </c>
      <c r="B324" s="1" t="n">
        <v>45201</v>
      </c>
      <c r="C324" s="1" t="n">
        <v>46082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42161-2021</t>
        </is>
      </c>
      <c r="B325" s="1" t="n">
        <v>44426</v>
      </c>
      <c r="C325" s="1" t="n">
        <v>46082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7587-2026</t>
        </is>
      </c>
      <c r="B326" s="1" t="n">
        <v>46061.83042824074</v>
      </c>
      <c r="C326" s="1" t="n">
        <v>46082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9558-2026</t>
        </is>
      </c>
      <c r="B327" s="1" t="n">
        <v>46071</v>
      </c>
      <c r="C327" s="1" t="n">
        <v>46082</v>
      </c>
      <c r="D327" t="inlineStr">
        <is>
          <t>VÄSTRA GÖTALANDS LÄN</t>
        </is>
      </c>
      <c r="E327" t="inlineStr">
        <is>
          <t>MARIESTAD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1841-2026</t>
        </is>
      </c>
      <c r="B328" s="1" t="n">
        <v>46035.39893518519</v>
      </c>
      <c r="C328" s="1" t="n">
        <v>46082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7612-2023</t>
        </is>
      </c>
      <c r="B329" s="1" t="n">
        <v>44972.48915509259</v>
      </c>
      <c r="C329" s="1" t="n">
        <v>46082</v>
      </c>
      <c r="D329" t="inlineStr">
        <is>
          <t>VÄSTRA GÖTALANDS LÄN</t>
        </is>
      </c>
      <c r="E329" t="inlineStr">
        <is>
          <t>MARIESTAD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62765-2023</t>
        </is>
      </c>
      <c r="B330" s="1" t="n">
        <v>45268</v>
      </c>
      <c r="C330" s="1" t="n">
        <v>46082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10559-2026</t>
        </is>
      </c>
      <c r="B331" s="1" t="n">
        <v>46077</v>
      </c>
      <c r="C331" s="1" t="n">
        <v>46082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46082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2457-2026</t>
        </is>
      </c>
      <c r="B333" s="1" t="n">
        <v>46037.34707175926</v>
      </c>
      <c r="C333" s="1" t="n">
        <v>46082</v>
      </c>
      <c r="D333" t="inlineStr">
        <is>
          <t>VÄSTRA GÖTALANDS LÄN</t>
        </is>
      </c>
      <c r="E333" t="inlineStr">
        <is>
          <t>MARIESTAD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29939-2021</t>
        </is>
      </c>
      <c r="B334" s="1" t="n">
        <v>44363.29069444445</v>
      </c>
      <c r="C334" s="1" t="n">
        <v>46082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48269-2024</t>
        </is>
      </c>
      <c r="B335" s="1" t="n">
        <v>45590.43114583333</v>
      </c>
      <c r="C335" s="1" t="n">
        <v>46082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46080.47047453704</v>
      </c>
      <c r="C336" s="1" t="n">
        <v>46082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46082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46082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46082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46082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46082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46082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46082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46082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46082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46082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46082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46082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46082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46082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46082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46082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46082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46082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46082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46082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46082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46082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46082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46082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46082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46082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46082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46082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46082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46082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46082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46082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46082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46082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46082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46082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46082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46082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46082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46082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46082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46082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46082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46082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46082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46082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46082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46082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46082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46082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46082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46082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46082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46082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46082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46082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46082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46082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46082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46082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46082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46082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46082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46082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46082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46082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46082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46082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46082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46082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46082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46082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46082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46082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46082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46082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46082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46082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46082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46082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46082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46082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46082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46082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46082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46082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46082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46082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46082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46082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46082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46082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46082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46082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46082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7580-2025</t>
        </is>
      </c>
      <c r="B432" s="1" t="n">
        <v>45705</v>
      </c>
      <c r="C432" s="1" t="n">
        <v>46082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50575-2024</t>
        </is>
      </c>
      <c r="B433" s="1" t="n">
        <v>45600</v>
      </c>
      <c r="C433" s="1" t="n">
        <v>46082</v>
      </c>
      <c r="D433" t="inlineStr">
        <is>
          <t>VÄSTRA GÖTALANDS LÄN</t>
        </is>
      </c>
      <c r="E433" t="inlineStr">
        <is>
          <t>MARIESTAD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52869-2024</t>
        </is>
      </c>
      <c r="B434" s="1" t="n">
        <v>45610.62446759259</v>
      </c>
      <c r="C434" s="1" t="n">
        <v>46082</v>
      </c>
      <c r="D434" t="inlineStr">
        <is>
          <t>VÄSTRA GÖTALANDS LÄN</t>
        </is>
      </c>
      <c r="E434" t="inlineStr">
        <is>
          <t>MARIESTAD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24503-2025</t>
        </is>
      </c>
      <c r="B435" s="1" t="n">
        <v>45798.39853009259</v>
      </c>
      <c r="C435" s="1" t="n">
        <v>46082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24495-2025</t>
        </is>
      </c>
      <c r="B436" s="1" t="n">
        <v>45798.39030092592</v>
      </c>
      <c r="C436" s="1" t="n">
        <v>46082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24510-2025</t>
        </is>
      </c>
      <c r="B437" s="1" t="n">
        <v>45798.40402777777</v>
      </c>
      <c r="C437" s="1" t="n">
        <v>46082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25910-2025</t>
        </is>
      </c>
      <c r="B438" s="1" t="n">
        <v>45804.55891203704</v>
      </c>
      <c r="C438" s="1" t="n">
        <v>46082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25912-2025</t>
        </is>
      </c>
      <c r="B439" s="1" t="n">
        <v>45804.56056712963</v>
      </c>
      <c r="C439" s="1" t="n">
        <v>46082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25799-2025</t>
        </is>
      </c>
      <c r="B440" s="1" t="n">
        <v>45804.40251157407</v>
      </c>
      <c r="C440" s="1" t="n">
        <v>46082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25798-2025</t>
        </is>
      </c>
      <c r="B441" s="1" t="n">
        <v>45804.4008912037</v>
      </c>
      <c r="C441" s="1" t="n">
        <v>46082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25800-2025</t>
        </is>
      </c>
      <c r="B442" s="1" t="n">
        <v>45804.40402777777</v>
      </c>
      <c r="C442" s="1" t="n">
        <v>46082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25950-2025</t>
        </is>
      </c>
      <c r="B443" s="1" t="n">
        <v>45804.59694444444</v>
      </c>
      <c r="C443" s="1" t="n">
        <v>46082</v>
      </c>
      <c r="D443" t="inlineStr">
        <is>
          <t>VÄSTRA GÖTALANDS LÄN</t>
        </is>
      </c>
      <c r="E443" t="inlineStr">
        <is>
          <t>MARIESTAD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2026-03-01T11:08:49Z</dcterms:created>
  <dcterms:modified xmlns:dcterms="http://purl.org/dc/terms/" xmlns:xsi="http://www.w3.org/2001/XMLSchema-instance" xsi:type="dcterms:W3CDTF">2026-03-01T11:08:49Z</dcterms:modified>
</cp:coreProperties>
</file>