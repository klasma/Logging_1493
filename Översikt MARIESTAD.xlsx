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46205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46205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46205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46205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46205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46205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46205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21503-2024</t>
        </is>
      </c>
      <c r="B9" s="1" t="n">
        <v>45441</v>
      </c>
      <c r="C9" s="1" t="n">
        <v>46205</v>
      </c>
      <c r="D9" t="inlineStr">
        <is>
          <t>VÄSTRA GÖTALANDS LÄN</t>
        </is>
      </c>
      <c r="E9" t="inlineStr">
        <is>
          <t>MARIESTAD</t>
        </is>
      </c>
      <c r="F9" t="inlineStr">
        <is>
          <t>Kommuner</t>
        </is>
      </c>
      <c r="G9" t="n">
        <v>3.3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Krusfrö
Svinrot</t>
        </is>
      </c>
      <c r="S9">
        <f>HYPERLINK("https://klasma.github.io/Logging_1493/artfynd/A 21503-2024 artfynd.xlsx", "A 21503-2024")</f>
        <v/>
      </c>
      <c r="T9">
        <f>HYPERLINK("https://klasma.github.io/Logging_1493/kartor/A 21503-2024 karta.png", "A 21503-2024")</f>
        <v/>
      </c>
      <c r="V9">
        <f>HYPERLINK("https://klasma.github.io/Logging_1493/klagomål/A 21503-2024 FSC-klagomål.docx", "A 21503-2024")</f>
        <v/>
      </c>
      <c r="W9">
        <f>HYPERLINK("https://klasma.github.io/Logging_1493/klagomålsmail/A 21503-2024 FSC-klagomål mail.docx", "A 21503-2024")</f>
        <v/>
      </c>
      <c r="X9">
        <f>HYPERLINK("https://klasma.github.io/Logging_1493/tillsyn/A 21503-2024 tillsynsbegäran.docx", "A 21503-2024")</f>
        <v/>
      </c>
      <c r="Y9">
        <f>HYPERLINK("https://klasma.github.io/Logging_1493/tillsynsmail/A 21503-2024 tillsynsbegäran mail.docx", "A 21503-2024")</f>
        <v/>
      </c>
    </row>
    <row r="10" ht="15" customHeight="1">
      <c r="A10" t="inlineStr">
        <is>
          <t>A 50053-2023</t>
        </is>
      </c>
      <c r="B10" s="1" t="n">
        <v>45215</v>
      </c>
      <c r="C10" s="1" t="n">
        <v>46205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Grovticka</t>
        </is>
      </c>
      <c r="S10">
        <f>HYPERLINK("https://klasma.github.io/Logging_1493/artfynd/A 50053-2023 artfynd.xlsx", "A 50053-2023")</f>
        <v/>
      </c>
      <c r="T10">
        <f>HYPERLINK("https://klasma.github.io/Logging_1493/kartor/A 50053-2023 karta.png", "A 50053-2023")</f>
        <v/>
      </c>
      <c r="U10">
        <f>HYPERLINK("https://klasma.github.io/Logging_1493/knärot/A 50053-2023 karta knärot.png", "A 50053-2023")</f>
        <v/>
      </c>
      <c r="V10">
        <f>HYPERLINK("https://klasma.github.io/Logging_1493/klagomål/A 50053-2023 FSC-klagomål.docx", "A 50053-2023")</f>
        <v/>
      </c>
      <c r="W10">
        <f>HYPERLINK("https://klasma.github.io/Logging_1493/klagomålsmail/A 50053-2023 FSC-klagomål mail.docx", "A 50053-2023")</f>
        <v/>
      </c>
      <c r="X10">
        <f>HYPERLINK("https://klasma.github.io/Logging_1493/tillsyn/A 50053-2023 tillsynsbegäran.docx", "A 50053-2023")</f>
        <v/>
      </c>
      <c r="Y10">
        <f>HYPERLINK("https://klasma.github.io/Logging_1493/tillsynsmail/A 50053-2023 tillsynsbegäran mail.docx", "A 50053-2023")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46205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46205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46205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s="1" t="n">
        <v>44880</v>
      </c>
      <c r="C14" s="1" t="n">
        <v>46205</v>
      </c>
      <c r="D14" t="inlineStr">
        <is>
          <t>VÄSTRA GÖTALANDS LÄN</t>
        </is>
      </c>
      <c r="E14" t="inlineStr">
        <is>
          <t>MARIESTAD</t>
        </is>
      </c>
      <c r="G14" t="n">
        <v>2.2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Igelkott
Svinrot</t>
        </is>
      </c>
      <c r="S14">
        <f>HYPERLINK("https://klasma.github.io/Logging_1493/artfynd/A 53880-2022 artfynd.xlsx", "A 53880-2022")</f>
        <v/>
      </c>
      <c r="T14">
        <f>HYPERLINK("https://klasma.github.io/Logging_1493/kartor/A 53880-2022 karta.png", "A 53880-2022")</f>
        <v/>
      </c>
      <c r="V14">
        <f>HYPERLINK("https://klasma.github.io/Logging_1493/klagomål/A 53880-2022 FSC-klagomål.docx", "A 53880-2022")</f>
        <v/>
      </c>
      <c r="W14">
        <f>HYPERLINK("https://klasma.github.io/Logging_1493/klagomålsmail/A 53880-2022 FSC-klagomål mail.docx", "A 53880-2022")</f>
        <v/>
      </c>
      <c r="X14">
        <f>HYPERLINK("https://klasma.github.io/Logging_1493/tillsyn/A 53880-2022 tillsynsbegäran.docx", "A 53880-2022")</f>
        <v/>
      </c>
      <c r="Y14">
        <f>HYPERLINK("https://klasma.github.io/Logging_1493/tillsynsmail/A 53880-2022 tillsynsbegäran mail.docx", "A 53880-2022")</f>
        <v/>
      </c>
    </row>
    <row r="15" ht="15" customHeight="1">
      <c r="A15" t="inlineStr">
        <is>
          <t>A 63287-2025</t>
        </is>
      </c>
      <c r="B15" s="1" t="n">
        <v>46009</v>
      </c>
      <c r="C15" s="1" t="n">
        <v>46205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Kyrkan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Tallticka</t>
        </is>
      </c>
      <c r="S15">
        <f>HYPERLINK("https://klasma.github.io/Logging_1493/artfynd/A 63287-2025 artfynd.xlsx", "A 63287-2025")</f>
        <v/>
      </c>
      <c r="T15">
        <f>HYPERLINK("https://klasma.github.io/Logging_1493/kartor/A 63287-2025 karta.png", "A 63287-2025")</f>
        <v/>
      </c>
      <c r="V15">
        <f>HYPERLINK("https://klasma.github.io/Logging_1493/klagomål/A 63287-2025 FSC-klagomål.docx", "A 63287-2025")</f>
        <v/>
      </c>
      <c r="W15">
        <f>HYPERLINK("https://klasma.github.io/Logging_1493/klagomålsmail/A 63287-2025 FSC-klagomål mail.docx", "A 63287-2025")</f>
        <v/>
      </c>
      <c r="X15">
        <f>HYPERLINK("https://klasma.github.io/Logging_1493/tillsyn/A 63287-2025 tillsynsbegäran.docx", "A 63287-2025")</f>
        <v/>
      </c>
      <c r="Y15">
        <f>HYPERLINK("https://klasma.github.io/Logging_1493/tillsynsmail/A 63287-2025 tillsynsbegäran mail.docx", "A 63287-2025")</f>
        <v/>
      </c>
    </row>
    <row r="16" ht="15" customHeight="1">
      <c r="A16" t="inlineStr">
        <is>
          <t>A 5162-2024</t>
        </is>
      </c>
      <c r="B16" s="1" t="n">
        <v>45330</v>
      </c>
      <c r="C16" s="1" t="n">
        <v>46205</v>
      </c>
      <c r="D16" t="inlineStr">
        <is>
          <t>VÄSTRA GÖTALANDS LÄN</t>
        </is>
      </c>
      <c r="E16" t="inlineStr">
        <is>
          <t>MARIESTAD</t>
        </is>
      </c>
      <c r="G16" t="n">
        <v>0.5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brunfladdermus
Revlummer</t>
        </is>
      </c>
      <c r="S16">
        <f>HYPERLINK("https://klasma.github.io/Logging_1493/artfynd/A 5162-2024 artfynd.xlsx", "A 5162-2024")</f>
        <v/>
      </c>
      <c r="T16">
        <f>HYPERLINK("https://klasma.github.io/Logging_1493/kartor/A 5162-2024 karta.png", "A 5162-2024")</f>
        <v/>
      </c>
      <c r="V16">
        <f>HYPERLINK("https://klasma.github.io/Logging_1493/klagomål/A 5162-2024 FSC-klagomål.docx", "A 5162-2024")</f>
        <v/>
      </c>
      <c r="W16">
        <f>HYPERLINK("https://klasma.github.io/Logging_1493/klagomålsmail/A 5162-2024 FSC-klagomål mail.docx", "A 5162-2024")</f>
        <v/>
      </c>
      <c r="X16">
        <f>HYPERLINK("https://klasma.github.io/Logging_1493/tillsyn/A 5162-2024 tillsynsbegäran.docx", "A 5162-2024")</f>
        <v/>
      </c>
      <c r="Y16">
        <f>HYPERLINK("https://klasma.github.io/Logging_1493/tillsynsmail/A 5162-2024 tillsynsbegäran mail.docx", "A 5162-2024")</f>
        <v/>
      </c>
    </row>
    <row r="17" ht="15" customHeight="1">
      <c r="A17" t="inlineStr">
        <is>
          <t>A 47764-2023</t>
        </is>
      </c>
      <c r="B17" s="1" t="n">
        <v>45203</v>
      </c>
      <c r="C17" s="1" t="n">
        <v>46205</v>
      </c>
      <c r="D17" t="inlineStr">
        <is>
          <t>VÄSTRA GÖTALANDS LÄN</t>
        </is>
      </c>
      <c r="E17" t="inlineStr">
        <is>
          <t>MARIESTAD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HYPERLINK("https://klasma.github.io/Logging_1493/artfynd/A 47764-2023 artfynd.xlsx", "A 47764-2023")</f>
        <v/>
      </c>
      <c r="T17">
        <f>HYPERLINK("https://klasma.github.io/Logging_1493/kartor/A 47764-2023 karta.png", "A 47764-2023")</f>
        <v/>
      </c>
      <c r="V17">
        <f>HYPERLINK("https://klasma.github.io/Logging_1493/klagomål/A 47764-2023 FSC-klagomål.docx", "A 47764-2023")</f>
        <v/>
      </c>
      <c r="W17">
        <f>HYPERLINK("https://klasma.github.io/Logging_1493/klagomålsmail/A 47764-2023 FSC-klagomål mail.docx", "A 47764-2023")</f>
        <v/>
      </c>
      <c r="X17">
        <f>HYPERLINK("https://klasma.github.io/Logging_1493/tillsyn/A 47764-2023 tillsynsbegäran.docx", "A 47764-2023")</f>
        <v/>
      </c>
      <c r="Y17">
        <f>HYPERLINK("https://klasma.github.io/Logging_1493/tillsynsmail/A 47764-2023 tillsynsbegäran mail.docx", "A 47764-2023")</f>
        <v/>
      </c>
    </row>
    <row r="18" ht="15" customHeight="1">
      <c r="A18" t="inlineStr">
        <is>
          <t>A 46886-2023</t>
        </is>
      </c>
      <c r="B18" s="1" t="n">
        <v>45201</v>
      </c>
      <c r="C18" s="1" t="n">
        <v>46205</v>
      </c>
      <c r="D18" t="inlineStr">
        <is>
          <t>VÄSTRA GÖTALANDS LÄN</t>
        </is>
      </c>
      <c r="E18" t="inlineStr">
        <is>
          <t>MARIESTAD</t>
        </is>
      </c>
      <c r="G18" t="n">
        <v>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Skogshare
Spillkråka</t>
        </is>
      </c>
      <c r="S18">
        <f>HYPERLINK("https://klasma.github.io/Logging_1493/artfynd/A 46886-2023 artfynd.xlsx", "A 46886-2023")</f>
        <v/>
      </c>
      <c r="T18">
        <f>HYPERLINK("https://klasma.github.io/Logging_1493/kartor/A 46886-2023 karta.png", "A 46886-2023")</f>
        <v/>
      </c>
      <c r="V18">
        <f>HYPERLINK("https://klasma.github.io/Logging_1493/klagomål/A 46886-2023 FSC-klagomål.docx", "A 46886-2023")</f>
        <v/>
      </c>
      <c r="W18">
        <f>HYPERLINK("https://klasma.github.io/Logging_1493/klagomålsmail/A 46886-2023 FSC-klagomål mail.docx", "A 46886-2023")</f>
        <v/>
      </c>
      <c r="X18">
        <f>HYPERLINK("https://klasma.github.io/Logging_1493/tillsyn/A 46886-2023 tillsynsbegäran.docx", "A 46886-2023")</f>
        <v/>
      </c>
      <c r="Y18">
        <f>HYPERLINK("https://klasma.github.io/Logging_1493/tillsynsmail/A 46886-2023 tillsynsbegäran mail.docx", "A 46886-2023")</f>
        <v/>
      </c>
      <c r="Z18">
        <f>HYPERLINK("https://klasma.github.io/Logging_1493/fåglar/A 46886-2023 prioriterade fågelarter.docx", "A 46886-2023")</f>
        <v/>
      </c>
    </row>
    <row r="19" ht="15" customHeight="1">
      <c r="A19" t="inlineStr">
        <is>
          <t>A 11073-2022</t>
        </is>
      </c>
      <c r="B19" s="1" t="n">
        <v>44628</v>
      </c>
      <c r="C19" s="1" t="n">
        <v>46205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Skogsduva</t>
        </is>
      </c>
      <c r="S19">
        <f>HYPERLINK("https://klasma.github.io/Logging_1493/artfynd/A 11073-2022 artfynd.xlsx", "A 11073-2022")</f>
        <v/>
      </c>
      <c r="T19">
        <f>HYPERLINK("https://klasma.github.io/Logging_1493/kartor/A 11073-2022 karta.png", "A 11073-2022")</f>
        <v/>
      </c>
      <c r="V19">
        <f>HYPERLINK("https://klasma.github.io/Logging_1493/klagomål/A 11073-2022 FSC-klagomål.docx", "A 11073-2022")</f>
        <v/>
      </c>
      <c r="W19">
        <f>HYPERLINK("https://klasma.github.io/Logging_1493/klagomålsmail/A 11073-2022 FSC-klagomål mail.docx", "A 11073-2022")</f>
        <v/>
      </c>
      <c r="X19">
        <f>HYPERLINK("https://klasma.github.io/Logging_1493/tillsyn/A 11073-2022 tillsynsbegäran.docx", "A 11073-2022")</f>
        <v/>
      </c>
      <c r="Y19">
        <f>HYPERLINK("https://klasma.github.io/Logging_1493/tillsynsmail/A 11073-2022 tillsynsbegäran mail.docx", "A 11073-2022")</f>
        <v/>
      </c>
      <c r="Z19">
        <f>HYPERLINK("https://klasma.github.io/Logging_1493/fåglar/A 11073-2022 prioriterade fågelarter.docx", "A 11073-2022")</f>
        <v/>
      </c>
    </row>
    <row r="20" ht="15" customHeight="1">
      <c r="A20" t="inlineStr">
        <is>
          <t>A 72651-2021</t>
        </is>
      </c>
      <c r="B20" s="1" t="n">
        <v>44546</v>
      </c>
      <c r="C20" s="1" t="n">
        <v>46205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Skogsödla</t>
        </is>
      </c>
      <c r="S20">
        <f>HYPERLINK("https://klasma.github.io/Logging_1493/artfynd/A 72651-2021 artfynd.xlsx", "A 72651-2021")</f>
        <v/>
      </c>
      <c r="T20">
        <f>HYPERLINK("https://klasma.github.io/Logging_1493/kartor/A 72651-2021 karta.png", "A 72651-2021")</f>
        <v/>
      </c>
      <c r="V20">
        <f>HYPERLINK("https://klasma.github.io/Logging_1493/klagomål/A 72651-2021 FSC-klagomål.docx", "A 72651-2021")</f>
        <v/>
      </c>
      <c r="W20">
        <f>HYPERLINK("https://klasma.github.io/Logging_1493/klagomålsmail/A 72651-2021 FSC-klagomål mail.docx", "A 72651-2021")</f>
        <v/>
      </c>
      <c r="X20">
        <f>HYPERLINK("https://klasma.github.io/Logging_1493/tillsyn/A 72651-2021 tillsynsbegäran.docx", "A 72651-2021")</f>
        <v/>
      </c>
      <c r="Y20">
        <f>HYPERLINK("https://klasma.github.io/Logging_1493/tillsynsmail/A 72651-2021 tillsynsbegäran mail.docx", "A 72651-2021")</f>
        <v/>
      </c>
    </row>
    <row r="21" ht="15" customHeight="1">
      <c r="A21" t="inlineStr">
        <is>
          <t>A 46835-2021</t>
        </is>
      </c>
      <c r="B21" s="1" t="n">
        <v>44446</v>
      </c>
      <c r="C21" s="1" t="n">
        <v>46205</v>
      </c>
      <c r="D21" t="inlineStr">
        <is>
          <t>VÄSTRA GÖTALANDS LÄN</t>
        </is>
      </c>
      <c r="E21" t="inlineStr">
        <is>
          <t>MARIESTAD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Backmåra</t>
        </is>
      </c>
      <c r="S21">
        <f>HYPERLINK("https://klasma.github.io/Logging_1493/artfynd/A 46835-2021 artfynd.xlsx", "A 46835-2021")</f>
        <v/>
      </c>
      <c r="T21">
        <f>HYPERLINK("https://klasma.github.io/Logging_1493/kartor/A 46835-2021 karta.png", "A 46835-2021")</f>
        <v/>
      </c>
      <c r="V21">
        <f>HYPERLINK("https://klasma.github.io/Logging_1493/klagomål/A 46835-2021 FSC-klagomål.docx", "A 46835-2021")</f>
        <v/>
      </c>
      <c r="W21">
        <f>HYPERLINK("https://klasma.github.io/Logging_1493/klagomålsmail/A 46835-2021 FSC-klagomål mail.docx", "A 46835-2021")</f>
        <v/>
      </c>
      <c r="X21">
        <f>HYPERLINK("https://klasma.github.io/Logging_1493/tillsyn/A 46835-2021 tillsynsbegäran.docx", "A 46835-2021")</f>
        <v/>
      </c>
      <c r="Y21">
        <f>HYPERLINK("https://klasma.github.io/Logging_1493/tillsynsmail/A 46835-2021 tillsynsbegäran mail.docx", "A 46835-2021")</f>
        <v/>
      </c>
    </row>
    <row r="22" ht="15" customHeight="1">
      <c r="A22" t="inlineStr">
        <is>
          <t>A 51265-2021</t>
        </is>
      </c>
      <c r="B22" s="1" t="n">
        <v>44461</v>
      </c>
      <c r="C22" s="1" t="n">
        <v>46205</v>
      </c>
      <c r="D22" t="inlineStr">
        <is>
          <t>VÄSTRA GÖTALANDS LÄN</t>
        </is>
      </c>
      <c r="E22" t="inlineStr">
        <is>
          <t>MARIESTAD</t>
        </is>
      </c>
      <c r="G22" t="n">
        <v>30.9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HYPERLINK("https://klasma.github.io/Logging_1493/artfynd/A 51265-2021 artfynd.xlsx", "A 51265-2021")</f>
        <v/>
      </c>
      <c r="T22">
        <f>HYPERLINK("https://klasma.github.io/Logging_1493/kartor/A 51265-2021 karta.png", "A 51265-2021")</f>
        <v/>
      </c>
      <c r="V22">
        <f>HYPERLINK("https://klasma.github.io/Logging_1493/klagomål/A 51265-2021 FSC-klagomål.docx", "A 51265-2021")</f>
        <v/>
      </c>
      <c r="W22">
        <f>HYPERLINK("https://klasma.github.io/Logging_1493/klagomålsmail/A 51265-2021 FSC-klagomål mail.docx", "A 51265-2021")</f>
        <v/>
      </c>
      <c r="X22">
        <f>HYPERLINK("https://klasma.github.io/Logging_1493/tillsyn/A 51265-2021 tillsynsbegäran.docx", "A 51265-2021")</f>
        <v/>
      </c>
      <c r="Y22">
        <f>HYPERLINK("https://klasma.github.io/Logging_1493/tillsynsmail/A 51265-2021 tillsynsbegäran mail.docx", "A 51265-2021")</f>
        <v/>
      </c>
      <c r="Z22">
        <f>HYPERLINK("https://klasma.github.io/Logging_1493/fåglar/A 51265-2021 prioriterade fågelarter.docx", "A 51265-2021")</f>
        <v/>
      </c>
    </row>
    <row r="23" ht="15" customHeight="1">
      <c r="A23" t="inlineStr">
        <is>
          <t>A 29151-2025</t>
        </is>
      </c>
      <c r="B23" s="1" t="n">
        <v>45821</v>
      </c>
      <c r="C23" s="1" t="n">
        <v>46205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</v>
      </c>
      <c r="C24" s="1" t="n">
        <v>46205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7578-2025</t>
        </is>
      </c>
      <c r="B25" s="1" t="n">
        <v>45705</v>
      </c>
      <c r="C25" s="1" t="n">
        <v>46205</v>
      </c>
      <c r="D25" t="inlineStr">
        <is>
          <t>VÄSTRA GÖTALANDS LÄN</t>
        </is>
      </c>
      <c r="E25" t="inlineStr">
        <is>
          <t>MARIESTAD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HYPERLINK("https://klasma.github.io/Logging_1493/artfynd/A 7578-2025 artfynd.xlsx", "A 7578-2025")</f>
        <v/>
      </c>
      <c r="T25">
        <f>HYPERLINK("https://klasma.github.io/Logging_1493/kartor/A 7578-2025 karta.png", "A 7578-2025")</f>
        <v/>
      </c>
      <c r="V25">
        <f>HYPERLINK("https://klasma.github.io/Logging_1493/klagomål/A 7578-2025 FSC-klagomål.docx", "A 7578-2025")</f>
        <v/>
      </c>
      <c r="W25">
        <f>HYPERLINK("https://klasma.github.io/Logging_1493/klagomålsmail/A 7578-2025 FSC-klagomål mail.docx", "A 7578-2025")</f>
        <v/>
      </c>
      <c r="X25">
        <f>HYPERLINK("https://klasma.github.io/Logging_1493/tillsyn/A 7578-2025 tillsynsbegäran.docx", "A 7578-2025")</f>
        <v/>
      </c>
      <c r="Y25">
        <f>HYPERLINK("https://klasma.github.io/Logging_1493/tillsynsmail/A 7578-2025 tillsynsbegäran mail.docx", "A 7578-2025")</f>
        <v/>
      </c>
    </row>
    <row r="26" ht="15" customHeight="1">
      <c r="A26" t="inlineStr">
        <is>
          <t>A 51220-2025</t>
        </is>
      </c>
      <c r="B26" s="1" t="n">
        <v>45947</v>
      </c>
      <c r="C26" s="1" t="n">
        <v>46205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12379-2026</t>
        </is>
      </c>
      <c r="B27" s="1" t="n">
        <v>46090</v>
      </c>
      <c r="C27" s="1" t="n">
        <v>46205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Älg</t>
        </is>
      </c>
      <c r="S27">
        <f>HYPERLINK("https://klasma.github.io/Logging_1493/artfynd/A 12379-2026 artfynd.xlsx", "A 12379-2026")</f>
        <v/>
      </c>
      <c r="T27">
        <f>HYPERLINK("https://klasma.github.io/Logging_1493/kartor/A 12379-2026 karta.png", "A 12379-2026")</f>
        <v/>
      </c>
      <c r="V27">
        <f>HYPERLINK("https://klasma.github.io/Logging_1493/klagomål/A 12379-2026 FSC-klagomål.docx", "A 12379-2026")</f>
        <v/>
      </c>
      <c r="W27">
        <f>HYPERLINK("https://klasma.github.io/Logging_1493/klagomålsmail/A 12379-2026 FSC-klagomål mail.docx", "A 12379-2026")</f>
        <v/>
      </c>
      <c r="X27">
        <f>HYPERLINK("https://klasma.github.io/Logging_1493/tillsyn/A 12379-2026 tillsynsbegäran.docx", "A 12379-2026")</f>
        <v/>
      </c>
      <c r="Y27">
        <f>HYPERLINK("https://klasma.github.io/Logging_1493/tillsynsmail/A 12379-2026 tillsynsbegäran mail.docx", "A 12379-2026")</f>
        <v/>
      </c>
    </row>
    <row r="28" ht="15" customHeight="1">
      <c r="A28" t="inlineStr">
        <is>
          <t>A 49233-2023</t>
        </is>
      </c>
      <c r="B28" s="1" t="n">
        <v>45210</v>
      </c>
      <c r="C28" s="1" t="n">
        <v>46205</v>
      </c>
      <c r="D28" t="inlineStr">
        <is>
          <t>VÄSTRA GÖTALANDS LÄN</t>
        </is>
      </c>
      <c r="E28" t="inlineStr">
        <is>
          <t>MARIESTAD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HYPERLINK("https://klasma.github.io/Logging_1493/artfynd/A 49233-2023 artfynd.xlsx", "A 49233-2023")</f>
        <v/>
      </c>
      <c r="T28">
        <f>HYPERLINK("https://klasma.github.io/Logging_1493/kartor/A 49233-2023 karta.png", "A 49233-2023")</f>
        <v/>
      </c>
      <c r="V28">
        <f>HYPERLINK("https://klasma.github.io/Logging_1493/klagomål/A 49233-2023 FSC-klagomål.docx", "A 49233-2023")</f>
        <v/>
      </c>
      <c r="W28">
        <f>HYPERLINK("https://klasma.github.io/Logging_1493/klagomålsmail/A 49233-2023 FSC-klagomål mail.docx", "A 49233-2023")</f>
        <v/>
      </c>
      <c r="X28">
        <f>HYPERLINK("https://klasma.github.io/Logging_1493/tillsyn/A 49233-2023 tillsynsbegäran.docx", "A 49233-2023")</f>
        <v/>
      </c>
      <c r="Y28">
        <f>HYPERLINK("https://klasma.github.io/Logging_1493/tillsynsmail/A 49233-2023 tillsynsbegäran mail.docx", "A 49233-2023")</f>
        <v/>
      </c>
    </row>
    <row r="29" ht="15" customHeight="1">
      <c r="A29" t="inlineStr">
        <is>
          <t>A 38580-2023</t>
        </is>
      </c>
      <c r="B29" s="1" t="n">
        <v>45162</v>
      </c>
      <c r="C29" s="1" t="n">
        <v>46205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HYPERLINK("https://klasma.github.io/Logging_1493/artfynd/A 38580-2023 artfynd.xlsx", "A 38580-2023")</f>
        <v/>
      </c>
      <c r="T29">
        <f>HYPERLINK("https://klasma.github.io/Logging_1493/kartor/A 38580-2023 karta.png", "A 38580-2023")</f>
        <v/>
      </c>
      <c r="V29">
        <f>HYPERLINK("https://klasma.github.io/Logging_1493/klagomål/A 38580-2023 FSC-klagomål.docx", "A 38580-2023")</f>
        <v/>
      </c>
      <c r="W29">
        <f>HYPERLINK("https://klasma.github.io/Logging_1493/klagomålsmail/A 38580-2023 FSC-klagomål mail.docx", "A 38580-2023")</f>
        <v/>
      </c>
      <c r="X29">
        <f>HYPERLINK("https://klasma.github.io/Logging_1493/tillsyn/A 38580-2023 tillsynsbegäran.docx", "A 38580-2023")</f>
        <v/>
      </c>
      <c r="Y29">
        <f>HYPERLINK("https://klasma.github.io/Logging_1493/tillsynsmail/A 38580-2023 tillsynsbegäran mail.docx", "A 38580-2023")</f>
        <v/>
      </c>
    </row>
    <row r="30" ht="15" customHeight="1">
      <c r="A30" t="inlineStr">
        <is>
          <t>A 18176-2025</t>
        </is>
      </c>
      <c r="B30" s="1" t="n">
        <v>45761</v>
      </c>
      <c r="C30" s="1" t="n">
        <v>46205</v>
      </c>
      <c r="D30" t="inlineStr">
        <is>
          <t>VÄSTRA GÖTALANDS LÄN</t>
        </is>
      </c>
      <c r="E30" t="inlineStr">
        <is>
          <t>MARIESTAD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Grovticka</t>
        </is>
      </c>
      <c r="S30">
        <f>HYPERLINK("https://klasma.github.io/Logging_1493/artfynd/A 18176-2025 artfynd.xlsx", "A 18176-2025")</f>
        <v/>
      </c>
      <c r="T30">
        <f>HYPERLINK("https://klasma.github.io/Logging_1493/kartor/A 18176-2025 karta.png", "A 18176-2025")</f>
        <v/>
      </c>
      <c r="V30">
        <f>HYPERLINK("https://klasma.github.io/Logging_1493/klagomål/A 18176-2025 FSC-klagomål.docx", "A 18176-2025")</f>
        <v/>
      </c>
      <c r="W30">
        <f>HYPERLINK("https://klasma.github.io/Logging_1493/klagomålsmail/A 18176-2025 FSC-klagomål mail.docx", "A 18176-2025")</f>
        <v/>
      </c>
      <c r="X30">
        <f>HYPERLINK("https://klasma.github.io/Logging_1493/tillsyn/A 18176-2025 tillsynsbegäran.docx", "A 18176-2025")</f>
        <v/>
      </c>
      <c r="Y30">
        <f>HYPERLINK("https://klasma.github.io/Logging_1493/tillsynsmail/A 18176-2025 tillsynsbegäran mail.docx", "A 18176-2025")</f>
        <v/>
      </c>
    </row>
    <row r="31" ht="15" customHeight="1">
      <c r="A31" t="inlineStr">
        <is>
          <t>A 7612-2023</t>
        </is>
      </c>
      <c r="B31" s="1" t="n">
        <v>44972</v>
      </c>
      <c r="C31" s="1" t="n">
        <v>46205</v>
      </c>
      <c r="D31" t="inlineStr">
        <is>
          <t>VÄSTRA GÖTALANDS LÄN</t>
        </is>
      </c>
      <c r="E31" t="inlineStr">
        <is>
          <t>MARIESTAD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HYPERLINK("https://klasma.github.io/Logging_1493/artfynd/A 7612-2023 artfynd.xlsx", "A 7612-2023")</f>
        <v/>
      </c>
      <c r="T31">
        <f>HYPERLINK("https://klasma.github.io/Logging_1493/kartor/A 7612-2023 karta.png", "A 7612-2023")</f>
        <v/>
      </c>
      <c r="V31">
        <f>HYPERLINK("https://klasma.github.io/Logging_1493/klagomål/A 7612-2023 FSC-klagomål.docx", "A 7612-2023")</f>
        <v/>
      </c>
      <c r="W31">
        <f>HYPERLINK("https://klasma.github.io/Logging_1493/klagomålsmail/A 7612-2023 FSC-klagomål mail.docx", "A 7612-2023")</f>
        <v/>
      </c>
      <c r="X31">
        <f>HYPERLINK("https://klasma.github.io/Logging_1493/tillsyn/A 7612-2023 tillsynsbegäran.docx", "A 7612-2023")</f>
        <v/>
      </c>
      <c r="Y31">
        <f>HYPERLINK("https://klasma.github.io/Logging_1493/tillsynsmail/A 7612-2023 tillsynsbegäran mail.docx", "A 7612-2023")</f>
        <v/>
      </c>
    </row>
    <row r="32" ht="15" customHeight="1">
      <c r="A32" t="inlineStr">
        <is>
          <t>A 30652-2023</t>
        </is>
      </c>
      <c r="B32" s="1" t="n">
        <v>45112</v>
      </c>
      <c r="C32" s="1" t="n">
        <v>46205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HYPERLINK("https://klasma.github.io/Logging_1493/artfynd/A 30652-2023 artfynd.xlsx", "A 30652-2023")</f>
        <v/>
      </c>
      <c r="T32">
        <f>HYPERLINK("https://klasma.github.io/Logging_1493/kartor/A 30652-2023 karta.png", "A 30652-2023")</f>
        <v/>
      </c>
      <c r="V32">
        <f>HYPERLINK("https://klasma.github.io/Logging_1493/klagomål/A 30652-2023 FSC-klagomål.docx", "A 30652-2023")</f>
        <v/>
      </c>
      <c r="W32">
        <f>HYPERLINK("https://klasma.github.io/Logging_1493/klagomålsmail/A 30652-2023 FSC-klagomål mail.docx", "A 30652-2023")</f>
        <v/>
      </c>
      <c r="X32">
        <f>HYPERLINK("https://klasma.github.io/Logging_1493/tillsyn/A 30652-2023 tillsynsbegäran.docx", "A 30652-2023")</f>
        <v/>
      </c>
      <c r="Y32">
        <f>HYPERLINK("https://klasma.github.io/Logging_1493/tillsynsmail/A 30652-2023 tillsynsbegäran mail.docx", "A 30652-2023")</f>
        <v/>
      </c>
    </row>
    <row r="33" ht="15" customHeight="1">
      <c r="A33" t="inlineStr">
        <is>
          <t>A 15052-2023</t>
        </is>
      </c>
      <c r="B33" s="1" t="n">
        <v>45015</v>
      </c>
      <c r="C33" s="1" t="n">
        <v>46205</v>
      </c>
      <c r="D33" t="inlineStr">
        <is>
          <t>VÄSTRA GÖTALANDS LÄN</t>
        </is>
      </c>
      <c r="E33" t="inlineStr">
        <is>
          <t>MARIESTAD</t>
        </is>
      </c>
      <c r="G33" t="n">
        <v>15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HYPERLINK("https://klasma.github.io/Logging_1493/artfynd/A 15052-2023 artfynd.xlsx", "A 15052-2023")</f>
        <v/>
      </c>
      <c r="T33">
        <f>HYPERLINK("https://klasma.github.io/Logging_1493/kartor/A 15052-2023 karta.png", "A 15052-2023")</f>
        <v/>
      </c>
      <c r="V33">
        <f>HYPERLINK("https://klasma.github.io/Logging_1493/klagomål/A 15052-2023 FSC-klagomål.docx", "A 15052-2023")</f>
        <v/>
      </c>
      <c r="W33">
        <f>HYPERLINK("https://klasma.github.io/Logging_1493/klagomålsmail/A 15052-2023 FSC-klagomål mail.docx", "A 15052-2023")</f>
        <v/>
      </c>
      <c r="X33">
        <f>HYPERLINK("https://klasma.github.io/Logging_1493/tillsyn/A 15052-2023 tillsynsbegäran.docx", "A 15052-2023")</f>
        <v/>
      </c>
      <c r="Y33">
        <f>HYPERLINK("https://klasma.github.io/Logging_1493/tillsynsmail/A 15052-2023 tillsynsbegäran mail.docx", "A 15052-2023")</f>
        <v/>
      </c>
      <c r="Z33">
        <f>HYPERLINK("https://klasma.github.io/Logging_1493/fåglar/A 15052-2023 prioriterade fågelarter.docx", "A 15052-2023")</f>
        <v/>
      </c>
    </row>
    <row r="34" ht="15" customHeight="1">
      <c r="A34" t="inlineStr">
        <is>
          <t>A 17272-2023</t>
        </is>
      </c>
      <c r="B34" s="1" t="n">
        <v>45035</v>
      </c>
      <c r="C34" s="1" t="n">
        <v>46205</v>
      </c>
      <c r="D34" t="inlineStr">
        <is>
          <t>VÄSTRA GÖTALANDS LÄN</t>
        </is>
      </c>
      <c r="E34" t="inlineStr">
        <is>
          <t>MARIESTAD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HYPERLINK("https://klasma.github.io/Logging_1493/artfynd/A 17272-2023 artfynd.xlsx", "A 17272-2023")</f>
        <v/>
      </c>
      <c r="T34">
        <f>HYPERLINK("https://klasma.github.io/Logging_1493/kartor/A 17272-2023 karta.png", "A 17272-2023")</f>
        <v/>
      </c>
      <c r="V34">
        <f>HYPERLINK("https://klasma.github.io/Logging_1493/klagomål/A 17272-2023 FSC-klagomål.docx", "A 17272-2023")</f>
        <v/>
      </c>
      <c r="W34">
        <f>HYPERLINK("https://klasma.github.io/Logging_1493/klagomålsmail/A 17272-2023 FSC-klagomål mail.docx", "A 17272-2023")</f>
        <v/>
      </c>
      <c r="X34">
        <f>HYPERLINK("https://klasma.github.io/Logging_1493/tillsyn/A 17272-2023 tillsynsbegäran.docx", "A 17272-2023")</f>
        <v/>
      </c>
      <c r="Y34">
        <f>HYPERLINK("https://klasma.github.io/Logging_1493/tillsynsmail/A 17272-2023 tillsynsbegäran mail.docx", "A 17272-2023")</f>
        <v/>
      </c>
    </row>
    <row r="35" ht="15" customHeight="1">
      <c r="A35" t="inlineStr">
        <is>
          <t>A 20438-2024</t>
        </is>
      </c>
      <c r="B35" s="1" t="n">
        <v>45435</v>
      </c>
      <c r="C35" s="1" t="n">
        <v>46205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Griffelblomfluga</t>
        </is>
      </c>
      <c r="S35">
        <f>HYPERLINK("https://klasma.github.io/Logging_1493/artfynd/A 20438-2024 artfynd.xlsx", "A 20438-2024")</f>
        <v/>
      </c>
      <c r="T35">
        <f>HYPERLINK("https://klasma.github.io/Logging_1493/kartor/A 20438-2024 karta.png", "A 20438-2024")</f>
        <v/>
      </c>
      <c r="V35">
        <f>HYPERLINK("https://klasma.github.io/Logging_1493/klagomål/A 20438-2024 FSC-klagomål.docx", "A 20438-2024")</f>
        <v/>
      </c>
      <c r="W35">
        <f>HYPERLINK("https://klasma.github.io/Logging_1493/klagomålsmail/A 20438-2024 FSC-klagomål mail.docx", "A 20438-2024")</f>
        <v/>
      </c>
      <c r="X35">
        <f>HYPERLINK("https://klasma.github.io/Logging_1493/tillsyn/A 20438-2024 tillsynsbegäran.docx", "A 20438-2024")</f>
        <v/>
      </c>
      <c r="Y35">
        <f>HYPERLINK("https://klasma.github.io/Logging_1493/tillsynsmail/A 20438-2024 tillsynsbegäran mail.docx", "A 20438-2024")</f>
        <v/>
      </c>
    </row>
    <row r="36" ht="15" customHeight="1">
      <c r="A36" t="inlineStr">
        <is>
          <t>A 27444-2023</t>
        </is>
      </c>
      <c r="B36" s="1" t="n">
        <v>45097</v>
      </c>
      <c r="C36" s="1" t="n">
        <v>46205</v>
      </c>
      <c r="D36" t="inlineStr">
        <is>
          <t>VÄSTRA GÖTALANDS LÄN</t>
        </is>
      </c>
      <c r="E36" t="inlineStr">
        <is>
          <t>MARIESTAD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HYPERLINK("https://klasma.github.io/Logging_1493/artfynd/A 27444-2023 artfynd.xlsx", "A 27444-2023")</f>
        <v/>
      </c>
      <c r="T36">
        <f>HYPERLINK("https://klasma.github.io/Logging_1493/kartor/A 27444-2023 karta.png", "A 27444-2023")</f>
        <v/>
      </c>
      <c r="V36">
        <f>HYPERLINK("https://klasma.github.io/Logging_1493/klagomål/A 27444-2023 FSC-klagomål.docx", "A 27444-2023")</f>
        <v/>
      </c>
      <c r="W36">
        <f>HYPERLINK("https://klasma.github.io/Logging_1493/klagomålsmail/A 27444-2023 FSC-klagomål mail.docx", "A 27444-2023")</f>
        <v/>
      </c>
      <c r="X36">
        <f>HYPERLINK("https://klasma.github.io/Logging_1493/tillsyn/A 27444-2023 tillsynsbegäran.docx", "A 27444-2023")</f>
        <v/>
      </c>
      <c r="Y36">
        <f>HYPERLINK("https://klasma.github.io/Logging_1493/tillsynsmail/A 27444-2023 tillsynsbegäran mail.docx", "A 27444-2023")</f>
        <v/>
      </c>
    </row>
    <row r="37" ht="15" customHeight="1">
      <c r="A37" t="inlineStr">
        <is>
          <t>A 42647-2023</t>
        </is>
      </c>
      <c r="B37" s="1" t="n">
        <v>45181</v>
      </c>
      <c r="C37" s="1" t="n">
        <v>46205</v>
      </c>
      <c r="D37" t="inlineStr">
        <is>
          <t>VÄSTRA GÖTALANDS LÄN</t>
        </is>
      </c>
      <c r="E37" t="inlineStr">
        <is>
          <t>MARIESTAD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HYPERLINK("https://klasma.github.io/Logging_1493/artfynd/A 42647-2023 artfynd.xlsx", "A 42647-2023")</f>
        <v/>
      </c>
      <c r="T37">
        <f>HYPERLINK("https://klasma.github.io/Logging_1493/kartor/A 42647-2023 karta.png", "A 42647-2023")</f>
        <v/>
      </c>
      <c r="V37">
        <f>HYPERLINK("https://klasma.github.io/Logging_1493/klagomål/A 42647-2023 FSC-klagomål.docx", "A 42647-2023")</f>
        <v/>
      </c>
      <c r="W37">
        <f>HYPERLINK("https://klasma.github.io/Logging_1493/klagomålsmail/A 42647-2023 FSC-klagomål mail.docx", "A 42647-2023")</f>
        <v/>
      </c>
      <c r="X37">
        <f>HYPERLINK("https://klasma.github.io/Logging_1493/tillsyn/A 42647-2023 tillsynsbegäran.docx", "A 42647-2023")</f>
        <v/>
      </c>
      <c r="Y37">
        <f>HYPERLINK("https://klasma.github.io/Logging_1493/tillsynsmail/A 42647-2023 tillsynsbegäran mail.docx", "A 42647-2023")</f>
        <v/>
      </c>
    </row>
    <row r="38" ht="15" customHeight="1">
      <c r="A38" t="inlineStr">
        <is>
          <t>A 9650-2025</t>
        </is>
      </c>
      <c r="B38" s="1" t="n">
        <v>45716</v>
      </c>
      <c r="C38" s="1" t="n">
        <v>46205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Sveaskog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HYPERLINK("https://klasma.github.io/Logging_1493/artfynd/A 9650-2025 artfynd.xlsx", "A 9650-2025")</f>
        <v/>
      </c>
      <c r="T38">
        <f>HYPERLINK("https://klasma.github.io/Logging_1493/kartor/A 9650-2025 karta.png", "A 9650-2025")</f>
        <v/>
      </c>
      <c r="V38">
        <f>HYPERLINK("https://klasma.github.io/Logging_1493/klagomål/A 9650-2025 FSC-klagomål.docx", "A 9650-2025")</f>
        <v/>
      </c>
      <c r="W38">
        <f>HYPERLINK("https://klasma.github.io/Logging_1493/klagomålsmail/A 9650-2025 FSC-klagomål mail.docx", "A 9650-2025")</f>
        <v/>
      </c>
      <c r="X38">
        <f>HYPERLINK("https://klasma.github.io/Logging_1493/tillsyn/A 9650-2025 tillsynsbegäran.docx", "A 9650-2025")</f>
        <v/>
      </c>
      <c r="Y38">
        <f>HYPERLINK("https://klasma.github.io/Logging_1493/tillsynsmail/A 9650-2025 tillsynsbegäran mail.docx", "A 9650-2025")</f>
        <v/>
      </c>
    </row>
    <row r="39" ht="15" customHeight="1">
      <c r="A39" t="inlineStr">
        <is>
          <t>A 9774-2022</t>
        </is>
      </c>
      <c r="B39" s="1" t="n">
        <v>44619</v>
      </c>
      <c r="C39" s="1" t="n">
        <v>46205</v>
      </c>
      <c r="D39" t="inlineStr">
        <is>
          <t>VÄSTRA GÖTALANDS LÄN</t>
        </is>
      </c>
      <c r="E39" t="inlineStr">
        <is>
          <t>MARIESTAD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51154-2021</t>
        </is>
      </c>
      <c r="B40" s="1" t="n">
        <v>44461</v>
      </c>
      <c r="C40" s="1" t="n">
        <v>46205</v>
      </c>
      <c r="D40" t="inlineStr">
        <is>
          <t>VÄSTRA GÖTALANDS LÄN</t>
        </is>
      </c>
      <c r="E40" t="inlineStr">
        <is>
          <t>MARIESTAD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34864-2021</t>
        </is>
      </c>
      <c r="B41" s="1" t="n">
        <v>44383</v>
      </c>
      <c r="C41" s="1" t="n">
        <v>46205</v>
      </c>
      <c r="D41" t="inlineStr">
        <is>
          <t>VÄSTRA GÖTALANDS LÄN</t>
        </is>
      </c>
      <c r="E41" t="inlineStr">
        <is>
          <t>MARIESTAD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1640-2022</t>
        </is>
      </c>
      <c r="B42" s="1" t="n">
        <v>44574</v>
      </c>
      <c r="C42" s="1" t="n">
        <v>46205</v>
      </c>
      <c r="D42" t="inlineStr">
        <is>
          <t>VÄSTRA GÖTALANDS LÄN</t>
        </is>
      </c>
      <c r="E42" t="inlineStr">
        <is>
          <t>MARIESTAD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47034-2022</t>
        </is>
      </c>
      <c r="B43" s="1" t="n">
        <v>44852</v>
      </c>
      <c r="C43" s="1" t="n">
        <v>46205</v>
      </c>
      <c r="D43" t="inlineStr">
        <is>
          <t>VÄSTRA GÖTALANDS LÄN</t>
        </is>
      </c>
      <c r="E43" t="inlineStr">
        <is>
          <t>MARIESTAD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46205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46205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54484-2021</t>
        </is>
      </c>
      <c r="B46" s="1" t="n">
        <v>44473</v>
      </c>
      <c r="C46" s="1" t="n">
        <v>46205</v>
      </c>
      <c r="D46" t="inlineStr">
        <is>
          <t>VÄSTRA GÖTALANDS LÄN</t>
        </is>
      </c>
      <c r="E46" t="inlineStr">
        <is>
          <t>MARIESTAD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46841-2021</t>
        </is>
      </c>
      <c r="B47" s="1" t="n">
        <v>44446</v>
      </c>
      <c r="C47" s="1" t="n">
        <v>46205</v>
      </c>
      <c r="D47" t="inlineStr">
        <is>
          <t>VÄSTRA GÖTALANDS LÄN</t>
        </is>
      </c>
      <c r="E47" t="inlineStr">
        <is>
          <t>MARIESTAD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</v>
      </c>
      <c r="C48" s="1" t="n">
        <v>46205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46205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71210-2021</t>
        </is>
      </c>
      <c r="B50" s="1" t="n">
        <v>44539</v>
      </c>
      <c r="C50" s="1" t="n">
        <v>46205</v>
      </c>
      <c r="D50" t="inlineStr">
        <is>
          <t>VÄSTRA GÖTALANDS LÄN</t>
        </is>
      </c>
      <c r="E50" t="inlineStr">
        <is>
          <t>MARIESTAD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46205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8853-2022</t>
        </is>
      </c>
      <c r="B52" s="1" t="n">
        <v>44614</v>
      </c>
      <c r="C52" s="1" t="n">
        <v>46205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30820-2022</t>
        </is>
      </c>
      <c r="B53" s="1" t="n">
        <v>44766</v>
      </c>
      <c r="C53" s="1" t="n">
        <v>46205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53758-2022</t>
        </is>
      </c>
      <c r="B54" s="1" t="n">
        <v>44880</v>
      </c>
      <c r="C54" s="1" t="n">
        <v>46205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44821-2021</t>
        </is>
      </c>
      <c r="B55" s="1" t="n">
        <v>44438</v>
      </c>
      <c r="C55" s="1" t="n">
        <v>46205</v>
      </c>
      <c r="D55" t="inlineStr">
        <is>
          <t>VÄSTRA GÖTALANDS LÄN</t>
        </is>
      </c>
      <c r="E55" t="inlineStr">
        <is>
          <t>MARIESTAD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47193-2021</t>
        </is>
      </c>
      <c r="B56" s="1" t="n">
        <v>44447</v>
      </c>
      <c r="C56" s="1" t="n">
        <v>46205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46205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</v>
      </c>
      <c r="C58" s="1" t="n">
        <v>46205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</v>
      </c>
      <c r="C59" s="1" t="n">
        <v>46205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46205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46205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</v>
      </c>
      <c r="C62" s="1" t="n">
        <v>46205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46205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46205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46205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46205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</v>
      </c>
      <c r="C67" s="1" t="n">
        <v>46205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46205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46205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</v>
      </c>
      <c r="C70" s="1" t="n">
        <v>46205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</v>
      </c>
      <c r="C71" s="1" t="n">
        <v>46205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46205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8471-2025</t>
        </is>
      </c>
      <c r="B73" s="1" t="n">
        <v>45709</v>
      </c>
      <c r="C73" s="1" t="n">
        <v>46205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7032-2024</t>
        </is>
      </c>
      <c r="B74" s="1" t="n">
        <v>45343</v>
      </c>
      <c r="C74" s="1" t="n">
        <v>46205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49566-2023</t>
        </is>
      </c>
      <c r="B75" s="1" t="n">
        <v>45211</v>
      </c>
      <c r="C75" s="1" t="n">
        <v>46205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645-2024</t>
        </is>
      </c>
      <c r="B76" s="1" t="n">
        <v>45299</v>
      </c>
      <c r="C76" s="1" t="n">
        <v>46205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17139-2024</t>
        </is>
      </c>
      <c r="B77" s="1" t="n">
        <v>45412</v>
      </c>
      <c r="C77" s="1" t="n">
        <v>46205</v>
      </c>
      <c r="D77" t="inlineStr">
        <is>
          <t>VÄSTRA GÖTALANDS LÄN</t>
        </is>
      </c>
      <c r="E77" t="inlineStr">
        <is>
          <t>MARIESTAD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17165-2024</t>
        </is>
      </c>
      <c r="B78" s="1" t="n">
        <v>45412</v>
      </c>
      <c r="C78" s="1" t="n">
        <v>46205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27451-2023</t>
        </is>
      </c>
      <c r="B79" s="1" t="n">
        <v>45097</v>
      </c>
      <c r="C79" s="1" t="n">
        <v>46205</v>
      </c>
      <c r="D79" t="inlineStr">
        <is>
          <t>VÄSTRA GÖTALANDS LÄN</t>
        </is>
      </c>
      <c r="E79" t="inlineStr">
        <is>
          <t>MARIESTAD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46555-2022</t>
        </is>
      </c>
      <c r="B80" s="1" t="n">
        <v>44848</v>
      </c>
      <c r="C80" s="1" t="n">
        <v>46205</v>
      </c>
      <c r="D80" t="inlineStr">
        <is>
          <t>VÄSTRA GÖTALANDS LÄN</t>
        </is>
      </c>
      <c r="E80" t="inlineStr">
        <is>
          <t>MARIESTAD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39437-2021</t>
        </is>
      </c>
      <c r="B81" s="1" t="n">
        <v>44414</v>
      </c>
      <c r="C81" s="1" t="n">
        <v>46205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11729-2024</t>
        </is>
      </c>
      <c r="B82" s="1" t="n">
        <v>45373</v>
      </c>
      <c r="C82" s="1" t="n">
        <v>46205</v>
      </c>
      <c r="D82" t="inlineStr">
        <is>
          <t>VÄSTRA GÖTALANDS LÄN</t>
        </is>
      </c>
      <c r="E82" t="inlineStr">
        <is>
          <t>MARIESTAD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24765-2024</t>
        </is>
      </c>
      <c r="B83" s="1" t="n">
        <v>45460</v>
      </c>
      <c r="C83" s="1" t="n">
        <v>46205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38114-2022</t>
        </is>
      </c>
      <c r="B84" s="1" t="n">
        <v>44812</v>
      </c>
      <c r="C84" s="1" t="n">
        <v>46205</v>
      </c>
      <c r="D84" t="inlineStr">
        <is>
          <t>VÄSTRA GÖTALANDS LÄN</t>
        </is>
      </c>
      <c r="E84" t="inlineStr">
        <is>
          <t>MARIESTAD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14291-2024</t>
        </is>
      </c>
      <c r="B85" s="1" t="n">
        <v>45393</v>
      </c>
      <c r="C85" s="1" t="n">
        <v>46205</v>
      </c>
      <c r="D85" t="inlineStr">
        <is>
          <t>VÄSTRA GÖTALANDS LÄN</t>
        </is>
      </c>
      <c r="E85" t="inlineStr">
        <is>
          <t>MARIESTAD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49163-2023</t>
        </is>
      </c>
      <c r="B86" s="1" t="n">
        <v>45210</v>
      </c>
      <c r="C86" s="1" t="n">
        <v>46205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54717-2022</t>
        </is>
      </c>
      <c r="B87" s="1" t="n">
        <v>44883</v>
      </c>
      <c r="C87" s="1" t="n">
        <v>46205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74081-2021</t>
        </is>
      </c>
      <c r="B88" s="1" t="n">
        <v>44553</v>
      </c>
      <c r="C88" s="1" t="n">
        <v>46205</v>
      </c>
      <c r="D88" t="inlineStr">
        <is>
          <t>VÄSTRA GÖTALANDS LÄN</t>
        </is>
      </c>
      <c r="E88" t="inlineStr">
        <is>
          <t>MARIESTAD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33571-2023</t>
        </is>
      </c>
      <c r="B89" s="1" t="n">
        <v>45131</v>
      </c>
      <c r="C89" s="1" t="n">
        <v>46205</v>
      </c>
      <c r="D89" t="inlineStr">
        <is>
          <t>VÄSTRA GÖTALANDS LÄN</t>
        </is>
      </c>
      <c r="E89" t="inlineStr">
        <is>
          <t>MARIESTAD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38108-2022</t>
        </is>
      </c>
      <c r="B90" s="1" t="n">
        <v>44812</v>
      </c>
      <c r="C90" s="1" t="n">
        <v>46205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61601-2023</t>
        </is>
      </c>
      <c r="B91" s="1" t="n">
        <v>45265</v>
      </c>
      <c r="C91" s="1" t="n">
        <v>46205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62718-2023</t>
        </is>
      </c>
      <c r="B92" s="1" t="n">
        <v>45268</v>
      </c>
      <c r="C92" s="1" t="n">
        <v>46205</v>
      </c>
      <c r="D92" t="inlineStr">
        <is>
          <t>VÄSTRA GÖTALANDS LÄN</t>
        </is>
      </c>
      <c r="E92" t="inlineStr">
        <is>
          <t>MARIESTAD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62751-2023</t>
        </is>
      </c>
      <c r="B93" s="1" t="n">
        <v>45271</v>
      </c>
      <c r="C93" s="1" t="n">
        <v>46205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21965-2024</t>
        </is>
      </c>
      <c r="B94" s="1" t="n">
        <v>45443</v>
      </c>
      <c r="C94" s="1" t="n">
        <v>46205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58598-2021</t>
        </is>
      </c>
      <c r="B95" s="1" t="n">
        <v>44489</v>
      </c>
      <c r="C95" s="1" t="n">
        <v>46205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62754-2023</t>
        </is>
      </c>
      <c r="B96" s="1" t="n">
        <v>45271</v>
      </c>
      <c r="C96" s="1" t="n">
        <v>46205</v>
      </c>
      <c r="D96" t="inlineStr">
        <is>
          <t>VÄSTRA GÖTALANDS LÄN</t>
        </is>
      </c>
      <c r="E96" t="inlineStr">
        <is>
          <t>MARIESTAD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32799-2024</t>
        </is>
      </c>
      <c r="B97" s="1" t="n">
        <v>45516</v>
      </c>
      <c r="C97" s="1" t="n">
        <v>46205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66771-2021</t>
        </is>
      </c>
      <c r="B98" s="1" t="n">
        <v>44521</v>
      </c>
      <c r="C98" s="1" t="n">
        <v>46205</v>
      </c>
      <c r="D98" t="inlineStr">
        <is>
          <t>VÄSTRA GÖTALANDS LÄN</t>
        </is>
      </c>
      <c r="E98" t="inlineStr">
        <is>
          <t>MARIESTAD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25799-2025</t>
        </is>
      </c>
      <c r="B99" s="1" t="n">
        <v>45804</v>
      </c>
      <c r="C99" s="1" t="n">
        <v>46205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571-2026</t>
        </is>
      </c>
      <c r="B100" s="1" t="n">
        <v>46029</v>
      </c>
      <c r="C100" s="1" t="n">
        <v>46205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573-2026</t>
        </is>
      </c>
      <c r="B101" s="1" t="n">
        <v>46029</v>
      </c>
      <c r="C101" s="1" t="n">
        <v>46205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25950-2025</t>
        </is>
      </c>
      <c r="B102" s="1" t="n">
        <v>45804</v>
      </c>
      <c r="C102" s="1" t="n">
        <v>46205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25946-2025</t>
        </is>
      </c>
      <c r="B103" s="1" t="n">
        <v>45804</v>
      </c>
      <c r="C103" s="1" t="n">
        <v>46205</v>
      </c>
      <c r="D103" t="inlineStr">
        <is>
          <t>VÄSTRA GÖTALANDS LÄN</t>
        </is>
      </c>
      <c r="E103" t="inlineStr">
        <is>
          <t>MARIESTAD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57692-2023</t>
        </is>
      </c>
      <c r="B104" s="1" t="n">
        <v>45243</v>
      </c>
      <c r="C104" s="1" t="n">
        <v>46205</v>
      </c>
      <c r="D104" t="inlineStr">
        <is>
          <t>VÄSTRA GÖTALANDS LÄN</t>
        </is>
      </c>
      <c r="E104" t="inlineStr">
        <is>
          <t>MARIESTAD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16713-2025</t>
        </is>
      </c>
      <c r="B105" s="1" t="n">
        <v>45754</v>
      </c>
      <c r="C105" s="1" t="n">
        <v>46205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38915-2025</t>
        </is>
      </c>
      <c r="B106" s="1" t="n">
        <v>45887</v>
      </c>
      <c r="C106" s="1" t="n">
        <v>46205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38947-2025</t>
        </is>
      </c>
      <c r="B107" s="1" t="n">
        <v>45887</v>
      </c>
      <c r="C107" s="1" t="n">
        <v>46205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38950-2025</t>
        </is>
      </c>
      <c r="B108" s="1" t="n">
        <v>45887</v>
      </c>
      <c r="C108" s="1" t="n">
        <v>46205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58896-2022</t>
        </is>
      </c>
      <c r="B109" s="1" t="n">
        <v>44903</v>
      </c>
      <c r="C109" s="1" t="n">
        <v>46205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28012-2025</t>
        </is>
      </c>
      <c r="B110" s="1" t="n">
        <v>45817</v>
      </c>
      <c r="C110" s="1" t="n">
        <v>46205</v>
      </c>
      <c r="D110" t="inlineStr">
        <is>
          <t>VÄSTRA GÖTALANDS LÄN</t>
        </is>
      </c>
      <c r="E110" t="inlineStr">
        <is>
          <t>MARIESTAD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38948-2025</t>
        </is>
      </c>
      <c r="B111" s="1" t="n">
        <v>45887</v>
      </c>
      <c r="C111" s="1" t="n">
        <v>46205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28313-2025</t>
        </is>
      </c>
      <c r="B112" s="1" t="n">
        <v>45818</v>
      </c>
      <c r="C112" s="1" t="n">
        <v>46205</v>
      </c>
      <c r="D112" t="inlineStr">
        <is>
          <t>VÄSTRA GÖTALANDS LÄN</t>
        </is>
      </c>
      <c r="E112" t="inlineStr">
        <is>
          <t>MARIESTAD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28902-2025</t>
        </is>
      </c>
      <c r="B113" s="1" t="n">
        <v>45820</v>
      </c>
      <c r="C113" s="1" t="n">
        <v>46205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28899-2025</t>
        </is>
      </c>
      <c r="B114" s="1" t="n">
        <v>45820</v>
      </c>
      <c r="C114" s="1" t="n">
        <v>46205</v>
      </c>
      <c r="D114" t="inlineStr">
        <is>
          <t>VÄSTRA GÖTALANDS LÄN</t>
        </is>
      </c>
      <c r="E114" t="inlineStr">
        <is>
          <t>MARIESTAD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48255-2024</t>
        </is>
      </c>
      <c r="B115" s="1" t="n">
        <v>45590</v>
      </c>
      <c r="C115" s="1" t="n">
        <v>46205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28449-2025</t>
        </is>
      </c>
      <c r="B116" s="1" t="n">
        <v>45819</v>
      </c>
      <c r="C116" s="1" t="n">
        <v>46205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28956-2025</t>
        </is>
      </c>
      <c r="B117" s="1" t="n">
        <v>45821</v>
      </c>
      <c r="C117" s="1" t="n">
        <v>46205</v>
      </c>
      <c r="D117" t="inlineStr">
        <is>
          <t>VÄSTRA GÖTALANDS LÄN</t>
        </is>
      </c>
      <c r="E117" t="inlineStr">
        <is>
          <t>MARIESTAD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2394-2025</t>
        </is>
      </c>
      <c r="B118" s="1" t="n">
        <v>45674</v>
      </c>
      <c r="C118" s="1" t="n">
        <v>46205</v>
      </c>
      <c r="D118" t="inlineStr">
        <is>
          <t>VÄSTRA GÖTALANDS LÄN</t>
        </is>
      </c>
      <c r="E118" t="inlineStr">
        <is>
          <t>MARIESTAD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40952-2025</t>
        </is>
      </c>
      <c r="B119" s="1" t="n">
        <v>45897</v>
      </c>
      <c r="C119" s="1" t="n">
        <v>46205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1841-2026</t>
        </is>
      </c>
      <c r="B120" s="1" t="n">
        <v>46035</v>
      </c>
      <c r="C120" s="1" t="n">
        <v>46205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29805-2025</t>
        </is>
      </c>
      <c r="B121" s="1" t="n">
        <v>45825</v>
      </c>
      <c r="C121" s="1" t="n">
        <v>46205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30413-2025</t>
        </is>
      </c>
      <c r="B122" s="1" t="n">
        <v>45827</v>
      </c>
      <c r="C122" s="1" t="n">
        <v>46205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42839-2025</t>
        </is>
      </c>
      <c r="B123" s="1" t="n">
        <v>45908</v>
      </c>
      <c r="C123" s="1" t="n">
        <v>46205</v>
      </c>
      <c r="D123" t="inlineStr">
        <is>
          <t>VÄSTRA GÖTALANDS LÄN</t>
        </is>
      </c>
      <c r="E123" t="inlineStr">
        <is>
          <t>MARIESTAD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60812-2023</t>
        </is>
      </c>
      <c r="B124" s="1" t="n">
        <v>45260</v>
      </c>
      <c r="C124" s="1" t="n">
        <v>46205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32794-2024</t>
        </is>
      </c>
      <c r="B125" s="1" t="n">
        <v>45516</v>
      </c>
      <c r="C125" s="1" t="n">
        <v>46205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32798-2024</t>
        </is>
      </c>
      <c r="B126" s="1" t="n">
        <v>45516</v>
      </c>
      <c r="C126" s="1" t="n">
        <v>46205</v>
      </c>
      <c r="D126" t="inlineStr">
        <is>
          <t>VÄSTRA GÖTALANDS LÄN</t>
        </is>
      </c>
      <c r="E126" t="inlineStr">
        <is>
          <t>MARIESTAD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2457-2026</t>
        </is>
      </c>
      <c r="B127" s="1" t="n">
        <v>46037</v>
      </c>
      <c r="C127" s="1" t="n">
        <v>46205</v>
      </c>
      <c r="D127" t="inlineStr">
        <is>
          <t>VÄSTRA GÖTALANDS LÄN</t>
        </is>
      </c>
      <c r="E127" t="inlineStr">
        <is>
          <t>MARIESTAD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12361-2023</t>
        </is>
      </c>
      <c r="B128" s="1" t="n">
        <v>44999</v>
      </c>
      <c r="C128" s="1" t="n">
        <v>46205</v>
      </c>
      <c r="D128" t="inlineStr">
        <is>
          <t>VÄSTRA GÖTALANDS LÄN</t>
        </is>
      </c>
      <c r="E128" t="inlineStr">
        <is>
          <t>MARIESTAD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43090-2025</t>
        </is>
      </c>
      <c r="B129" s="1" t="n">
        <v>45909</v>
      </c>
      <c r="C129" s="1" t="n">
        <v>46205</v>
      </c>
      <c r="D129" t="inlineStr">
        <is>
          <t>VÄSTRA GÖTALANDS LÄN</t>
        </is>
      </c>
      <c r="E129" t="inlineStr">
        <is>
          <t>MARIESTAD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43096-2025</t>
        </is>
      </c>
      <c r="B130" s="1" t="n">
        <v>45909</v>
      </c>
      <c r="C130" s="1" t="n">
        <v>46205</v>
      </c>
      <c r="D130" t="inlineStr">
        <is>
          <t>VÄSTRA GÖTALANDS LÄN</t>
        </is>
      </c>
      <c r="E130" t="inlineStr">
        <is>
          <t>MARIESTAD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43093-2025</t>
        </is>
      </c>
      <c r="B131" s="1" t="n">
        <v>45909</v>
      </c>
      <c r="C131" s="1" t="n">
        <v>46205</v>
      </c>
      <c r="D131" t="inlineStr">
        <is>
          <t>VÄSTRA GÖTALANDS LÄN</t>
        </is>
      </c>
      <c r="E131" t="inlineStr">
        <is>
          <t>MARIESTAD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43099-2025</t>
        </is>
      </c>
      <c r="B132" s="1" t="n">
        <v>45909</v>
      </c>
      <c r="C132" s="1" t="n">
        <v>46205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43580-2025</t>
        </is>
      </c>
      <c r="B133" s="1" t="n">
        <v>45911</v>
      </c>
      <c r="C133" s="1" t="n">
        <v>46205</v>
      </c>
      <c r="D133" t="inlineStr">
        <is>
          <t>VÄSTRA GÖTALANDS LÄN</t>
        </is>
      </c>
      <c r="E133" t="inlineStr">
        <is>
          <t>MARIESTAD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11815-2023</t>
        </is>
      </c>
      <c r="B134" s="1" t="n">
        <v>44994</v>
      </c>
      <c r="C134" s="1" t="n">
        <v>46205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16867-2023</t>
        </is>
      </c>
      <c r="B135" s="1" t="n">
        <v>45033</v>
      </c>
      <c r="C135" s="1" t="n">
        <v>46205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56054-2023</t>
        </is>
      </c>
      <c r="B136" s="1" t="n">
        <v>45240</v>
      </c>
      <c r="C136" s="1" t="n">
        <v>46205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49932-2022</t>
        </is>
      </c>
      <c r="B137" s="1" t="n">
        <v>44865</v>
      </c>
      <c r="C137" s="1" t="n">
        <v>46205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</v>
      </c>
      <c r="C138" s="1" t="n">
        <v>46205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1315-2023</t>
        </is>
      </c>
      <c r="B139" s="1" t="n">
        <v>44936</v>
      </c>
      <c r="C139" s="1" t="n">
        <v>46205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31239-2025</t>
        </is>
      </c>
      <c r="B140" s="1" t="n">
        <v>45832</v>
      </c>
      <c r="C140" s="1" t="n">
        <v>46205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53097-2022</t>
        </is>
      </c>
      <c r="B141" s="1" t="n">
        <v>44876</v>
      </c>
      <c r="C141" s="1" t="n">
        <v>46205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48267-2024</t>
        </is>
      </c>
      <c r="B142" s="1" t="n">
        <v>45590</v>
      </c>
      <c r="C142" s="1" t="n">
        <v>46205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49200-2023</t>
        </is>
      </c>
      <c r="B143" s="1" t="n">
        <v>45210</v>
      </c>
      <c r="C143" s="1" t="n">
        <v>46205</v>
      </c>
      <c r="D143" t="inlineStr">
        <is>
          <t>VÄSTRA GÖTALANDS LÄN</t>
        </is>
      </c>
      <c r="E143" t="inlineStr">
        <is>
          <t>MARIESTAD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15206-2025</t>
        </is>
      </c>
      <c r="B144" s="1" t="n">
        <v>45744</v>
      </c>
      <c r="C144" s="1" t="n">
        <v>46205</v>
      </c>
      <c r="D144" t="inlineStr">
        <is>
          <t>VÄSTRA GÖTALANDS LÄN</t>
        </is>
      </c>
      <c r="E144" t="inlineStr">
        <is>
          <t>MARIESTAD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39046-2024</t>
        </is>
      </c>
      <c r="B145" s="1" t="n">
        <v>45548</v>
      </c>
      <c r="C145" s="1" t="n">
        <v>46205</v>
      </c>
      <c r="D145" t="inlineStr">
        <is>
          <t>VÄSTRA GÖTALANDS LÄN</t>
        </is>
      </c>
      <c r="E145" t="inlineStr">
        <is>
          <t>MARIESTAD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1283-2023</t>
        </is>
      </c>
      <c r="B146" s="1" t="n">
        <v>44936</v>
      </c>
      <c r="C146" s="1" t="n">
        <v>46205</v>
      </c>
      <c r="D146" t="inlineStr">
        <is>
          <t>VÄSTRA GÖTALANDS LÄN</t>
        </is>
      </c>
      <c r="E146" t="inlineStr">
        <is>
          <t>MARIESTAD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48187-2023</t>
        </is>
      </c>
      <c r="B147" s="1" t="n">
        <v>45199</v>
      </c>
      <c r="C147" s="1" t="n">
        <v>46205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2577-2023</t>
        </is>
      </c>
      <c r="B148" s="1" t="n">
        <v>44943</v>
      </c>
      <c r="C148" s="1" t="n">
        <v>46205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36738-2025</t>
        </is>
      </c>
      <c r="B149" s="1" t="n">
        <v>45873</v>
      </c>
      <c r="C149" s="1" t="n">
        <v>46205</v>
      </c>
      <c r="D149" t="inlineStr">
        <is>
          <t>VÄSTRA GÖTALANDS LÄN</t>
        </is>
      </c>
      <c r="E149" t="inlineStr">
        <is>
          <t>MARIESTAD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26688-2022</t>
        </is>
      </c>
      <c r="B150" s="1" t="n">
        <v>44739</v>
      </c>
      <c r="C150" s="1" t="n">
        <v>46205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37041-2025</t>
        </is>
      </c>
      <c r="B151" s="1" t="n">
        <v>45875</v>
      </c>
      <c r="C151" s="1" t="n">
        <v>46205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11414-2023</t>
        </is>
      </c>
      <c r="B152" s="1" t="n">
        <v>44993</v>
      </c>
      <c r="C152" s="1" t="n">
        <v>46205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8021-2024</t>
        </is>
      </c>
      <c r="B153" s="1" t="n">
        <v>45350</v>
      </c>
      <c r="C153" s="1" t="n">
        <v>46205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41993-2022</t>
        </is>
      </c>
      <c r="B154" s="1" t="n">
        <v>44830</v>
      </c>
      <c r="C154" s="1" t="n">
        <v>46205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10458-2025</t>
        </is>
      </c>
      <c r="B155" s="1" t="n">
        <v>45720</v>
      </c>
      <c r="C155" s="1" t="n">
        <v>46205</v>
      </c>
      <c r="D155" t="inlineStr">
        <is>
          <t>VÄSTRA GÖTALANDS LÄN</t>
        </is>
      </c>
      <c r="E155" t="inlineStr">
        <is>
          <t>MARIESTAD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3464-2026</t>
        </is>
      </c>
      <c r="B156" s="1" t="n">
        <v>46042</v>
      </c>
      <c r="C156" s="1" t="n">
        <v>46205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14977-2023</t>
        </is>
      </c>
      <c r="B157" s="1" t="n">
        <v>45015</v>
      </c>
      <c r="C157" s="1" t="n">
        <v>46205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51222-2025</t>
        </is>
      </c>
      <c r="B158" s="1" t="n">
        <v>45947</v>
      </c>
      <c r="C158" s="1" t="n">
        <v>46205</v>
      </c>
      <c r="D158" t="inlineStr">
        <is>
          <t>VÄSTRA GÖTALANDS LÄN</t>
        </is>
      </c>
      <c r="E158" t="inlineStr">
        <is>
          <t>MARIESTAD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7418-2023</t>
        </is>
      </c>
      <c r="B159" s="1" t="n">
        <v>44971</v>
      </c>
      <c r="C159" s="1" t="n">
        <v>46205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8849-2022</t>
        </is>
      </c>
      <c r="B160" s="1" t="n">
        <v>44614</v>
      </c>
      <c r="C160" s="1" t="n">
        <v>46205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5011-2023</t>
        </is>
      </c>
      <c r="B161" s="1" t="n">
        <v>44958</v>
      </c>
      <c r="C161" s="1" t="n">
        <v>46205</v>
      </c>
      <c r="D161" t="inlineStr">
        <is>
          <t>VÄSTRA GÖTALANDS LÄN</t>
        </is>
      </c>
      <c r="E161" t="inlineStr">
        <is>
          <t>MARIESTAD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7168-2023</t>
        </is>
      </c>
      <c r="B162" s="1" t="n">
        <v>44965</v>
      </c>
      <c r="C162" s="1" t="n">
        <v>46205</v>
      </c>
      <c r="D162" t="inlineStr">
        <is>
          <t>VÄSTRA GÖTALANDS LÄN</t>
        </is>
      </c>
      <c r="E162" t="inlineStr">
        <is>
          <t>MARIESTAD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53104-2025</t>
        </is>
      </c>
      <c r="B163" s="1" t="n">
        <v>45958</v>
      </c>
      <c r="C163" s="1" t="n">
        <v>46205</v>
      </c>
      <c r="D163" t="inlineStr">
        <is>
          <t>VÄSTRA GÖTALANDS LÄN</t>
        </is>
      </c>
      <c r="E163" t="inlineStr">
        <is>
          <t>MARIESTAD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13655-2023</t>
        </is>
      </c>
      <c r="B164" s="1" t="n">
        <v>45006</v>
      </c>
      <c r="C164" s="1" t="n">
        <v>46205</v>
      </c>
      <c r="D164" t="inlineStr">
        <is>
          <t>VÄSTRA GÖTALANDS LÄN</t>
        </is>
      </c>
      <c r="E164" t="inlineStr">
        <is>
          <t>MARIESTAD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53116-2025</t>
        </is>
      </c>
      <c r="B165" s="1" t="n">
        <v>45958</v>
      </c>
      <c r="C165" s="1" t="n">
        <v>46205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53118-2025</t>
        </is>
      </c>
      <c r="B166" s="1" t="n">
        <v>45958</v>
      </c>
      <c r="C166" s="1" t="n">
        <v>46205</v>
      </c>
      <c r="D166" t="inlineStr">
        <is>
          <t>VÄSTRA GÖTALANDS LÄN</t>
        </is>
      </c>
      <c r="E166" t="inlineStr">
        <is>
          <t>MARIESTAD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7771-2025</t>
        </is>
      </c>
      <c r="B167" s="1" t="n">
        <v>45706</v>
      </c>
      <c r="C167" s="1" t="n">
        <v>46205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11089-2023</t>
        </is>
      </c>
      <c r="B168" s="1" t="n">
        <v>44986</v>
      </c>
      <c r="C168" s="1" t="n">
        <v>46205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11345-2023</t>
        </is>
      </c>
      <c r="B169" s="1" t="n">
        <v>44993</v>
      </c>
      <c r="C169" s="1" t="n">
        <v>46205</v>
      </c>
      <c r="D169" t="inlineStr">
        <is>
          <t>VÄSTRA GÖTALANDS LÄN</t>
        </is>
      </c>
      <c r="E169" t="inlineStr">
        <is>
          <t>MARIESTAD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54225-2022</t>
        </is>
      </c>
      <c r="B170" s="1" t="n">
        <v>44881</v>
      </c>
      <c r="C170" s="1" t="n">
        <v>46205</v>
      </c>
      <c r="D170" t="inlineStr">
        <is>
          <t>VÄSTRA GÖTALANDS LÄN</t>
        </is>
      </c>
      <c r="E170" t="inlineStr">
        <is>
          <t>MARIESTAD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5407-2026</t>
        </is>
      </c>
      <c r="B171" s="1" t="n">
        <v>46050</v>
      </c>
      <c r="C171" s="1" t="n">
        <v>46205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54828-2025</t>
        </is>
      </c>
      <c r="B172" s="1" t="n">
        <v>45966</v>
      </c>
      <c r="C172" s="1" t="n">
        <v>46205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54447-2025</t>
        </is>
      </c>
      <c r="B173" s="1" t="n">
        <v>45965</v>
      </c>
      <c r="C173" s="1" t="n">
        <v>46205</v>
      </c>
      <c r="D173" t="inlineStr">
        <is>
          <t>VÄSTRA GÖTALANDS LÄN</t>
        </is>
      </c>
      <c r="E173" t="inlineStr">
        <is>
          <t>MARIESTAD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5716-2026</t>
        </is>
      </c>
      <c r="B174" s="1" t="n">
        <v>46051</v>
      </c>
      <c r="C174" s="1" t="n">
        <v>46205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55744-2025</t>
        </is>
      </c>
      <c r="B175" s="1" t="n">
        <v>45972</v>
      </c>
      <c r="C175" s="1" t="n">
        <v>46205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Övriga Aktiebolag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633-2025</t>
        </is>
      </c>
      <c r="B176" s="1" t="n">
        <v>45664</v>
      </c>
      <c r="C176" s="1" t="n">
        <v>46205</v>
      </c>
      <c r="D176" t="inlineStr">
        <is>
          <t>VÄSTRA GÖTALANDS LÄN</t>
        </is>
      </c>
      <c r="E176" t="inlineStr">
        <is>
          <t>MARIESTAD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10839-2025</t>
        </is>
      </c>
      <c r="B177" s="1" t="n">
        <v>45722</v>
      </c>
      <c r="C177" s="1" t="n">
        <v>46205</v>
      </c>
      <c r="D177" t="inlineStr">
        <is>
          <t>VÄSTRA GÖTALANDS LÄN</t>
        </is>
      </c>
      <c r="E177" t="inlineStr">
        <is>
          <t>MARIESTAD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10182-2023</t>
        </is>
      </c>
      <c r="B178" s="1" t="n">
        <v>44986</v>
      </c>
      <c r="C178" s="1" t="n">
        <v>46205</v>
      </c>
      <c r="D178" t="inlineStr">
        <is>
          <t>VÄSTRA GÖTALANDS LÄN</t>
        </is>
      </c>
      <c r="E178" t="inlineStr">
        <is>
          <t>MARIESTAD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57921-2025</t>
        </is>
      </c>
      <c r="B179" s="1" t="n">
        <v>45981</v>
      </c>
      <c r="C179" s="1" t="n">
        <v>46205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37917-2024</t>
        </is>
      </c>
      <c r="B180" s="1" t="n">
        <v>45544</v>
      </c>
      <c r="C180" s="1" t="n">
        <v>46205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6897-2026</t>
        </is>
      </c>
      <c r="B181" s="1" t="n">
        <v>46057</v>
      </c>
      <c r="C181" s="1" t="n">
        <v>46205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49188-2023</t>
        </is>
      </c>
      <c r="B182" s="1" t="n">
        <v>45210</v>
      </c>
      <c r="C182" s="1" t="n">
        <v>46205</v>
      </c>
      <c r="D182" t="inlineStr">
        <is>
          <t>VÄSTRA GÖTALANDS LÄN</t>
        </is>
      </c>
      <c r="E182" t="inlineStr">
        <is>
          <t>MARIESTAD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49193-2023</t>
        </is>
      </c>
      <c r="B183" s="1" t="n">
        <v>45210</v>
      </c>
      <c r="C183" s="1" t="n">
        <v>46205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7587-2026</t>
        </is>
      </c>
      <c r="B184" s="1" t="n">
        <v>46061</v>
      </c>
      <c r="C184" s="1" t="n">
        <v>46205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42000-2022</t>
        </is>
      </c>
      <c r="B185" s="1" t="n">
        <v>44830</v>
      </c>
      <c r="C185" s="1" t="n">
        <v>46205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59316-2025</t>
        </is>
      </c>
      <c r="B186" s="1" t="n">
        <v>45989</v>
      </c>
      <c r="C186" s="1" t="n">
        <v>46205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58154-2025</t>
        </is>
      </c>
      <c r="B187" s="1" t="n">
        <v>45982</v>
      </c>
      <c r="C187" s="1" t="n">
        <v>46205</v>
      </c>
      <c r="D187" t="inlineStr">
        <is>
          <t>VÄSTRA GÖTALANDS LÄN</t>
        </is>
      </c>
      <c r="E187" t="inlineStr">
        <is>
          <t>MARIESTAD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49582-2023</t>
        </is>
      </c>
      <c r="B188" s="1" t="n">
        <v>45211</v>
      </c>
      <c r="C188" s="1" t="n">
        <v>46205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9563-2026</t>
        </is>
      </c>
      <c r="B189" s="1" t="n">
        <v>46071</v>
      </c>
      <c r="C189" s="1" t="n">
        <v>46205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9479-2026</t>
        </is>
      </c>
      <c r="B190" s="1" t="n">
        <v>46071</v>
      </c>
      <c r="C190" s="1" t="n">
        <v>46205</v>
      </c>
      <c r="D190" t="inlineStr">
        <is>
          <t>VÄSTRA GÖTALANDS LÄN</t>
        </is>
      </c>
      <c r="E190" t="inlineStr">
        <is>
          <t>MARIESTAD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9558-2026</t>
        </is>
      </c>
      <c r="B191" s="1" t="n">
        <v>46071</v>
      </c>
      <c r="C191" s="1" t="n">
        <v>46205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61863-2025</t>
        </is>
      </c>
      <c r="B192" s="1" t="n">
        <v>46003</v>
      </c>
      <c r="C192" s="1" t="n">
        <v>46205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10559-2026</t>
        </is>
      </c>
      <c r="B193" s="1" t="n">
        <v>46077</v>
      </c>
      <c r="C193" s="1" t="n">
        <v>46205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19261-2025</t>
        </is>
      </c>
      <c r="B194" s="1" t="n">
        <v>45769</v>
      </c>
      <c r="C194" s="1" t="n">
        <v>46205</v>
      </c>
      <c r="D194" t="inlineStr">
        <is>
          <t>VÄSTRA GÖTALANDS LÄN</t>
        </is>
      </c>
      <c r="E194" t="inlineStr">
        <is>
          <t>MARIESTAD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19268-2025</t>
        </is>
      </c>
      <c r="B195" s="1" t="n">
        <v>45769</v>
      </c>
      <c r="C195" s="1" t="n">
        <v>46205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62633-2025</t>
        </is>
      </c>
      <c r="B196" s="1" t="n">
        <v>46008</v>
      </c>
      <c r="C196" s="1" t="n">
        <v>46205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28162-2022</t>
        </is>
      </c>
      <c r="B197" s="1" t="n">
        <v>44746</v>
      </c>
      <c r="C197" s="1" t="n">
        <v>46205</v>
      </c>
      <c r="D197" t="inlineStr">
        <is>
          <t>VÄSTRA GÖTALANDS LÄN</t>
        </is>
      </c>
      <c r="E197" t="inlineStr">
        <is>
          <t>MARIESTAD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45636-2022</t>
        </is>
      </c>
      <c r="B198" s="1" t="n">
        <v>44843</v>
      </c>
      <c r="C198" s="1" t="n">
        <v>46205</v>
      </c>
      <c r="D198" t="inlineStr">
        <is>
          <t>VÄSTRA GÖTALANDS LÄN</t>
        </is>
      </c>
      <c r="E198" t="inlineStr">
        <is>
          <t>MARIESTAD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22360-2023</t>
        </is>
      </c>
      <c r="B199" s="1" t="n">
        <v>45070</v>
      </c>
      <c r="C199" s="1" t="n">
        <v>46205</v>
      </c>
      <c r="D199" t="inlineStr">
        <is>
          <t>VÄSTRA GÖTALANDS LÄN</t>
        </is>
      </c>
      <c r="E199" t="inlineStr">
        <is>
          <t>MARIESTAD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46523-2022</t>
        </is>
      </c>
      <c r="B200" s="1" t="n">
        <v>44847</v>
      </c>
      <c r="C200" s="1" t="n">
        <v>46205</v>
      </c>
      <c r="D200" t="inlineStr">
        <is>
          <t>VÄSTRA GÖTALANDS LÄN</t>
        </is>
      </c>
      <c r="E200" t="inlineStr">
        <is>
          <t>MARIESTAD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49156-2023</t>
        </is>
      </c>
      <c r="B201" s="1" t="n">
        <v>45210</v>
      </c>
      <c r="C201" s="1" t="n">
        <v>46205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36399-2024</t>
        </is>
      </c>
      <c r="B202" s="1" t="n">
        <v>45535</v>
      </c>
      <c r="C202" s="1" t="n">
        <v>46205</v>
      </c>
      <c r="D202" t="inlineStr">
        <is>
          <t>VÄSTRA GÖTALANDS LÄN</t>
        </is>
      </c>
      <c r="E202" t="inlineStr">
        <is>
          <t>MARIESTAD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2551-2023</t>
        </is>
      </c>
      <c r="B203" s="1" t="n">
        <v>44943</v>
      </c>
      <c r="C203" s="1" t="n">
        <v>46205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11216-2026</t>
        </is>
      </c>
      <c r="B204" s="1" t="n">
        <v>46080</v>
      </c>
      <c r="C204" s="1" t="n">
        <v>46205</v>
      </c>
      <c r="D204" t="inlineStr">
        <is>
          <t>VÄSTRA GÖTALANDS LÄN</t>
        </is>
      </c>
      <c r="E204" t="inlineStr">
        <is>
          <t>MARIESTAD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2583-2023</t>
        </is>
      </c>
      <c r="B205" s="1" t="n">
        <v>44943</v>
      </c>
      <c r="C205" s="1" t="n">
        <v>46205</v>
      </c>
      <c r="D205" t="inlineStr">
        <is>
          <t>VÄSTRA GÖTALANDS LÄN</t>
        </is>
      </c>
      <c r="E205" t="inlineStr">
        <is>
          <t>MARIESTAD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47194-2021</t>
        </is>
      </c>
      <c r="B206" s="1" t="n">
        <v>44447</v>
      </c>
      <c r="C206" s="1" t="n">
        <v>46205</v>
      </c>
      <c r="D206" t="inlineStr">
        <is>
          <t>VÄSTRA GÖTALANDS LÄN</t>
        </is>
      </c>
      <c r="E206" t="inlineStr">
        <is>
          <t>MARIESTAD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58286-2022</t>
        </is>
      </c>
      <c r="B207" s="1" t="n">
        <v>44901</v>
      </c>
      <c r="C207" s="1" t="n">
        <v>46205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43466-2022</t>
        </is>
      </c>
      <c r="B208" s="1" t="n">
        <v>44836</v>
      </c>
      <c r="C208" s="1" t="n">
        <v>46205</v>
      </c>
      <c r="D208" t="inlineStr">
        <is>
          <t>VÄSTRA GÖTALANDS LÄN</t>
        </is>
      </c>
      <c r="E208" t="inlineStr">
        <is>
          <t>MARIESTAD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12381-2026</t>
        </is>
      </c>
      <c r="B209" s="1" t="n">
        <v>46090</v>
      </c>
      <c r="C209" s="1" t="n">
        <v>46205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12380-2026</t>
        </is>
      </c>
      <c r="B210" s="1" t="n">
        <v>46090</v>
      </c>
      <c r="C210" s="1" t="n">
        <v>46205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11814-2023</t>
        </is>
      </c>
      <c r="B211" s="1" t="n">
        <v>44994</v>
      </c>
      <c r="C211" s="1" t="n">
        <v>46205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49371-2023</t>
        </is>
      </c>
      <c r="B212" s="1" t="n">
        <v>45211</v>
      </c>
      <c r="C212" s="1" t="n">
        <v>46205</v>
      </c>
      <c r="D212" t="inlineStr">
        <is>
          <t>VÄSTRA GÖTALANDS LÄN</t>
        </is>
      </c>
      <c r="E212" t="inlineStr">
        <is>
          <t>MARIESTAD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46873-2023</t>
        </is>
      </c>
      <c r="B213" s="1" t="n">
        <v>45200</v>
      </c>
      <c r="C213" s="1" t="n">
        <v>46205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14337-2026</t>
        </is>
      </c>
      <c r="B214" s="1" t="n">
        <v>46100</v>
      </c>
      <c r="C214" s="1" t="n">
        <v>46205</v>
      </c>
      <c r="D214" t="inlineStr">
        <is>
          <t>VÄSTRA GÖTALANDS LÄN</t>
        </is>
      </c>
      <c r="E214" t="inlineStr">
        <is>
          <t>MARIESTAD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14288-2024</t>
        </is>
      </c>
      <c r="B215" s="1" t="n">
        <v>45393</v>
      </c>
      <c r="C215" s="1" t="n">
        <v>46205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62772-2023</t>
        </is>
      </c>
      <c r="B216" s="1" t="n">
        <v>45268</v>
      </c>
      <c r="C216" s="1" t="n">
        <v>46205</v>
      </c>
      <c r="D216" t="inlineStr">
        <is>
          <t>VÄSTRA GÖTALANDS LÄN</t>
        </is>
      </c>
      <c r="E216" t="inlineStr">
        <is>
          <t>MARIESTAD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38800-2023</t>
        </is>
      </c>
      <c r="B217" s="1" t="n">
        <v>45163</v>
      </c>
      <c r="C217" s="1" t="n">
        <v>46205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17143-2024</t>
        </is>
      </c>
      <c r="B218" s="1" t="n">
        <v>45412</v>
      </c>
      <c r="C218" s="1" t="n">
        <v>46205</v>
      </c>
      <c r="D218" t="inlineStr">
        <is>
          <t>VÄSTRA GÖTALANDS LÄN</t>
        </is>
      </c>
      <c r="E218" t="inlineStr">
        <is>
          <t>MARIESTAD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17166-2024</t>
        </is>
      </c>
      <c r="B219" s="1" t="n">
        <v>45412</v>
      </c>
      <c r="C219" s="1" t="n">
        <v>46205</v>
      </c>
      <c r="D219" t="inlineStr">
        <is>
          <t>VÄSTRA GÖTALANDS LÄN</t>
        </is>
      </c>
      <c r="E219" t="inlineStr">
        <is>
          <t>MARIESTAD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14657-2024</t>
        </is>
      </c>
      <c r="B220" s="1" t="n">
        <v>45397</v>
      </c>
      <c r="C220" s="1" t="n">
        <v>46205</v>
      </c>
      <c r="D220" t="inlineStr">
        <is>
          <t>VÄSTRA GÖTALANDS LÄN</t>
        </is>
      </c>
      <c r="E220" t="inlineStr">
        <is>
          <t>MARIESTAD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9793-2022</t>
        </is>
      </c>
      <c r="B221" s="1" t="n">
        <v>44620</v>
      </c>
      <c r="C221" s="1" t="n">
        <v>46205</v>
      </c>
      <c r="D221" t="inlineStr">
        <is>
          <t>VÄSTRA GÖTALANDS LÄN</t>
        </is>
      </c>
      <c r="E221" t="inlineStr">
        <is>
          <t>MARIESTAD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17249-2026</t>
        </is>
      </c>
      <c r="B222" s="1" t="n">
        <v>46119</v>
      </c>
      <c r="C222" s="1" t="n">
        <v>46205</v>
      </c>
      <c r="D222" t="inlineStr">
        <is>
          <t>VÄSTRA GÖTALANDS LÄN</t>
        </is>
      </c>
      <c r="E222" t="inlineStr">
        <is>
          <t>MARIESTAD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10457-2025</t>
        </is>
      </c>
      <c r="B223" s="1" t="n">
        <v>45720</v>
      </c>
      <c r="C223" s="1" t="n">
        <v>46205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70259-2021</t>
        </is>
      </c>
      <c r="B224" s="1" t="n">
        <v>44536</v>
      </c>
      <c r="C224" s="1" t="n">
        <v>46205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23454-2026</t>
        </is>
      </c>
      <c r="B225" s="1" t="n">
        <v>46163</v>
      </c>
      <c r="C225" s="1" t="n">
        <v>46205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23453-2026</t>
        </is>
      </c>
      <c r="B226" s="1" t="n">
        <v>46163</v>
      </c>
      <c r="C226" s="1" t="n">
        <v>46205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23585-2026</t>
        </is>
      </c>
      <c r="B227" s="1" t="n">
        <v>46163</v>
      </c>
      <c r="C227" s="1" t="n">
        <v>46205</v>
      </c>
      <c r="D227" t="inlineStr">
        <is>
          <t>VÄSTRA GÖTALANDS LÄN</t>
        </is>
      </c>
      <c r="E227" t="inlineStr">
        <is>
          <t>MARIESTAD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26790-2024</t>
        </is>
      </c>
      <c r="B228" s="1" t="n">
        <v>45470</v>
      </c>
      <c r="C228" s="1" t="n">
        <v>46205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11397-2022</t>
        </is>
      </c>
      <c r="B229" s="1" t="n">
        <v>44630</v>
      </c>
      <c r="C229" s="1" t="n">
        <v>46205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39116-2024</t>
        </is>
      </c>
      <c r="B230" s="1" t="n">
        <v>45548</v>
      </c>
      <c r="C230" s="1" t="n">
        <v>46205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16466-2025</t>
        </is>
      </c>
      <c r="B231" s="1" t="n">
        <v>45751</v>
      </c>
      <c r="C231" s="1" t="n">
        <v>46205</v>
      </c>
      <c r="D231" t="inlineStr">
        <is>
          <t>VÄSTRA GÖTALANDS LÄN</t>
        </is>
      </c>
      <c r="E231" t="inlineStr">
        <is>
          <t>MARIESTAD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24412-2026</t>
        </is>
      </c>
      <c r="B232" s="1" t="n">
        <v>46169</v>
      </c>
      <c r="C232" s="1" t="n">
        <v>46205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5164-2024</t>
        </is>
      </c>
      <c r="B233" s="1" t="n">
        <v>45330</v>
      </c>
      <c r="C233" s="1" t="n">
        <v>46205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48297-2024</t>
        </is>
      </c>
      <c r="B234" s="1" t="n">
        <v>45590</v>
      </c>
      <c r="C234" s="1" t="n">
        <v>46205</v>
      </c>
      <c r="D234" t="inlineStr">
        <is>
          <t>VÄSTRA GÖTALANDS LÄN</t>
        </is>
      </c>
      <c r="E234" t="inlineStr">
        <is>
          <t>MARIESTAD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24735-2026</t>
        </is>
      </c>
      <c r="B235" s="1" t="n">
        <v>46171</v>
      </c>
      <c r="C235" s="1" t="n">
        <v>46205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24730-2026</t>
        </is>
      </c>
      <c r="B236" s="1" t="n">
        <v>46171</v>
      </c>
      <c r="C236" s="1" t="n">
        <v>46205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24731-2026</t>
        </is>
      </c>
      <c r="B237" s="1" t="n">
        <v>46171</v>
      </c>
      <c r="C237" s="1" t="n">
        <v>46205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24733-2026</t>
        </is>
      </c>
      <c r="B238" s="1" t="n">
        <v>46171</v>
      </c>
      <c r="C238" s="1" t="n">
        <v>46205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50579-2023</t>
        </is>
      </c>
      <c r="B239" s="1" t="n">
        <v>45217</v>
      </c>
      <c r="C239" s="1" t="n">
        <v>46205</v>
      </c>
      <c r="D239" t="inlineStr">
        <is>
          <t>VÄSTRA GÖTALANDS LÄN</t>
        </is>
      </c>
      <c r="E239" t="inlineStr">
        <is>
          <t>MARIESTAD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13798-2022</t>
        </is>
      </c>
      <c r="B240" s="1" t="n">
        <v>44649</v>
      </c>
      <c r="C240" s="1" t="n">
        <v>46205</v>
      </c>
      <c r="D240" t="inlineStr">
        <is>
          <t>VÄSTRA GÖTALANDS LÄN</t>
        </is>
      </c>
      <c r="E240" t="inlineStr">
        <is>
          <t>MARIESTAD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11147-2022</t>
        </is>
      </c>
      <c r="B241" s="1" t="n">
        <v>44629</v>
      </c>
      <c r="C241" s="1" t="n">
        <v>46205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13315-2022</t>
        </is>
      </c>
      <c r="B242" s="1" t="n">
        <v>44645</v>
      </c>
      <c r="C242" s="1" t="n">
        <v>46205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12532-2022</t>
        </is>
      </c>
      <c r="B243" s="1" t="n">
        <v>44638</v>
      </c>
      <c r="C243" s="1" t="n">
        <v>46205</v>
      </c>
      <c r="D243" t="inlineStr">
        <is>
          <t>VÄSTRA GÖTALANDS LÄN</t>
        </is>
      </c>
      <c r="E243" t="inlineStr">
        <is>
          <t>MARIESTAD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46875-2023</t>
        </is>
      </c>
      <c r="B244" s="1" t="n">
        <v>45200</v>
      </c>
      <c r="C244" s="1" t="n">
        <v>46205</v>
      </c>
      <c r="D244" t="inlineStr">
        <is>
          <t>VÄSTRA GÖTALANDS LÄN</t>
        </is>
      </c>
      <c r="E244" t="inlineStr">
        <is>
          <t>MARIESTAD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5146-2025</t>
        </is>
      </c>
      <c r="B245" s="1" t="n">
        <v>45691</v>
      </c>
      <c r="C245" s="1" t="n">
        <v>46205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18129-2025</t>
        </is>
      </c>
      <c r="B246" s="1" t="n">
        <v>45761</v>
      </c>
      <c r="C246" s="1" t="n">
        <v>46205</v>
      </c>
      <c r="D246" t="inlineStr">
        <is>
          <t>VÄSTRA GÖTALANDS LÄN</t>
        </is>
      </c>
      <c r="E246" t="inlineStr">
        <is>
          <t>MARIESTAD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1636-2022</t>
        </is>
      </c>
      <c r="B247" s="1" t="n">
        <v>44574</v>
      </c>
      <c r="C247" s="1" t="n">
        <v>46205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49205-2023</t>
        </is>
      </c>
      <c r="B248" s="1" t="n">
        <v>45210</v>
      </c>
      <c r="C248" s="1" t="n">
        <v>46205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49184-2023</t>
        </is>
      </c>
      <c r="B249" s="1" t="n">
        <v>45210</v>
      </c>
      <c r="C249" s="1" t="n">
        <v>46205</v>
      </c>
      <c r="D249" t="inlineStr">
        <is>
          <t>VÄSTRA GÖTALANDS LÄN</t>
        </is>
      </c>
      <c r="E249" t="inlineStr">
        <is>
          <t>MARIESTAD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12011-2025</t>
        </is>
      </c>
      <c r="B250" s="1" t="n">
        <v>45728</v>
      </c>
      <c r="C250" s="1" t="n">
        <v>46205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18962-2025</t>
        </is>
      </c>
      <c r="B251" s="1" t="n">
        <v>45764</v>
      </c>
      <c r="C251" s="1" t="n">
        <v>46205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58077-2022</t>
        </is>
      </c>
      <c r="B252" s="1" t="n">
        <v>44900</v>
      </c>
      <c r="C252" s="1" t="n">
        <v>46205</v>
      </c>
      <c r="D252" t="inlineStr">
        <is>
          <t>VÄSTRA GÖTALANDS LÄN</t>
        </is>
      </c>
      <c r="E252" t="inlineStr">
        <is>
          <t>MARIESTAD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44219-2023</t>
        </is>
      </c>
      <c r="B253" s="1" t="n">
        <v>45188</v>
      </c>
      <c r="C253" s="1" t="n">
        <v>46205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39766-2023</t>
        </is>
      </c>
      <c r="B254" s="1" t="n">
        <v>45167</v>
      </c>
      <c r="C254" s="1" t="n">
        <v>46205</v>
      </c>
      <c r="D254" t="inlineStr">
        <is>
          <t>VÄSTRA GÖTALANDS LÄN</t>
        </is>
      </c>
      <c r="E254" t="inlineStr">
        <is>
          <t>MARIESTAD</t>
        </is>
      </c>
      <c r="G254" t="n">
        <v>26.5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28053-2022</t>
        </is>
      </c>
      <c r="B255" s="1" t="n">
        <v>44746</v>
      </c>
      <c r="C255" s="1" t="n">
        <v>46205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26345-2024</t>
        </is>
      </c>
      <c r="B256" s="1" t="n">
        <v>45469</v>
      </c>
      <c r="C256" s="1" t="n">
        <v>46205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41406-2024</t>
        </is>
      </c>
      <c r="B257" s="1" t="n">
        <v>45560</v>
      </c>
      <c r="C257" s="1" t="n">
        <v>46205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28050-2022</t>
        </is>
      </c>
      <c r="B258" s="1" t="n">
        <v>44746</v>
      </c>
      <c r="C258" s="1" t="n">
        <v>46205</v>
      </c>
      <c r="D258" t="inlineStr">
        <is>
          <t>VÄSTRA GÖTALANDS LÄN</t>
        </is>
      </c>
      <c r="E258" t="inlineStr">
        <is>
          <t>MARIESTAD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28056-2022</t>
        </is>
      </c>
      <c r="B259" s="1" t="n">
        <v>44746</v>
      </c>
      <c r="C259" s="1" t="n">
        <v>46205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35047-2022</t>
        </is>
      </c>
      <c r="B260" s="1" t="n">
        <v>44797</v>
      </c>
      <c r="C260" s="1" t="n">
        <v>46205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37171-2025</t>
        </is>
      </c>
      <c r="B261" s="1" t="n">
        <v>45875</v>
      </c>
      <c r="C261" s="1" t="n">
        <v>46205</v>
      </c>
      <c r="D261" t="inlineStr">
        <is>
          <t>VÄSTRA GÖTALANDS LÄN</t>
        </is>
      </c>
      <c r="E261" t="inlineStr">
        <is>
          <t>MARIESTAD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61603-2023</t>
        </is>
      </c>
      <c r="B262" s="1" t="n">
        <v>45265</v>
      </c>
      <c r="C262" s="1" t="n">
        <v>46205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18133-2025</t>
        </is>
      </c>
      <c r="B263" s="1" t="n">
        <v>45761</v>
      </c>
      <c r="C263" s="1" t="n">
        <v>46205</v>
      </c>
      <c r="D263" t="inlineStr">
        <is>
          <t>VÄSTRA GÖTALANDS LÄN</t>
        </is>
      </c>
      <c r="E263" t="inlineStr">
        <is>
          <t>MARIESTAD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40455-2023</t>
        </is>
      </c>
      <c r="B264" s="1" t="n">
        <v>45170</v>
      </c>
      <c r="C264" s="1" t="n">
        <v>46205</v>
      </c>
      <c r="D264" t="inlineStr">
        <is>
          <t>VÄSTRA GÖTALANDS LÄN</t>
        </is>
      </c>
      <c r="E264" t="inlineStr">
        <is>
          <t>MARIESTAD</t>
        </is>
      </c>
      <c r="G264" t="n">
        <v>34.9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19553-2022</t>
        </is>
      </c>
      <c r="B265" s="1" t="n">
        <v>44693</v>
      </c>
      <c r="C265" s="1" t="n">
        <v>46205</v>
      </c>
      <c r="D265" t="inlineStr">
        <is>
          <t>VÄSTRA GÖTALANDS LÄN</t>
        </is>
      </c>
      <c r="E265" t="inlineStr">
        <is>
          <t>MARIESTAD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4437-2024</t>
        </is>
      </c>
      <c r="B266" s="1" t="n">
        <v>45324</v>
      </c>
      <c r="C266" s="1" t="n">
        <v>46205</v>
      </c>
      <c r="D266" t="inlineStr">
        <is>
          <t>VÄSTRA GÖTALANDS LÄN</t>
        </is>
      </c>
      <c r="E266" t="inlineStr">
        <is>
          <t>MARIESTAD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6387-2023</t>
        </is>
      </c>
      <c r="B267" s="1" t="n">
        <v>44965</v>
      </c>
      <c r="C267" s="1" t="n">
        <v>46205</v>
      </c>
      <c r="D267" t="inlineStr">
        <is>
          <t>VÄSTRA GÖTALANDS LÄN</t>
        </is>
      </c>
      <c r="E267" t="inlineStr">
        <is>
          <t>MARIESTAD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49389-2023</t>
        </is>
      </c>
      <c r="B268" s="1" t="n">
        <v>45211</v>
      </c>
      <c r="C268" s="1" t="n">
        <v>46205</v>
      </c>
      <c r="D268" t="inlineStr">
        <is>
          <t>VÄSTRA GÖTALANDS LÄN</t>
        </is>
      </c>
      <c r="E268" t="inlineStr">
        <is>
          <t>MARIESTAD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47009-2024</t>
        </is>
      </c>
      <c r="B269" s="1" t="n">
        <v>45583</v>
      </c>
      <c r="C269" s="1" t="n">
        <v>46205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35581-2023</t>
        </is>
      </c>
      <c r="B270" s="1" t="n">
        <v>45135</v>
      </c>
      <c r="C270" s="1" t="n">
        <v>46205</v>
      </c>
      <c r="D270" t="inlineStr">
        <is>
          <t>VÄSTRA GÖTALANDS LÄN</t>
        </is>
      </c>
      <c r="E270" t="inlineStr">
        <is>
          <t>MARIESTAD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35097-2024</t>
        </is>
      </c>
      <c r="B271" s="1" t="n">
        <v>45528</v>
      </c>
      <c r="C271" s="1" t="n">
        <v>46205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29857-2022</t>
        </is>
      </c>
      <c r="B272" s="1" t="n">
        <v>44756</v>
      </c>
      <c r="C272" s="1" t="n">
        <v>46205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46945-2023</t>
        </is>
      </c>
      <c r="B273" s="1" t="n">
        <v>45201</v>
      </c>
      <c r="C273" s="1" t="n">
        <v>46205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26912-2026</t>
        </is>
      </c>
      <c r="B274" s="1" t="n">
        <v>46185</v>
      </c>
      <c r="C274" s="1" t="n">
        <v>46205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42161-2021</t>
        </is>
      </c>
      <c r="B275" s="1" t="n">
        <v>44426</v>
      </c>
      <c r="C275" s="1" t="n">
        <v>46205</v>
      </c>
      <c r="D275" t="inlineStr">
        <is>
          <t>VÄSTRA GÖTALANDS LÄN</t>
        </is>
      </c>
      <c r="E275" t="inlineStr">
        <is>
          <t>MARIESTAD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27116-2026</t>
        </is>
      </c>
      <c r="B276" s="1" t="n">
        <v>46188</v>
      </c>
      <c r="C276" s="1" t="n">
        <v>46205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62765-2023</t>
        </is>
      </c>
      <c r="B277" s="1" t="n">
        <v>45268</v>
      </c>
      <c r="C277" s="1" t="n">
        <v>46205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8771-2023</t>
        </is>
      </c>
      <c r="B278" s="1" t="n">
        <v>44973</v>
      </c>
      <c r="C278" s="1" t="n">
        <v>46205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48269-2024</t>
        </is>
      </c>
      <c r="B279" s="1" t="n">
        <v>45590</v>
      </c>
      <c r="C279" s="1" t="n">
        <v>46205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60376-2021</t>
        </is>
      </c>
      <c r="B280" s="1" t="n">
        <v>44496</v>
      </c>
      <c r="C280" s="1" t="n">
        <v>46205</v>
      </c>
      <c r="D280" t="inlineStr">
        <is>
          <t>VÄSTRA GÖTALANDS LÄN</t>
        </is>
      </c>
      <c r="E280" t="inlineStr">
        <is>
          <t>MARIESTAD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6176-2023</t>
        </is>
      </c>
      <c r="B281" s="1" t="n">
        <v>44964</v>
      </c>
      <c r="C281" s="1" t="n">
        <v>46205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47777-2023</t>
        </is>
      </c>
      <c r="B282" s="1" t="n">
        <v>45203</v>
      </c>
      <c r="C282" s="1" t="n">
        <v>46205</v>
      </c>
      <c r="D282" t="inlineStr">
        <is>
          <t>VÄSTRA GÖTALANDS LÄN</t>
        </is>
      </c>
      <c r="E282" t="inlineStr">
        <is>
          <t>MARIESTAD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1113-2022</t>
        </is>
      </c>
      <c r="B283" s="1" t="n">
        <v>44572</v>
      </c>
      <c r="C283" s="1" t="n">
        <v>46205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Naturvårdsverket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9610-2022</t>
        </is>
      </c>
      <c r="B284" s="1" t="n">
        <v>44617</v>
      </c>
      <c r="C284" s="1" t="n">
        <v>46205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</v>
      </c>
      <c r="C285" s="1" t="n">
        <v>46205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38817-2022</t>
        </is>
      </c>
      <c r="B286" s="1" t="n">
        <v>44816</v>
      </c>
      <c r="C286" s="1" t="n">
        <v>46205</v>
      </c>
      <c r="D286" t="inlineStr">
        <is>
          <t>VÄSTRA GÖTALANDS LÄN</t>
        </is>
      </c>
      <c r="E286" t="inlineStr">
        <is>
          <t>MARIESTAD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36038-2021</t>
        </is>
      </c>
      <c r="B287" s="1" t="n">
        <v>44386</v>
      </c>
      <c r="C287" s="1" t="n">
        <v>46205</v>
      </c>
      <c r="D287" t="inlineStr">
        <is>
          <t>VÄSTRA GÖTALANDS LÄN</t>
        </is>
      </c>
      <c r="E287" t="inlineStr">
        <is>
          <t>MARIESTAD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1545-2023</t>
        </is>
      </c>
      <c r="B288" s="1" t="n">
        <v>44937</v>
      </c>
      <c r="C288" s="1" t="n">
        <v>46205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2391-2025</t>
        </is>
      </c>
      <c r="B289" s="1" t="n">
        <v>45674</v>
      </c>
      <c r="C289" s="1" t="n">
        <v>46205</v>
      </c>
      <c r="D289" t="inlineStr">
        <is>
          <t>VÄSTRA GÖTALANDS LÄN</t>
        </is>
      </c>
      <c r="E289" t="inlineStr">
        <is>
          <t>MARIESTAD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49166-2023</t>
        </is>
      </c>
      <c r="B290" s="1" t="n">
        <v>45210</v>
      </c>
      <c r="C290" s="1" t="n">
        <v>46205</v>
      </c>
      <c r="D290" t="inlineStr">
        <is>
          <t>VÄSTRA GÖTALANDS LÄN</t>
        </is>
      </c>
      <c r="E290" t="inlineStr">
        <is>
          <t>MARIESTAD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31230-2023</t>
        </is>
      </c>
      <c r="B291" s="1" t="n">
        <v>45114</v>
      </c>
      <c r="C291" s="1" t="n">
        <v>46205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7490-2025</t>
        </is>
      </c>
      <c r="B292" s="1" t="n">
        <v>45705</v>
      </c>
      <c r="C292" s="1" t="n">
        <v>46205</v>
      </c>
      <c r="D292" t="inlineStr">
        <is>
          <t>VÄSTRA GÖTALANDS LÄN</t>
        </is>
      </c>
      <c r="E292" t="inlineStr">
        <is>
          <t>MARIESTAD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61716-2022</t>
        </is>
      </c>
      <c r="B293" s="1" t="n">
        <v>44917</v>
      </c>
      <c r="C293" s="1" t="n">
        <v>46205</v>
      </c>
      <c r="D293" t="inlineStr">
        <is>
          <t>VÄSTRA GÖTALANDS LÄN</t>
        </is>
      </c>
      <c r="E293" t="inlineStr">
        <is>
          <t>MARIESTAD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40651-2024</t>
        </is>
      </c>
      <c r="B294" s="1" t="n">
        <v>45558</v>
      </c>
      <c r="C294" s="1" t="n">
        <v>46205</v>
      </c>
      <c r="D294" t="inlineStr">
        <is>
          <t>VÄSTRA GÖTALANDS LÄN</t>
        </is>
      </c>
      <c r="E294" t="inlineStr">
        <is>
          <t>MARIESTAD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59857-2024</t>
        </is>
      </c>
      <c r="B295" s="1" t="n">
        <v>45639</v>
      </c>
      <c r="C295" s="1" t="n">
        <v>46205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46205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52626-2023</t>
        </is>
      </c>
      <c r="B297" s="1" t="n">
        <v>45225</v>
      </c>
      <c r="C297" s="1" t="n">
        <v>46205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9410-2022</t>
        </is>
      </c>
      <c r="B298" s="1" t="n">
        <v>44616</v>
      </c>
      <c r="C298" s="1" t="n">
        <v>46205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Kyrkan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4241-2024</t>
        </is>
      </c>
      <c r="B299" s="1" t="n">
        <v>45324</v>
      </c>
      <c r="C299" s="1" t="n">
        <v>46205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35169-2024</t>
        </is>
      </c>
      <c r="B300" s="1" t="n">
        <v>45530</v>
      </c>
      <c r="C300" s="1" t="n">
        <v>46205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21361-2026</t>
        </is>
      </c>
      <c r="B301" s="1" t="n">
        <v>46142</v>
      </c>
      <c r="C301" s="1" t="n">
        <v>46205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46205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22879-2026</t>
        </is>
      </c>
      <c r="B303" s="1" t="n">
        <v>46157</v>
      </c>
      <c r="C303" s="1" t="n">
        <v>46205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22878-2026</t>
        </is>
      </c>
      <c r="B304" s="1" t="n">
        <v>46157</v>
      </c>
      <c r="C304" s="1" t="n">
        <v>46205</v>
      </c>
      <c r="D304" t="inlineStr">
        <is>
          <t>VÄSTRA GÖTALANDS LÄN</t>
        </is>
      </c>
      <c r="E304" t="inlineStr">
        <is>
          <t>MARIESTAD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27452-2023</t>
        </is>
      </c>
      <c r="B305" s="1" t="n">
        <v>45097</v>
      </c>
      <c r="C305" s="1" t="n">
        <v>46205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10500-2023</t>
        </is>
      </c>
      <c r="B306" s="1" t="n">
        <v>44981</v>
      </c>
      <c r="C306" s="1" t="n">
        <v>46205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4949-2024</t>
        </is>
      </c>
      <c r="B307" s="1" t="n">
        <v>45329</v>
      </c>
      <c r="C307" s="1" t="n">
        <v>46205</v>
      </c>
      <c r="D307" t="inlineStr">
        <is>
          <t>VÄSTRA GÖTALANDS LÄN</t>
        </is>
      </c>
      <c r="E307" t="inlineStr">
        <is>
          <t>MARIESTAD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2908-2025</t>
        </is>
      </c>
      <c r="B308" s="1" t="n">
        <v>45677</v>
      </c>
      <c r="C308" s="1" t="n">
        <v>46205</v>
      </c>
      <c r="D308" t="inlineStr">
        <is>
          <t>VÄSTRA GÖTALANDS LÄN</t>
        </is>
      </c>
      <c r="E308" t="inlineStr">
        <is>
          <t>MARIESTAD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46893-2023</t>
        </is>
      </c>
      <c r="B309" s="1" t="n">
        <v>45201</v>
      </c>
      <c r="C309" s="1" t="n">
        <v>46205</v>
      </c>
      <c r="D309" t="inlineStr">
        <is>
          <t>VÄSTRA GÖTALANDS LÄN</t>
        </is>
      </c>
      <c r="E309" t="inlineStr">
        <is>
          <t>MARIESTAD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8144-2023</t>
        </is>
      </c>
      <c r="B310" s="1" t="n">
        <v>44974</v>
      </c>
      <c r="C310" s="1" t="n">
        <v>46205</v>
      </c>
      <c r="D310" t="inlineStr">
        <is>
          <t>VÄSTRA GÖTALANDS LÄN</t>
        </is>
      </c>
      <c r="E310" t="inlineStr">
        <is>
          <t>MARIESTAD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8146-2023</t>
        </is>
      </c>
      <c r="B311" s="1" t="n">
        <v>44974</v>
      </c>
      <c r="C311" s="1" t="n">
        <v>46205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49563-2023</t>
        </is>
      </c>
      <c r="B312" s="1" t="n">
        <v>45211</v>
      </c>
      <c r="C312" s="1" t="n">
        <v>46205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45110-2022</t>
        </is>
      </c>
      <c r="B313" s="1" t="n">
        <v>44843</v>
      </c>
      <c r="C313" s="1" t="n">
        <v>46205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983-2023</t>
        </is>
      </c>
      <c r="B314" s="1" t="n">
        <v>44935</v>
      </c>
      <c r="C314" s="1" t="n">
        <v>46205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11137-2024</t>
        </is>
      </c>
      <c r="B315" s="1" t="n">
        <v>45371</v>
      </c>
      <c r="C315" s="1" t="n">
        <v>46205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62089-2023</t>
        </is>
      </c>
      <c r="B316" s="1" t="n">
        <v>45266</v>
      </c>
      <c r="C316" s="1" t="n">
        <v>46205</v>
      </c>
      <c r="D316" t="inlineStr">
        <is>
          <t>VÄSTRA GÖTALANDS LÄN</t>
        </is>
      </c>
      <c r="E316" t="inlineStr">
        <is>
          <t>MARIESTAD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48273-2024</t>
        </is>
      </c>
      <c r="B317" s="1" t="n">
        <v>45590</v>
      </c>
      <c r="C317" s="1" t="n">
        <v>46205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56344-2022</t>
        </is>
      </c>
      <c r="B318" s="1" t="n">
        <v>44890</v>
      </c>
      <c r="C318" s="1" t="n">
        <v>46205</v>
      </c>
      <c r="D318" t="inlineStr">
        <is>
          <t>VÄSTRA GÖTALANDS LÄN</t>
        </is>
      </c>
      <c r="E318" t="inlineStr">
        <is>
          <t>MARIESTAD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22236-2023</t>
        </is>
      </c>
      <c r="B319" s="1" t="n">
        <v>45070</v>
      </c>
      <c r="C319" s="1" t="n">
        <v>46205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65197-2023</t>
        </is>
      </c>
      <c r="B320" s="1" t="n">
        <v>45289</v>
      </c>
      <c r="C320" s="1" t="n">
        <v>46205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2386-2023</t>
        </is>
      </c>
      <c r="B321" s="1" t="n">
        <v>44942</v>
      </c>
      <c r="C321" s="1" t="n">
        <v>46205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46205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29848-2022</t>
        </is>
      </c>
      <c r="B323" s="1" t="n">
        <v>44756</v>
      </c>
      <c r="C323" s="1" t="n">
        <v>46205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50327-2024</t>
        </is>
      </c>
      <c r="B324" s="1" t="n">
        <v>45600</v>
      </c>
      <c r="C324" s="1" t="n">
        <v>46205</v>
      </c>
      <c r="D324" t="inlineStr">
        <is>
          <t>VÄSTRA GÖTALANDS LÄN</t>
        </is>
      </c>
      <c r="E324" t="inlineStr">
        <is>
          <t>MARIESTAD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51776-2023</t>
        </is>
      </c>
      <c r="B325" s="1" t="n">
        <v>45222</v>
      </c>
      <c r="C325" s="1" t="n">
        <v>46205</v>
      </c>
      <c r="D325" t="inlineStr">
        <is>
          <t>VÄSTRA GÖTALANDS LÄN</t>
        </is>
      </c>
      <c r="E325" t="inlineStr">
        <is>
          <t>MARIESTAD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4685-2023</t>
        </is>
      </c>
      <c r="B326" s="1" t="n">
        <v>44957</v>
      </c>
      <c r="C326" s="1" t="n">
        <v>46205</v>
      </c>
      <c r="D326" t="inlineStr">
        <is>
          <t>VÄSTRA GÖTALANDS LÄN</t>
        </is>
      </c>
      <c r="E326" t="inlineStr">
        <is>
          <t>MARIESTAD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7033-2024</t>
        </is>
      </c>
      <c r="B327" s="1" t="n">
        <v>45343</v>
      </c>
      <c r="C327" s="1" t="n">
        <v>46205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2280-2025</t>
        </is>
      </c>
      <c r="B328" s="1" t="n">
        <v>45673</v>
      </c>
      <c r="C328" s="1" t="n">
        <v>46205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10842-2025</t>
        </is>
      </c>
      <c r="B329" s="1" t="n">
        <v>45722</v>
      </c>
      <c r="C329" s="1" t="n">
        <v>46205</v>
      </c>
      <c r="D329" t="inlineStr">
        <is>
          <t>VÄSTRA GÖTALANDS LÄN</t>
        </is>
      </c>
      <c r="E329" t="inlineStr">
        <is>
          <t>MARIESTAD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7161-2025</t>
        </is>
      </c>
      <c r="B330" s="1" t="n">
        <v>45702</v>
      </c>
      <c r="C330" s="1" t="n">
        <v>46205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62656-2023</t>
        </is>
      </c>
      <c r="B331" s="1" t="n">
        <v>45271</v>
      </c>
      <c r="C331" s="1" t="n">
        <v>46205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34253-2024</t>
        </is>
      </c>
      <c r="B332" s="1" t="n">
        <v>45524</v>
      </c>
      <c r="C332" s="1" t="n">
        <v>46205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12767-2024</t>
        </is>
      </c>
      <c r="B333" s="1" t="n">
        <v>45384</v>
      </c>
      <c r="C333" s="1" t="n">
        <v>46205</v>
      </c>
      <c r="D333" t="inlineStr">
        <is>
          <t>VÄSTRA GÖTALANDS LÄN</t>
        </is>
      </c>
      <c r="E333" t="inlineStr">
        <is>
          <t>MARIESTAD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10408-2025</t>
        </is>
      </c>
      <c r="B334" s="1" t="n">
        <v>45720</v>
      </c>
      <c r="C334" s="1" t="n">
        <v>46205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21739-2025</t>
        </is>
      </c>
      <c r="B335" s="1" t="n">
        <v>45783</v>
      </c>
      <c r="C335" s="1" t="n">
        <v>46205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21740-2025</t>
        </is>
      </c>
      <c r="B336" s="1" t="n">
        <v>45783</v>
      </c>
      <c r="C336" s="1" t="n">
        <v>46205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4017-2025</t>
        </is>
      </c>
      <c r="B337" s="1" t="n">
        <v>45684</v>
      </c>
      <c r="C337" s="1" t="n">
        <v>46205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46655-2021</t>
        </is>
      </c>
      <c r="B338" s="1" t="n">
        <v>44445</v>
      </c>
      <c r="C338" s="1" t="n">
        <v>46205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21737-2025</t>
        </is>
      </c>
      <c r="B339" s="1" t="n">
        <v>45783</v>
      </c>
      <c r="C339" s="1" t="n">
        <v>46205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32796-2024</t>
        </is>
      </c>
      <c r="B340" s="1" t="n">
        <v>45516</v>
      </c>
      <c r="C340" s="1" t="n">
        <v>46205</v>
      </c>
      <c r="D340" t="inlineStr">
        <is>
          <t>VÄSTRA GÖTALANDS LÄN</t>
        </is>
      </c>
      <c r="E340" t="inlineStr">
        <is>
          <t>MARIESTAD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38376-2024</t>
        </is>
      </c>
      <c r="B341" s="1" t="n">
        <v>45545</v>
      </c>
      <c r="C341" s="1" t="n">
        <v>46205</v>
      </c>
      <c r="D341" t="inlineStr">
        <is>
          <t>VÄSTRA GÖTALANDS LÄN</t>
        </is>
      </c>
      <c r="E341" t="inlineStr">
        <is>
          <t>MARIESTAD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1847-2024</t>
        </is>
      </c>
      <c r="B342" s="1" t="n">
        <v>45307</v>
      </c>
      <c r="C342" s="1" t="n">
        <v>46205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48324-2024</t>
        </is>
      </c>
      <c r="B343" s="1" t="n">
        <v>45590</v>
      </c>
      <c r="C343" s="1" t="n">
        <v>46205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22975-2025</t>
        </is>
      </c>
      <c r="B344" s="1" t="n">
        <v>45790</v>
      </c>
      <c r="C344" s="1" t="n">
        <v>46205</v>
      </c>
      <c r="D344" t="inlineStr">
        <is>
          <t>VÄSTRA GÖTALANDS LÄN</t>
        </is>
      </c>
      <c r="E344" t="inlineStr">
        <is>
          <t>MARIESTAD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49385-2023</t>
        </is>
      </c>
      <c r="B345" s="1" t="n">
        <v>45211</v>
      </c>
      <c r="C345" s="1" t="n">
        <v>46205</v>
      </c>
      <c r="D345" t="inlineStr">
        <is>
          <t>VÄSTRA GÖTALANDS LÄN</t>
        </is>
      </c>
      <c r="E345" t="inlineStr">
        <is>
          <t>MARIESTAD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66772-2021</t>
        </is>
      </c>
      <c r="B346" s="1" t="n">
        <v>44521</v>
      </c>
      <c r="C346" s="1" t="n">
        <v>46205</v>
      </c>
      <c r="D346" t="inlineStr">
        <is>
          <t>VÄSTRA GÖTALANDS LÄN</t>
        </is>
      </c>
      <c r="E346" t="inlineStr">
        <is>
          <t>MARIESTAD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31142-2024</t>
        </is>
      </c>
      <c r="B347" s="1" t="n">
        <v>45502</v>
      </c>
      <c r="C347" s="1" t="n">
        <v>46205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9868-2025</t>
        </is>
      </c>
      <c r="B348" s="1" t="n">
        <v>45716</v>
      </c>
      <c r="C348" s="1" t="n">
        <v>46205</v>
      </c>
      <c r="D348" t="inlineStr">
        <is>
          <t>VÄSTRA GÖTALANDS LÄN</t>
        </is>
      </c>
      <c r="E348" t="inlineStr">
        <is>
          <t>MARIESTAD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5321-2024</t>
        </is>
      </c>
      <c r="B349" s="1" t="n">
        <v>45331</v>
      </c>
      <c r="C349" s="1" t="n">
        <v>46205</v>
      </c>
      <c r="D349" t="inlineStr">
        <is>
          <t>VÄSTRA GÖTALANDS LÄN</t>
        </is>
      </c>
      <c r="E349" t="inlineStr">
        <is>
          <t>MARIESTAD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12001-2025</t>
        </is>
      </c>
      <c r="B350" s="1" t="n">
        <v>45728</v>
      </c>
      <c r="C350" s="1" t="n">
        <v>46205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54263-2024</t>
        </is>
      </c>
      <c r="B351" s="1" t="n">
        <v>45616</v>
      </c>
      <c r="C351" s="1" t="n">
        <v>46205</v>
      </c>
      <c r="D351" t="inlineStr">
        <is>
          <t>VÄSTRA GÖTALANDS LÄN</t>
        </is>
      </c>
      <c r="E351" t="inlineStr">
        <is>
          <t>MARIESTAD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8468-2025</t>
        </is>
      </c>
      <c r="B352" s="1" t="n">
        <v>45709</v>
      </c>
      <c r="C352" s="1" t="n">
        <v>46205</v>
      </c>
      <c r="D352" t="inlineStr">
        <is>
          <t>VÄSTRA GÖTALANDS LÄN</t>
        </is>
      </c>
      <c r="E352" t="inlineStr">
        <is>
          <t>MARIESTAD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7580-2025</t>
        </is>
      </c>
      <c r="B353" s="1" t="n">
        <v>45705</v>
      </c>
      <c r="C353" s="1" t="n">
        <v>46205</v>
      </c>
      <c r="D353" t="inlineStr">
        <is>
          <t>VÄSTRA GÖTALANDS LÄN</t>
        </is>
      </c>
      <c r="E353" t="inlineStr">
        <is>
          <t>MARIESTAD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50575-2024</t>
        </is>
      </c>
      <c r="B354" s="1" t="n">
        <v>45600</v>
      </c>
      <c r="C354" s="1" t="n">
        <v>46205</v>
      </c>
      <c r="D354" t="inlineStr">
        <is>
          <t>VÄSTRA GÖTALANDS LÄN</t>
        </is>
      </c>
      <c r="E354" t="inlineStr">
        <is>
          <t>MARIESTAD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52869-2024</t>
        </is>
      </c>
      <c r="B355" s="1" t="n">
        <v>45610</v>
      </c>
      <c r="C355" s="1" t="n">
        <v>46205</v>
      </c>
      <c r="D355" t="inlineStr">
        <is>
          <t>VÄSTRA GÖTALANDS LÄN</t>
        </is>
      </c>
      <c r="E355" t="inlineStr">
        <is>
          <t>MARIESTAD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24503-2025</t>
        </is>
      </c>
      <c r="B356" s="1" t="n">
        <v>45798</v>
      </c>
      <c r="C356" s="1" t="n">
        <v>46205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24495-2025</t>
        </is>
      </c>
      <c r="B357" s="1" t="n">
        <v>45798</v>
      </c>
      <c r="C357" s="1" t="n">
        <v>46205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24510-2025</t>
        </is>
      </c>
      <c r="B358" s="1" t="n">
        <v>45798</v>
      </c>
      <c r="C358" s="1" t="n">
        <v>46205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2026-07-02T00:58:24Z</dcterms:created>
  <dcterms:modified xmlns:dcterms="http://purl.org/dc/terms/" xmlns:xsi="http://www.w3.org/2001/XMLSchema-instance" xsi:type="dcterms:W3CDTF">2026-07-02T00:58:24Z</dcterms:modified>
</cp:coreProperties>
</file>