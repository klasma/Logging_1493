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46229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46229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46229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Blåsippa
Gullviva</t>
        </is>
      </c>
      <c r="W10">
        <f>HYPERLINK("https://klasma.github.io/Logging_1493/artfynd/A 47764-2023 artfynd.xlsx", "A 47764-2023")</f>
        <v/>
      </c>
      <c r="X10">
        <f>HYPERLINK("https://klasma.github.io/Logging_1493/kartor/A 47764-2023 karta.png", "A 47764-2023")</f>
        <v/>
      </c>
      <c r="Y10">
        <f>HYPERLINK("https://klasma.github.io/Logging_1493/kartor_geotiff/A 47764-2023 georefererad karta.tif", "A 47764-2023")</f>
        <v/>
      </c>
      <c r="AA10">
        <f>HYPERLINK("https://klasma.github.io/Logging_1493/klagomål/A 47764-2023 FSC-klagomål.docx", "A 47764-2023")</f>
        <v/>
      </c>
      <c r="AB10">
        <f>HYPERLINK("https://klasma.github.io/Logging_1493/klagomålsmail/A 47764-2023 FSC-klagomål mail.docx", "A 47764-2023")</f>
        <v/>
      </c>
      <c r="AC10">
        <f>HYPERLINK("https://klasma.github.io/Logging_1493/tillsyn/A 47764-2023 tillsynsbegäran.docx", "A 47764-2023")</f>
        <v/>
      </c>
      <c r="AD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46229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46229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46229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46229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46229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46229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46229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46229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46229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46229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46229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46229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46229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46229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27444-2023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45097</v>
      </c>
      <c r="E25" s="1" t="n">
        <v>46229</v>
      </c>
      <c r="F25" t="inlineStr">
        <is>
          <t>VÄSTRA GÖTALANDS LÄN</t>
        </is>
      </c>
      <c r="G25" t="inlineStr">
        <is>
          <t>MARIESTAD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HYPERLINK("https://klasma.github.io/Logging_1493/artfynd/A 27444-2023 artfynd.xlsx", "A 27444-2023")</f>
        <v/>
      </c>
      <c r="X25">
        <f>HYPERLINK("https://klasma.github.io/Logging_1493/kartor/A 27444-2023 karta.png", "A 27444-2023")</f>
        <v/>
      </c>
      <c r="Y25">
        <f>HYPERLINK("https://klasma.github.io/Logging_1493/kartor_geotiff/A 27444-2023 georefererad karta.tif", "A 27444-2023")</f>
        <v/>
      </c>
      <c r="AA25">
        <f>HYPERLINK("https://klasma.github.io/Logging_1493/klagomål/A 27444-2023 FSC-klagomål.docx", "A 27444-2023")</f>
        <v/>
      </c>
      <c r="AB25">
        <f>HYPERLINK("https://klasma.github.io/Logging_1493/klagomålsmail/A 27444-2023 FSC-klagomål mail.docx", "A 27444-2023")</f>
        <v/>
      </c>
      <c r="AC25">
        <f>HYPERLINK("https://klasma.github.io/Logging_1493/tillsyn/A 27444-2023 tillsynsbegäran.docx", "A 27444-2023")</f>
        <v/>
      </c>
      <c r="AD25">
        <f>HYPERLINK("https://klasma.github.io/Logging_1493/tillsynsmail/A 27444-2023 tillsynsbegäran mail.docx", "A 27444-2023")</f>
        <v/>
      </c>
    </row>
    <row r="26" ht="15" customHeight="1">
      <c r="A26" t="inlineStr">
        <is>
          <t>A 17272-2023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45035</v>
      </c>
      <c r="E26" s="1" t="n">
        <v>46229</v>
      </c>
      <c r="F26" t="inlineStr">
        <is>
          <t>VÄSTRA GÖTALANDS LÄN</t>
        </is>
      </c>
      <c r="G26" t="inlineStr">
        <is>
          <t>MARIESTAD</t>
        </is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Gullklöver</t>
        </is>
      </c>
      <c r="W26">
        <f>HYPERLINK("https://klasma.github.io/Logging_1493/artfynd/A 17272-2023 artfynd.xlsx", "A 17272-2023")</f>
        <v/>
      </c>
      <c r="X26">
        <f>HYPERLINK("https://klasma.github.io/Logging_1493/kartor/A 17272-2023 karta.png", "A 17272-2023")</f>
        <v/>
      </c>
      <c r="Y26">
        <f>HYPERLINK("https://klasma.github.io/Logging_1493/kartor_geotiff/A 17272-2023 georefererad karta.tif", "A 17272-2023")</f>
        <v/>
      </c>
      <c r="AA26">
        <f>HYPERLINK("https://klasma.github.io/Logging_1493/klagomål/A 17272-2023 FSC-klagomål.docx", "A 17272-2023")</f>
        <v/>
      </c>
      <c r="AB26">
        <f>HYPERLINK("https://klasma.github.io/Logging_1493/klagomålsmail/A 17272-2023 FSC-klagomål mail.docx", "A 17272-2023")</f>
        <v/>
      </c>
      <c r="AC26">
        <f>HYPERLINK("https://klasma.github.io/Logging_1493/tillsyn/A 17272-2023 tillsynsbegäran.docx", "A 17272-2023")</f>
        <v/>
      </c>
      <c r="AD26">
        <f>HYPERLINK("https://klasma.github.io/Logging_1493/tillsynsmail/A 17272-2023 tillsynsbegäran mail.docx", "A 17272-2023")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46229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46229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46229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42647-2023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46229</v>
      </c>
      <c r="F30" t="inlineStr">
        <is>
          <t>VÄSTRA GÖTALANDS LÄN</t>
        </is>
      </c>
      <c r="G30" t="inlineStr">
        <is>
          <t>MARIESTAD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Ärtsångare</t>
        </is>
      </c>
      <c r="W30">
        <f>HYPERLINK("https://klasma.github.io/Logging_1493/artfynd/A 42647-2023 artfynd.xlsx", "A 42647-2023")</f>
        <v/>
      </c>
      <c r="X30">
        <f>HYPERLINK("https://klasma.github.io/Logging_1493/kartor/A 42647-2023 karta.png", "A 42647-2023")</f>
        <v/>
      </c>
      <c r="Y30">
        <f>HYPERLINK("https://klasma.github.io/Logging_1493/kartor_geotiff/A 42647-2023 georefererad karta.tif", "A 42647-2023")</f>
        <v/>
      </c>
      <c r="AA30">
        <f>HYPERLINK("https://klasma.github.io/Logging_1493/klagomål/A 42647-2023 FSC-klagomål.docx", "A 42647-2023")</f>
        <v/>
      </c>
      <c r="AB30">
        <f>HYPERLINK("https://klasma.github.io/Logging_1493/klagomålsmail/A 42647-2023 FSC-klagomål mail.docx", "A 42647-2023")</f>
        <v/>
      </c>
      <c r="AC30">
        <f>HYPERLINK("https://klasma.github.io/Logging_1493/tillsyn/A 42647-2023 tillsynsbegäran.docx", "A 42647-2023")</f>
        <v/>
      </c>
      <c r="AD30">
        <f>HYPERLINK("https://klasma.github.io/Logging_1493/tillsynsmail/A 42647-2023 tillsynsbegäran mail.docx", "A 42647-2023")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46229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46229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46229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46229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46229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46229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30652-2023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46229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30652-2023 artfynd.xlsx", "A 30652-2023")</f>
        <v/>
      </c>
      <c r="X37">
        <f>HYPERLINK("https://klasma.github.io/Logging_1493/kartor/A 30652-2023 karta.png", "A 30652-2023")</f>
        <v/>
      </c>
      <c r="Y37">
        <f>HYPERLINK("https://klasma.github.io/Logging_1493/kartor_geotiff/A 30652-2023 georefererad karta.tif", "A 30652-2023")</f>
        <v/>
      </c>
      <c r="AA37">
        <f>HYPERLINK("https://klasma.github.io/Logging_1493/klagomål/A 30652-2023 FSC-klagomål.docx", "A 30652-2023")</f>
        <v/>
      </c>
      <c r="AB37">
        <f>HYPERLINK("https://klasma.github.io/Logging_1493/klagomålsmail/A 30652-2023 FSC-klagomål mail.docx", "A 30652-2023")</f>
        <v/>
      </c>
      <c r="AC37">
        <f>HYPERLINK("https://klasma.github.io/Logging_1493/tillsyn/A 30652-2023 tillsynsbegäran.docx", "A 30652-2023")</f>
        <v/>
      </c>
      <c r="AD37">
        <f>HYPERLINK("https://klasma.github.io/Logging_1493/tillsynsmail/A 30652-2023 tillsynsbegäran mail.docx", "A 30652-2023")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46229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46229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46229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46229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46229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46229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46229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46229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46229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46229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46229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46229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46229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46229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46229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46229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46229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46229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46229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46229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46229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46229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46229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46229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46229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46229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46229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46229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46229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46229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46229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46229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46229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46229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46229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46229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46229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46229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46229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46229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46229</v>
      </c>
      <c r="F82" t="inlineStr">
        <is>
          <t>VÄSTRA GÖTALANDS LÄN</t>
        </is>
      </c>
      <c r="G82" t="inlineStr">
        <is>
          <t>MARIESTAD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46229</v>
      </c>
      <c r="F83" t="inlineStr">
        <is>
          <t>VÄSTRA GÖTALANDS LÄN</t>
        </is>
      </c>
      <c r="G83" t="inlineStr">
        <is>
          <t>MARIESTAD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46229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46229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46229</v>
      </c>
      <c r="F86" t="inlineStr">
        <is>
          <t>VÄSTRA GÖTALANDS LÄN</t>
        </is>
      </c>
      <c r="G86" t="inlineStr">
        <is>
          <t>MARIESTAD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46229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46229</v>
      </c>
      <c r="F88" t="inlineStr">
        <is>
          <t>VÄSTRA GÖTALANDS LÄN</t>
        </is>
      </c>
      <c r="G88" t="inlineStr">
        <is>
          <t>MARIESTAD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46229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46229</v>
      </c>
      <c r="F90" t="inlineStr">
        <is>
          <t>VÄSTRA GÖTALANDS LÄN</t>
        </is>
      </c>
      <c r="G90" t="inlineStr">
        <is>
          <t>MARIESTAD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46229</v>
      </c>
      <c r="F91" t="inlineStr">
        <is>
          <t>VÄSTRA GÖTALANDS LÄN</t>
        </is>
      </c>
      <c r="G91" t="inlineStr">
        <is>
          <t>MARIESTAD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46229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46229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46229</v>
      </c>
      <c r="F94" t="inlineStr">
        <is>
          <t>VÄSTRA GÖTALANDS LÄN</t>
        </is>
      </c>
      <c r="G94" t="inlineStr">
        <is>
          <t>MARIESTAD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66771-2021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44521</v>
      </c>
      <c r="E95" s="1" t="n">
        <v>46229</v>
      </c>
      <c r="F95" t="inlineStr">
        <is>
          <t>VÄSTRA GÖTALANDS LÄN</t>
        </is>
      </c>
      <c r="G95" t="inlineStr">
        <is>
          <t>MARIESTAD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45469</v>
      </c>
      <c r="E96" s="1" t="n">
        <v>46229</v>
      </c>
      <c r="F96" t="inlineStr">
        <is>
          <t>VÄSTRA GÖTALANDS LÄN</t>
        </is>
      </c>
      <c r="G96" t="inlineStr">
        <is>
          <t>MARIESTAD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46229</v>
      </c>
      <c r="F97" t="inlineStr">
        <is>
          <t>VÄSTRA GÖTALANDS LÄN</t>
        </is>
      </c>
      <c r="G97" t="inlineStr">
        <is>
          <t>MARIESTAD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46229</v>
      </c>
      <c r="F98" t="inlineStr">
        <is>
          <t>VÄSTRA GÖTALANDS LÄN</t>
        </is>
      </c>
      <c r="G98" t="inlineStr">
        <is>
          <t>MARIESTAD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46229</v>
      </c>
      <c r="F99" t="inlineStr">
        <is>
          <t>VÄSTRA GÖTALANDS LÄN</t>
        </is>
      </c>
      <c r="G99" t="inlineStr">
        <is>
          <t>MARIESTAD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46229</v>
      </c>
      <c r="F100" t="inlineStr">
        <is>
          <t>VÄSTRA GÖTALANDS LÄN</t>
        </is>
      </c>
      <c r="G100" t="inlineStr">
        <is>
          <t>MARIESTAD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46229</v>
      </c>
      <c r="F101" t="inlineStr">
        <is>
          <t>VÄSTRA GÖTALANDS LÄN</t>
        </is>
      </c>
      <c r="G101" t="inlineStr">
        <is>
          <t>MARIESTAD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44693</v>
      </c>
      <c r="E102" s="1" t="n">
        <v>46229</v>
      </c>
      <c r="F102" t="inlineStr">
        <is>
          <t>VÄSTRA GÖTALANDS LÄN</t>
        </is>
      </c>
      <c r="G102" t="inlineStr">
        <is>
          <t>MARIESTAD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46229</v>
      </c>
      <c r="F103" t="inlineStr">
        <is>
          <t>VÄSTRA GÖTALANDS LÄN</t>
        </is>
      </c>
      <c r="G103" t="inlineStr">
        <is>
          <t>MARIESTAD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46229</v>
      </c>
      <c r="F104" t="inlineStr">
        <is>
          <t>VÄSTRA GÖTALANDS LÄN</t>
        </is>
      </c>
      <c r="G104" t="inlineStr">
        <is>
          <t>MARIESTAD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44971</v>
      </c>
      <c r="E105" s="1" t="n">
        <v>46229</v>
      </c>
      <c r="F105" t="inlineStr">
        <is>
          <t>VÄSTRA GÖTALANDS LÄN</t>
        </is>
      </c>
      <c r="G105" t="inlineStr">
        <is>
          <t>MARIESTAD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46229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46229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46229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46229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46229</v>
      </c>
      <c r="F110" t="inlineStr">
        <is>
          <t>VÄSTRA GÖTALANDS LÄN</t>
        </is>
      </c>
      <c r="G110" t="inlineStr">
        <is>
          <t>MARIESTAD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46229</v>
      </c>
      <c r="F111" t="inlineStr">
        <is>
          <t>VÄSTRA GÖTALANDS LÄN</t>
        </is>
      </c>
      <c r="G111" t="inlineStr">
        <is>
          <t>MARIESTAD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46229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70259-2021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44536</v>
      </c>
      <c r="E113" s="1" t="n">
        <v>46229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46229</v>
      </c>
      <c r="F114" t="inlineStr">
        <is>
          <t>VÄSTRA GÖTALANDS LÄN</t>
        </is>
      </c>
      <c r="G114" t="inlineStr">
        <is>
          <t>MARIESTAD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46229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46229</v>
      </c>
      <c r="F116" t="inlineStr">
        <is>
          <t>VÄSTRA GÖTALANDS LÄN</t>
        </is>
      </c>
      <c r="G116" t="inlineStr">
        <is>
          <t>MARIESTAD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46229</v>
      </c>
      <c r="F117" t="inlineStr">
        <is>
          <t>VÄSTRA GÖTALANDS LÄN</t>
        </is>
      </c>
      <c r="G117" t="inlineStr">
        <is>
          <t>MARIESTAD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46229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46229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46229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39437-2021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44414</v>
      </c>
      <c r="E121" s="1" t="n">
        <v>46229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45199</v>
      </c>
      <c r="E122" s="1" t="n">
        <v>46229</v>
      </c>
      <c r="F122" t="inlineStr">
        <is>
          <t>VÄSTRA GÖTALANDS LÄN</t>
        </is>
      </c>
      <c r="G122" t="inlineStr">
        <is>
          <t>MARIESTAD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46229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46229</v>
      </c>
      <c r="F124" t="inlineStr">
        <is>
          <t>VÄSTRA GÖTALANDS LÄN</t>
        </is>
      </c>
      <c r="G124" t="inlineStr">
        <is>
          <t>MARIESTAD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46229</v>
      </c>
      <c r="F125" t="inlineStr">
        <is>
          <t>VÄSTRA GÖTALANDS LÄN</t>
        </is>
      </c>
      <c r="G125" t="inlineStr">
        <is>
          <t>MARIESTAD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46229</v>
      </c>
      <c r="F126" t="inlineStr">
        <is>
          <t>VÄSTRA GÖTALANDS LÄN</t>
        </is>
      </c>
      <c r="G126" t="inlineStr">
        <is>
          <t>MARIESTAD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46229</v>
      </c>
      <c r="F127" t="inlineStr">
        <is>
          <t>VÄSTRA GÖTALANDS LÄN</t>
        </is>
      </c>
      <c r="G127" t="inlineStr">
        <is>
          <t>MARIESTAD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46229</v>
      </c>
      <c r="F128" t="inlineStr">
        <is>
          <t>VÄSTRA GÖTALANDS LÄN</t>
        </is>
      </c>
      <c r="G128" t="inlineStr">
        <is>
          <t>MARIESTAD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46229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46229</v>
      </c>
      <c r="F130" t="inlineStr">
        <is>
          <t>VÄSTRA GÖTALANDS LÄN</t>
        </is>
      </c>
      <c r="G130" t="inlineStr">
        <is>
          <t>MARIESTAD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46229</v>
      </c>
      <c r="F131" t="inlineStr">
        <is>
          <t>VÄSTRA GÖTALANDS LÄN</t>
        </is>
      </c>
      <c r="G131" t="inlineStr">
        <is>
          <t>MARIESTAD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46229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46229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46229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46229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44836</v>
      </c>
      <c r="E136" s="1" t="n">
        <v>46229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46229</v>
      </c>
      <c r="F137" t="inlineStr">
        <is>
          <t>VÄSTRA GÖTALANDS LÄN</t>
        </is>
      </c>
      <c r="G137" t="inlineStr">
        <is>
          <t>MARIESTAD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46229</v>
      </c>
      <c r="F138" t="inlineStr">
        <is>
          <t>VÄSTRA GÖTALANDS LÄN</t>
        </is>
      </c>
      <c r="G138" t="inlineStr">
        <is>
          <t>MARIESTAD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46229</v>
      </c>
      <c r="F139" t="inlineStr">
        <is>
          <t>VÄSTRA GÖTALANDS LÄN</t>
        </is>
      </c>
      <c r="G139" t="inlineStr">
        <is>
          <t>MARIESTAD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46229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46229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46229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46229</v>
      </c>
      <c r="F143" t="inlineStr">
        <is>
          <t>VÄSTRA GÖTALANDS LÄN</t>
        </is>
      </c>
      <c r="G143" t="inlineStr">
        <is>
          <t>MARIESTAD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44843</v>
      </c>
      <c r="E144" s="1" t="n">
        <v>46229</v>
      </c>
      <c r="F144" t="inlineStr">
        <is>
          <t>VÄSTRA GÖTALANDS LÄN</t>
        </is>
      </c>
      <c r="G144" t="inlineStr">
        <is>
          <t>MARIESTAD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46229</v>
      </c>
      <c r="F145" t="inlineStr">
        <is>
          <t>VÄSTRA GÖTALANDS LÄN</t>
        </is>
      </c>
      <c r="G145" t="inlineStr">
        <is>
          <t>MARIESTAD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46229</v>
      </c>
      <c r="F146" t="inlineStr">
        <is>
          <t>VÄSTRA GÖTALANDS LÄN</t>
        </is>
      </c>
      <c r="G146" t="inlineStr">
        <is>
          <t>MARIESTAD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46229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44638</v>
      </c>
      <c r="E148" s="1" t="n">
        <v>46229</v>
      </c>
      <c r="F148" t="inlineStr">
        <is>
          <t>VÄSTRA GÖTALANDS LÄN</t>
        </is>
      </c>
      <c r="G148" t="inlineStr">
        <is>
          <t>MARIESTAD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46229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46229</v>
      </c>
      <c r="F150" t="inlineStr">
        <is>
          <t>VÄSTRA GÖTALANDS LÄN</t>
        </is>
      </c>
      <c r="G150" t="inlineStr">
        <is>
          <t>MARIESTAD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46229</v>
      </c>
      <c r="F151" t="inlineStr">
        <is>
          <t>VÄSTRA GÖTALANDS LÄN</t>
        </is>
      </c>
      <c r="G151" t="inlineStr">
        <is>
          <t>MARIESTAD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46229</v>
      </c>
      <c r="F152" t="inlineStr">
        <is>
          <t>VÄSTRA GÖTALANDS LÄN</t>
        </is>
      </c>
      <c r="G152" t="inlineStr">
        <is>
          <t>MARIESTAD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46229</v>
      </c>
      <c r="F153" t="inlineStr">
        <is>
          <t>VÄSTRA GÖTALANDS LÄN</t>
        </is>
      </c>
      <c r="G153" t="inlineStr">
        <is>
          <t>MARIESTAD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46229</v>
      </c>
      <c r="F154" t="inlineStr">
        <is>
          <t>VÄSTRA GÖTALANDS LÄN</t>
        </is>
      </c>
      <c r="G154" t="inlineStr">
        <is>
          <t>MARIESTAD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46229</v>
      </c>
      <c r="F155" t="inlineStr">
        <is>
          <t>VÄSTRA GÖTALANDS LÄN</t>
        </is>
      </c>
      <c r="G155" t="inlineStr">
        <is>
          <t>MARIESTAD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46229</v>
      </c>
      <c r="F156" t="inlineStr">
        <is>
          <t>VÄSTRA GÖTALANDS LÄN</t>
        </is>
      </c>
      <c r="G156" t="inlineStr">
        <is>
          <t>MARIESTAD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45167</v>
      </c>
      <c r="E157" s="1" t="n">
        <v>46229</v>
      </c>
      <c r="F157" t="inlineStr">
        <is>
          <t>VÄSTRA GÖTALANDS LÄN</t>
        </is>
      </c>
      <c r="G157" t="inlineStr">
        <is>
          <t>MARIESTAD</t>
        </is>
      </c>
      <c r="I157" t="n">
        <v>26.5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46229</v>
      </c>
      <c r="F158" t="inlineStr">
        <is>
          <t>VÄSTRA GÖTALANDS LÄN</t>
        </is>
      </c>
      <c r="G158" t="inlineStr">
        <is>
          <t>MARIESTAD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46229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46229</v>
      </c>
      <c r="F160" t="inlineStr">
        <is>
          <t>VÄSTRA GÖTALANDS LÄN</t>
        </is>
      </c>
      <c r="G160" t="inlineStr">
        <is>
          <t>MARIESTAD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46229</v>
      </c>
      <c r="F161" t="inlineStr">
        <is>
          <t>VÄSTRA GÖTALANDS LÄN</t>
        </is>
      </c>
      <c r="G161" t="inlineStr">
        <is>
          <t>MARIESTAD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44620</v>
      </c>
      <c r="E162" s="1" t="n">
        <v>46229</v>
      </c>
      <c r="F162" t="inlineStr">
        <is>
          <t>VÄSTRA GÖTALANDS LÄN</t>
        </is>
      </c>
      <c r="G162" t="inlineStr">
        <is>
          <t>MARIESTAD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45875</v>
      </c>
      <c r="E163" s="1" t="n">
        <v>46229</v>
      </c>
      <c r="F163" t="inlineStr">
        <is>
          <t>VÄSTRA GÖTALANDS LÄN</t>
        </is>
      </c>
      <c r="G163" t="inlineStr">
        <is>
          <t>MARIESTAD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49389-2023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45211</v>
      </c>
      <c r="E164" s="1" t="n">
        <v>46229</v>
      </c>
      <c r="F164" t="inlineStr">
        <is>
          <t>VÄSTRA GÖTALANDS LÄN</t>
        </is>
      </c>
      <c r="G164" t="inlineStr">
        <is>
          <t>MARIESTAD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46229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46229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46229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46229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46229</v>
      </c>
      <c r="F169" t="inlineStr">
        <is>
          <t>VÄSTRA GÖTALANDS LÄN</t>
        </is>
      </c>
      <c r="G169" t="inlineStr">
        <is>
          <t>MARIESTAD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46229</v>
      </c>
      <c r="F170" t="inlineStr">
        <is>
          <t>VÄSTRA GÖTALANDS LÄN</t>
        </is>
      </c>
      <c r="G170" t="inlineStr">
        <is>
          <t>MARIESTAD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46229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45131</v>
      </c>
      <c r="E172" s="1" t="n">
        <v>46229</v>
      </c>
      <c r="F172" t="inlineStr">
        <is>
          <t>VÄSTRA GÖTALANDS LÄN</t>
        </is>
      </c>
      <c r="G172" t="inlineStr">
        <is>
          <t>MARIESTAD</t>
        </is>
      </c>
      <c r="I172" t="n">
        <v>16.1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46229</v>
      </c>
      <c r="F173" t="inlineStr">
        <is>
          <t>VÄSTRA GÖTALANDS LÄN</t>
        </is>
      </c>
      <c r="G173" t="inlineStr">
        <is>
          <t>MARIESTAD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46229</v>
      </c>
      <c r="F174" t="inlineStr">
        <is>
          <t>VÄSTRA GÖTALANDS LÄN</t>
        </is>
      </c>
      <c r="G174" t="inlineStr">
        <is>
          <t>MARIESTAD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46229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46229</v>
      </c>
      <c r="F176" t="inlineStr">
        <is>
          <t>VÄSTRA GÖTALANDS LÄN</t>
        </is>
      </c>
      <c r="G176" t="inlineStr">
        <is>
          <t>MARIESTAD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46229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46229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46229</v>
      </c>
      <c r="F179" t="inlineStr">
        <is>
          <t>VÄSTRA GÖTALANDS LÄN</t>
        </is>
      </c>
      <c r="G179" t="inlineStr">
        <is>
          <t>MARIESTAD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46229</v>
      </c>
      <c r="F180" t="inlineStr">
        <is>
          <t>VÄSTRA GÖTALANDS LÄN</t>
        </is>
      </c>
      <c r="G180" t="inlineStr">
        <is>
          <t>MARIESTAD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46229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46229</v>
      </c>
      <c r="F182" t="inlineStr">
        <is>
          <t>VÄSTRA GÖTALANDS LÄN</t>
        </is>
      </c>
      <c r="G182" t="inlineStr">
        <is>
          <t>MARIESTAD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46229</v>
      </c>
      <c r="F183" t="inlineStr">
        <is>
          <t>VÄSTRA GÖTALANDS LÄN</t>
        </is>
      </c>
      <c r="G183" t="inlineStr">
        <is>
          <t>MARIESTAD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46229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46229</v>
      </c>
      <c r="F185" t="inlineStr">
        <is>
          <t>VÄSTRA GÖTALANDS LÄN</t>
        </is>
      </c>
      <c r="G185" t="inlineStr">
        <is>
          <t>MARIESTAD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46229</v>
      </c>
      <c r="F186" t="inlineStr">
        <is>
          <t>VÄSTRA GÖTALANDS LÄN</t>
        </is>
      </c>
      <c r="G186" t="inlineStr">
        <is>
          <t>MARIESTAD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46229</v>
      </c>
      <c r="F187" t="inlineStr">
        <is>
          <t>VÄSTRA GÖTALANDS LÄN</t>
        </is>
      </c>
      <c r="G187" t="inlineStr">
        <is>
          <t>MARIESTAD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46229</v>
      </c>
      <c r="F188" t="inlineStr">
        <is>
          <t>VÄSTRA GÖTALANDS LÄN</t>
        </is>
      </c>
      <c r="G188" t="inlineStr">
        <is>
          <t>MARIESTAD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46229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46188</v>
      </c>
      <c r="E190" s="1" t="n">
        <v>46229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46229</v>
      </c>
      <c r="F191" t="inlineStr">
        <is>
          <t>VÄSTRA GÖTALANDS LÄN</t>
        </is>
      </c>
      <c r="G191" t="inlineStr">
        <is>
          <t>MARIESTAD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46229</v>
      </c>
      <c r="F192" t="inlineStr">
        <is>
          <t>VÄSTRA GÖTALANDS LÄN</t>
        </is>
      </c>
      <c r="G192" t="inlineStr">
        <is>
          <t>MARIESTAD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13655-2023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45006</v>
      </c>
      <c r="E193" s="1" t="n">
        <v>46229</v>
      </c>
      <c r="F193" t="inlineStr">
        <is>
          <t>VÄSTRA GÖTALANDS LÄN</t>
        </is>
      </c>
      <c r="G193" t="inlineStr">
        <is>
          <t>MARIESTAD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46229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46229</v>
      </c>
      <c r="F195" t="inlineStr">
        <is>
          <t>VÄSTRA GÖTALANDS LÄN</t>
        </is>
      </c>
      <c r="G195" t="inlineStr">
        <is>
          <t>MARIESTAD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46229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46229</v>
      </c>
      <c r="F197" t="inlineStr">
        <is>
          <t>VÄSTRA GÖTALANDS LÄN</t>
        </is>
      </c>
      <c r="G197" t="inlineStr">
        <is>
          <t>MARIESTAD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46229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Övriga Aktiebolag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26688-2022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44739</v>
      </c>
      <c r="E199" s="1" t="n">
        <v>46229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46229</v>
      </c>
      <c r="F200" t="inlineStr">
        <is>
          <t>VÄSTRA GÖTALANDS LÄN</t>
        </is>
      </c>
      <c r="G200" t="inlineStr">
        <is>
          <t>MARIESTAD</t>
        </is>
      </c>
      <c r="I200" t="n">
        <v>10.7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46229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46229</v>
      </c>
      <c r="F202" t="inlineStr">
        <is>
          <t>VÄSTRA GÖTALANDS LÄN</t>
        </is>
      </c>
      <c r="G202" t="inlineStr">
        <is>
          <t>MARIESTAD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46229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45639</v>
      </c>
      <c r="E204" s="1" t="n">
        <v>46229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36399-2024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45535</v>
      </c>
      <c r="E205" s="1" t="n">
        <v>46229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46229</v>
      </c>
      <c r="F206" t="inlineStr">
        <is>
          <t>VÄSTRA GÖTALANDS LÄN</t>
        </is>
      </c>
      <c r="G206" t="inlineStr">
        <is>
          <t>MARIESTAD</t>
        </is>
      </c>
      <c r="I206" t="n">
        <v>9.699999999999999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46229</v>
      </c>
      <c r="F207" t="inlineStr">
        <is>
          <t>VÄSTRA GÖTALANDS LÄN</t>
        </is>
      </c>
      <c r="G207" t="inlineStr">
        <is>
          <t>MARIESTAD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46229</v>
      </c>
      <c r="F208" t="inlineStr">
        <is>
          <t>VÄSTRA GÖTALANDS LÄN</t>
        </is>
      </c>
      <c r="G208" t="inlineStr">
        <is>
          <t>MARIESTAD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46229</v>
      </c>
      <c r="F209" t="inlineStr">
        <is>
          <t>VÄSTRA GÖTALANDS LÄN</t>
        </is>
      </c>
      <c r="G209" t="inlineStr">
        <is>
          <t>MARIESTAD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46229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46229</v>
      </c>
      <c r="F211" t="inlineStr">
        <is>
          <t>VÄSTRA GÖTALANDS LÄN</t>
        </is>
      </c>
      <c r="G211" t="inlineStr">
        <is>
          <t>MARIESTAD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46229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46229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Naturvårdsverket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46229</v>
      </c>
      <c r="F214" t="inlineStr">
        <is>
          <t>VÄSTRA GÖTALANDS LÄN</t>
        </is>
      </c>
      <c r="G214" t="inlineStr">
        <is>
          <t>MARIESTAD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46229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46229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46229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46229</v>
      </c>
      <c r="F218" t="inlineStr">
        <is>
          <t>VÄSTRA GÖTALANDS LÄN</t>
        </is>
      </c>
      <c r="G218" t="inlineStr">
        <is>
          <t>MARIESTAD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46008</v>
      </c>
      <c r="E219" s="1" t="n">
        <v>46229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46229</v>
      </c>
      <c r="F220" t="inlineStr">
        <is>
          <t>VÄSTRA GÖTALANDS LÄN</t>
        </is>
      </c>
      <c r="G220" t="inlineStr">
        <is>
          <t>MARIESTAD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46229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46229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22878-2026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46229</v>
      </c>
      <c r="F223" t="inlineStr">
        <is>
          <t>VÄSTRA GÖTALANDS LÄN</t>
        </is>
      </c>
      <c r="G223" t="inlineStr">
        <is>
          <t>MARIESTAD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46229</v>
      </c>
      <c r="F224" t="inlineStr">
        <is>
          <t>VÄSTRA GÖTALANDS LÄN</t>
        </is>
      </c>
      <c r="G224" t="inlineStr">
        <is>
          <t>MARIESTAD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46229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46229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46142</v>
      </c>
      <c r="E227" s="1" t="n">
        <v>46229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44876</v>
      </c>
      <c r="E228" s="1" t="n">
        <v>46229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58077-2022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44900</v>
      </c>
      <c r="E229" s="1" t="n">
        <v>46229</v>
      </c>
      <c r="F229" t="inlineStr">
        <is>
          <t>VÄSTRA GÖTALANDS LÄN</t>
        </is>
      </c>
      <c r="G229" t="inlineStr">
        <is>
          <t>MARIESTAD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46229</v>
      </c>
      <c r="F230" t="inlineStr">
        <is>
          <t>VÄSTRA GÖTALANDS LÄN</t>
        </is>
      </c>
      <c r="G230" t="inlineStr">
        <is>
          <t>MARIESTAD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46229</v>
      </c>
      <c r="F231" t="inlineStr">
        <is>
          <t>VÄSTRA GÖTALANDS LÄN</t>
        </is>
      </c>
      <c r="G231" t="inlineStr">
        <is>
          <t>MARIESTAD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44957</v>
      </c>
      <c r="E232" s="1" t="n">
        <v>46229</v>
      </c>
      <c r="F232" t="inlineStr">
        <is>
          <t>VÄSTRA GÖTALANDS LÄN</t>
        </is>
      </c>
      <c r="G232" t="inlineStr">
        <is>
          <t>MARIESTAD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46229</v>
      </c>
      <c r="F233" t="inlineStr">
        <is>
          <t>VÄSTRA GÖTALANDS LÄN</t>
        </is>
      </c>
      <c r="G233" t="inlineStr">
        <is>
          <t>MARIESTAD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46229</v>
      </c>
      <c r="F234" t="inlineStr">
        <is>
          <t>VÄSTRA GÖTALANDS LÄN</t>
        </is>
      </c>
      <c r="G234" t="inlineStr">
        <is>
          <t>MARIESTAD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46229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44622</v>
      </c>
      <c r="E236" s="1" t="n">
        <v>46229</v>
      </c>
      <c r="F236" t="inlineStr">
        <is>
          <t>VÄSTRA GÖTALANDS LÄN</t>
        </is>
      </c>
      <c r="G236" t="inlineStr">
        <is>
          <t>MARIESTAD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46229</v>
      </c>
      <c r="F237" t="inlineStr">
        <is>
          <t>VÄSTRA GÖTALANDS LÄN</t>
        </is>
      </c>
      <c r="G237" t="inlineStr">
        <is>
          <t>MARIESTAD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46229</v>
      </c>
      <c r="F238" t="inlineStr">
        <is>
          <t>VÄSTRA GÖTALANDS LÄN</t>
        </is>
      </c>
      <c r="G238" t="inlineStr">
        <is>
          <t>MARIESTAD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46229</v>
      </c>
      <c r="F239" t="inlineStr">
        <is>
          <t>VÄSTRA GÖTALANDS LÄN</t>
        </is>
      </c>
      <c r="G239" t="inlineStr">
        <is>
          <t>MARIESTAD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46229</v>
      </c>
      <c r="F240" t="inlineStr">
        <is>
          <t>VÄSTRA GÖTALANDS LÄN</t>
        </is>
      </c>
      <c r="G240" t="inlineStr">
        <is>
          <t>MARIESTAD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46229</v>
      </c>
      <c r="F241" t="inlineStr">
        <is>
          <t>VÄSTRA GÖTALANDS LÄN</t>
        </is>
      </c>
      <c r="G241" t="inlineStr">
        <is>
          <t>MARIESTAD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46229</v>
      </c>
      <c r="F242" t="inlineStr">
        <is>
          <t>VÄSTRA GÖTALANDS LÄN</t>
        </is>
      </c>
      <c r="G242" t="inlineStr">
        <is>
          <t>MARIESTAD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46229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46229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46229</v>
      </c>
      <c r="F245" t="inlineStr">
        <is>
          <t>VÄSTRA GÖTALANDS LÄN</t>
        </is>
      </c>
      <c r="G245" t="inlineStr">
        <is>
          <t>MARIESTAD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46229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Kyrkan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46229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45350</v>
      </c>
      <c r="E248" s="1" t="n">
        <v>46229</v>
      </c>
      <c r="F248" t="inlineStr">
        <is>
          <t>VÄSTRA GÖTALANDS LÄN</t>
        </is>
      </c>
      <c r="G248" t="inlineStr">
        <is>
          <t>MARIESTAD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46061</v>
      </c>
      <c r="E249" s="1" t="n">
        <v>46229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46229</v>
      </c>
      <c r="F250" t="inlineStr">
        <is>
          <t>VÄSTRA GÖTALANDS LÄN</t>
        </is>
      </c>
      <c r="G250" t="inlineStr">
        <is>
          <t>MARIESTAD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46229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46229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9558-2026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46071</v>
      </c>
      <c r="E253" s="1" t="n">
        <v>46229</v>
      </c>
      <c r="F253" t="inlineStr">
        <is>
          <t>VÄSTRA GÖTALANDS LÄN</t>
        </is>
      </c>
      <c r="G253" t="inlineStr">
        <is>
          <t>MARIESTAD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46229</v>
      </c>
      <c r="F254" t="inlineStr">
        <is>
          <t>VÄSTRA GÖTALANDS LÄN</t>
        </is>
      </c>
      <c r="G254" t="inlineStr">
        <is>
          <t>MARIESTAD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46229</v>
      </c>
      <c r="F255" t="inlineStr">
        <is>
          <t>VÄSTRA GÖTALANDS LÄN</t>
        </is>
      </c>
      <c r="G255" t="inlineStr">
        <is>
          <t>MARIESTAD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46229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46229</v>
      </c>
      <c r="F257" t="inlineStr">
        <is>
          <t>VÄSTRA GÖTALANDS LÄN</t>
        </is>
      </c>
      <c r="G257" t="inlineStr">
        <is>
          <t>MARIESTAD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46229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46229</v>
      </c>
      <c r="F259" t="inlineStr">
        <is>
          <t>VÄSTRA GÖTALANDS LÄN</t>
        </is>
      </c>
      <c r="G259" t="inlineStr">
        <is>
          <t>MARIESTAD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46229</v>
      </c>
      <c r="F260" t="inlineStr">
        <is>
          <t>VÄSTRA GÖTALANDS LÄN</t>
        </is>
      </c>
      <c r="G260" t="inlineStr">
        <is>
          <t>MARIESTAD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46229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46229</v>
      </c>
      <c r="F262" t="inlineStr">
        <is>
          <t>VÄSTRA GÖTALANDS LÄN</t>
        </is>
      </c>
      <c r="G262" t="inlineStr">
        <is>
          <t>MARIESTAD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46229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12381-2026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46229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47194-2021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44447</v>
      </c>
      <c r="E265" s="1" t="n">
        <v>46229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46229</v>
      </c>
      <c r="F266" t="inlineStr">
        <is>
          <t>VÄSTRA GÖTALANDS LÄN</t>
        </is>
      </c>
      <c r="G266" t="inlineStr">
        <is>
          <t>MARIESTAD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44614</v>
      </c>
      <c r="E267" s="1" t="n">
        <v>46229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44816</v>
      </c>
      <c r="E268" s="1" t="n">
        <v>46229</v>
      </c>
      <c r="F268" t="inlineStr">
        <is>
          <t>VÄSTRA GÖTALANDS LÄN</t>
        </is>
      </c>
      <c r="G268" t="inlineStr">
        <is>
          <t>MARIESTAD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46229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46229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46229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46229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46171</v>
      </c>
      <c r="E273" s="1" t="n">
        <v>46229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46229</v>
      </c>
      <c r="F274" t="inlineStr">
        <is>
          <t>VÄSTRA GÖTALANDS LÄN</t>
        </is>
      </c>
      <c r="G274" t="inlineStr">
        <is>
          <t>MARIESTAD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46229</v>
      </c>
      <c r="F275" t="inlineStr">
        <is>
          <t>VÄSTRA GÖTALANDS LÄN</t>
        </is>
      </c>
      <c r="G275" t="inlineStr">
        <is>
          <t>MARIESTAD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46229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46229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46229</v>
      </c>
      <c r="F278" t="inlineStr">
        <is>
          <t>VÄSTRA GÖTALANDS LÄN</t>
        </is>
      </c>
      <c r="G278" t="inlineStr">
        <is>
          <t>MARIESTAD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46229</v>
      </c>
      <c r="F279" t="inlineStr">
        <is>
          <t>VÄSTRA GÖTALANDS LÄN</t>
        </is>
      </c>
      <c r="G279" t="inlineStr">
        <is>
          <t>MARIESTAD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46229</v>
      </c>
      <c r="F280" t="inlineStr">
        <is>
          <t>VÄSTRA GÖTALANDS LÄN</t>
        </is>
      </c>
      <c r="G280" t="inlineStr">
        <is>
          <t>MARIESTAD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46229</v>
      </c>
      <c r="F281" t="inlineStr">
        <is>
          <t>VÄSTRA GÖTALANDS LÄN</t>
        </is>
      </c>
      <c r="G281" t="inlineStr">
        <is>
          <t>MARIESTAD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46229</v>
      </c>
      <c r="F282" t="inlineStr">
        <is>
          <t>VÄSTRA GÖTALANDS LÄN</t>
        </is>
      </c>
      <c r="G282" t="inlineStr">
        <is>
          <t>MARIESTAD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45200</v>
      </c>
      <c r="E283" s="1" t="n">
        <v>46229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46229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45709</v>
      </c>
      <c r="E285" s="1" t="n">
        <v>46229</v>
      </c>
      <c r="F285" t="inlineStr">
        <is>
          <t>VÄSTRA GÖTALANDS LÄN</t>
        </is>
      </c>
      <c r="G285" t="inlineStr">
        <is>
          <t>MARIESTAD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46229</v>
      </c>
      <c r="F286" t="inlineStr">
        <is>
          <t>VÄSTRA GÖTALANDS LÄN</t>
        </is>
      </c>
      <c r="G286" t="inlineStr">
        <is>
          <t>MARIESTAD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46229</v>
      </c>
      <c r="F287" t="inlineStr">
        <is>
          <t>VÄSTRA GÖTALANDS LÄN</t>
        </is>
      </c>
      <c r="G287" t="inlineStr">
        <is>
          <t>MARIESTAD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46229</v>
      </c>
      <c r="F288" t="inlineStr">
        <is>
          <t>VÄSTRA GÖTALANDS LÄN</t>
        </is>
      </c>
      <c r="G288" t="inlineStr">
        <is>
          <t>MARIESTAD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44489</v>
      </c>
      <c r="E289" s="1" t="n">
        <v>46229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46229</v>
      </c>
      <c r="F290" t="inlineStr">
        <is>
          <t>VÄSTRA GÖTALANDS LÄN</t>
        </is>
      </c>
      <c r="G290" t="inlineStr">
        <is>
          <t>MARIESTAD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46229</v>
      </c>
      <c r="F291" t="inlineStr">
        <is>
          <t>VÄSTRA GÖTALANDS LÄN</t>
        </is>
      </c>
      <c r="G291" t="inlineStr">
        <is>
          <t>MARIESTAD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45289</v>
      </c>
      <c r="E292" s="1" t="n">
        <v>46229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46229</v>
      </c>
      <c r="F293" t="inlineStr">
        <is>
          <t>VÄSTRA GÖTALANDS LÄN</t>
        </is>
      </c>
      <c r="G293" t="inlineStr">
        <is>
          <t>MARIESTAD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46229</v>
      </c>
      <c r="F294" t="inlineStr">
        <is>
          <t>VÄSTRA GÖTALANDS LÄN</t>
        </is>
      </c>
      <c r="G294" t="inlineStr">
        <is>
          <t>MARIESTAD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46229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26912-2026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46185</v>
      </c>
      <c r="E296" s="1" t="n">
        <v>46229</v>
      </c>
      <c r="F296" t="inlineStr">
        <is>
          <t>VÄSTRA GÖTALANDS LÄN</t>
        </is>
      </c>
      <c r="G296" t="inlineStr">
        <is>
          <t>MARIESTAD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46229</v>
      </c>
      <c r="F297" t="inlineStr">
        <is>
          <t>VÄSTRA GÖTALANDS LÄN</t>
        </is>
      </c>
      <c r="G297" t="inlineStr">
        <is>
          <t>MARIESTAD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46229</v>
      </c>
      <c r="F298" t="inlineStr">
        <is>
          <t>VÄSTRA GÖTALANDS LÄN</t>
        </is>
      </c>
      <c r="G298" t="inlineStr">
        <is>
          <t>MARIESTAD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46229</v>
      </c>
      <c r="F299" t="inlineStr">
        <is>
          <t>VÄSTRA GÖTALANDS LÄN</t>
        </is>
      </c>
      <c r="G299" t="inlineStr">
        <is>
          <t>MARIESTAD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46229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44553</v>
      </c>
      <c r="E301" s="1" t="n">
        <v>46229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46229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13798-2022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46229</v>
      </c>
      <c r="F303" t="inlineStr">
        <is>
          <t>VÄSTRA GÖTALANDS LÄN</t>
        </is>
      </c>
      <c r="G303" t="inlineStr">
        <is>
          <t>MARIESTAD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44617</v>
      </c>
      <c r="E304" s="1" t="n">
        <v>46229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46229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46229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46229</v>
      </c>
      <c r="F307" t="inlineStr">
        <is>
          <t>VÄSTRA GÖTALANDS LÄN</t>
        </is>
      </c>
      <c r="G307" t="inlineStr">
        <is>
          <t>MARIESTAD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46229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46229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45070</v>
      </c>
      <c r="E310" s="1" t="n">
        <v>46229</v>
      </c>
      <c r="F310" t="inlineStr">
        <is>
          <t>VÄSTRA GÖTALANDS LÄN</t>
        </is>
      </c>
      <c r="G310" t="inlineStr">
        <is>
          <t>MARIESTAD</t>
        </is>
      </c>
      <c r="I310" t="n">
        <v>10.3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46229</v>
      </c>
      <c r="F311" t="inlineStr">
        <is>
          <t>VÄSTRA GÖTALANDS LÄN</t>
        </is>
      </c>
      <c r="G311" t="inlineStr">
        <is>
          <t>MARIESTAD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46229</v>
      </c>
      <c r="F312" t="inlineStr">
        <is>
          <t>VÄSTRA GÖTALANDS LÄN</t>
        </is>
      </c>
      <c r="G312" t="inlineStr">
        <is>
          <t>MARIESTAD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45200</v>
      </c>
      <c r="E313" s="1" t="n">
        <v>46229</v>
      </c>
      <c r="F313" t="inlineStr">
        <is>
          <t>VÄSTRA GÖTALANDS LÄN</t>
        </is>
      </c>
      <c r="G313" t="inlineStr">
        <is>
          <t>MARIESTAD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45528</v>
      </c>
      <c r="E314" s="1" t="n">
        <v>46229</v>
      </c>
      <c r="F314" t="inlineStr">
        <is>
          <t>VÄSTRA GÖTALANDS LÄN</t>
        </is>
      </c>
      <c r="G314" t="inlineStr">
        <is>
          <t>MARIESTAD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46229</v>
      </c>
      <c r="F315" t="inlineStr">
        <is>
          <t>VÄSTRA GÖTALANDS LÄN</t>
        </is>
      </c>
      <c r="G315" t="inlineStr">
        <is>
          <t>MARIESTAD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46229</v>
      </c>
      <c r="F316" t="inlineStr">
        <is>
          <t>VÄSTRA GÖTALANDS LÄN</t>
        </is>
      </c>
      <c r="G316" t="inlineStr">
        <is>
          <t>MARIESTAD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45260</v>
      </c>
      <c r="E317" s="1" t="n">
        <v>46229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46229</v>
      </c>
      <c r="F318" t="inlineStr">
        <is>
          <t>VÄSTRA GÖTALANDS LÄN</t>
        </is>
      </c>
      <c r="G318" t="inlineStr">
        <is>
          <t>MARIESTAD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46229</v>
      </c>
      <c r="F319" t="inlineStr">
        <is>
          <t>VÄSTRA GÖTALANDS LÄN</t>
        </is>
      </c>
      <c r="G319" t="inlineStr">
        <is>
          <t>MARIESTAD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46229</v>
      </c>
      <c r="F320" t="inlineStr">
        <is>
          <t>VÄSTRA GÖTALANDS LÄN</t>
        </is>
      </c>
      <c r="G320" t="inlineStr">
        <is>
          <t>MARIESTAD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46229</v>
      </c>
      <c r="F321" t="inlineStr">
        <is>
          <t>VÄSTRA GÖTALANDS LÄN</t>
        </is>
      </c>
      <c r="G321" t="inlineStr">
        <is>
          <t>MARIESTAD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45674</v>
      </c>
      <c r="E322" s="1" t="n">
        <v>46229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46229</v>
      </c>
      <c r="F323" t="inlineStr">
        <is>
          <t>VÄSTRA GÖTALANDS LÄN</t>
        </is>
      </c>
      <c r="G323" t="inlineStr">
        <is>
          <t>MARIESTAD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46229</v>
      </c>
      <c r="F324" t="inlineStr">
        <is>
          <t>VÄSTRA GÖTALANDS LÄN</t>
        </is>
      </c>
      <c r="G324" t="inlineStr">
        <is>
          <t>MARIESTAD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61603-2023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45265</v>
      </c>
      <c r="E325" s="1" t="n">
        <v>46229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46229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46229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46229</v>
      </c>
      <c r="F328" t="inlineStr">
        <is>
          <t>VÄSTRA GÖTALANDS LÄN</t>
        </is>
      </c>
      <c r="G328" t="inlineStr">
        <is>
          <t>MARIESTAD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46229</v>
      </c>
      <c r="F329" t="inlineStr">
        <is>
          <t>VÄSTRA GÖTALANDS LÄN</t>
        </is>
      </c>
      <c r="G329" t="inlineStr">
        <is>
          <t>MARIESTAD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46229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46229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45783</v>
      </c>
      <c r="E332" s="1" t="n">
        <v>46229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46229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Kyrkan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46655-2021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44445</v>
      </c>
      <c r="E334" s="1" t="n">
        <v>46229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46229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46229</v>
      </c>
      <c r="F336" t="inlineStr">
        <is>
          <t>VÄSTRA GÖTALANDS LÄN</t>
        </is>
      </c>
      <c r="G336" t="inlineStr">
        <is>
          <t>MARIESTAD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46229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46229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66772-2021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44521</v>
      </c>
      <c r="E339" s="1" t="n">
        <v>46229</v>
      </c>
      <c r="F339" t="inlineStr">
        <is>
          <t>VÄSTRA GÖTALANDS LÄN</t>
        </is>
      </c>
      <c r="G339" t="inlineStr">
        <is>
          <t>MARIESTAD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46229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46229</v>
      </c>
      <c r="F341" t="inlineStr">
        <is>
          <t>VÄSTRA GÖTALANDS LÄN</t>
        </is>
      </c>
      <c r="G341" t="inlineStr">
        <is>
          <t>MARIESTAD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46229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46229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46229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46229</v>
      </c>
      <c r="F345" t="inlineStr">
        <is>
          <t>VÄSTRA GÖTALANDS LÄN</t>
        </is>
      </c>
      <c r="G345" t="inlineStr">
        <is>
          <t>MARIESTAD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46229</v>
      </c>
      <c r="F346" t="inlineStr">
        <is>
          <t>VÄSTRA GÖTALANDS LÄN</t>
        </is>
      </c>
      <c r="G346" t="inlineStr">
        <is>
          <t>MARIESTAD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46229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46229</v>
      </c>
      <c r="F348" t="inlineStr">
        <is>
          <t>VÄSTRA GÖTALANDS LÄN</t>
        </is>
      </c>
      <c r="G348" t="inlineStr">
        <is>
          <t>MARIESTAD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52869-2024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45610</v>
      </c>
      <c r="E349" s="1" t="n">
        <v>46229</v>
      </c>
      <c r="F349" t="inlineStr">
        <is>
          <t>VÄSTRA GÖTALANDS LÄN</t>
        </is>
      </c>
      <c r="G349" t="inlineStr">
        <is>
          <t>MARIESTAD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46229</v>
      </c>
      <c r="F350" t="inlineStr">
        <is>
          <t>VÄSTRA GÖTALANDS LÄN</t>
        </is>
      </c>
      <c r="G350" t="inlineStr">
        <is>
          <t>MARIESTAD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46229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46229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46229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46229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46229</v>
      </c>
      <c r="F355" t="inlineStr">
        <is>
          <t>VÄSTRA GÖTALANDS LÄN</t>
        </is>
      </c>
      <c r="G355" t="inlineStr">
        <is>
          <t>MARIESTAD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46229</v>
      </c>
      <c r="F356" t="inlineStr">
        <is>
          <t>VÄSTRA GÖTALANDS LÄN</t>
        </is>
      </c>
      <c r="G356" t="inlineStr">
        <is>
          <t>MARIESTAD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46229</v>
      </c>
      <c r="F357" t="inlineStr">
        <is>
          <t>VÄSTRA GÖTALANDS LÄN</t>
        </is>
      </c>
      <c r="G357" t="inlineStr">
        <is>
          <t>MARIESTAD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46229</v>
      </c>
      <c r="F358" t="inlineStr">
        <is>
          <t>VÄSTRA GÖTALANDS LÄN</t>
        </is>
      </c>
      <c r="G358" t="inlineStr">
        <is>
          <t>MARIESTAD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46229</v>
      </c>
      <c r="F359" t="inlineStr">
        <is>
          <t>VÄSTRA GÖTALANDS LÄN</t>
        </is>
      </c>
      <c r="G359" t="inlineStr">
        <is>
          <t>MARIESTAD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46229</v>
      </c>
      <c r="F360" t="inlineStr">
        <is>
          <t>VÄSTRA GÖTALANDS LÄN</t>
        </is>
      </c>
      <c r="G360" t="inlineStr">
        <is>
          <t>MARIESTAD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46229</v>
      </c>
      <c r="F361" t="inlineStr">
        <is>
          <t>VÄSTRA GÖTALANDS LÄN</t>
        </is>
      </c>
      <c r="G361" t="inlineStr">
        <is>
          <t>MARIESTAD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46229</v>
      </c>
      <c r="F362" t="inlineStr">
        <is>
          <t>VÄSTRA GÖTALANDS LÄN</t>
        </is>
      </c>
      <c r="G362" t="inlineStr">
        <is>
          <t>MARIESTAD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46229</v>
      </c>
      <c r="F363" t="inlineStr">
        <is>
          <t>VÄSTRA GÖTALANDS LÄN</t>
        </is>
      </c>
      <c r="G363" t="inlineStr">
        <is>
          <t>MARIESTAD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46229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46229</v>
      </c>
      <c r="F365" t="inlineStr">
        <is>
          <t>VÄSTRA GÖTALANDS LÄN</t>
        </is>
      </c>
      <c r="G365" t="inlineStr">
        <is>
          <t>MARIESTAD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46229</v>
      </c>
      <c r="F366" t="inlineStr">
        <is>
          <t>VÄSTRA GÖTALANDS LÄN</t>
        </is>
      </c>
      <c r="G366" t="inlineStr">
        <is>
          <t>MARIESTAD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4868-2024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45618</v>
      </c>
      <c r="E367" s="1" t="n">
        <v>46229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1204-2025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45757</v>
      </c>
      <c r="E368" s="1" t="n">
        <v>46229</v>
      </c>
      <c r="F368" t="inlineStr">
        <is>
          <t>VÄSTRA GÖTALANDS LÄN</t>
        </is>
      </c>
      <c r="G368" t="inlineStr">
        <is>
          <t>MARIESTAD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359-2026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46064</v>
      </c>
      <c r="E369" s="1" t="n">
        <v>46229</v>
      </c>
      <c r="F369" t="inlineStr">
        <is>
          <t>VÄSTRA GÖTALANDS LÄN</t>
        </is>
      </c>
      <c r="G369" t="inlineStr">
        <is>
          <t>MARIESTAD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2026-07-26T01:50:47Z</dcterms:created>
  <dcterms:modified xmlns:dcterms="http://purl.org/dc/terms/" xmlns:xsi="http://www.w3.org/2001/XMLSchema-instance" xsi:type="dcterms:W3CDTF">2026-07-26T01:50:47Z</dcterms:modified>
</cp:coreProperties>
</file>