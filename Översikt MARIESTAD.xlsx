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46282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46282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46282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46282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46282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46282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46282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46282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46282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46282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46282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46282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46282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46282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46282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46282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46282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46282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46282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46282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46282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46282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12379-2026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46282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5.7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HYPERLINK("https://klasma.github.io/Logging_1493/artfynd/A 12379-2026 artfynd.xlsx", "A 12379-2026")</f>
        <v/>
      </c>
      <c r="X31">
        <f>HYPERLINK("https://klasma.github.io/Logging_1493/kartor/A 12379-2026 karta.png", "A 12379-2026")</f>
        <v/>
      </c>
      <c r="Y31">
        <f>HYPERLINK("https://klasma.github.io/Logging_1493/kartor_geotiff/A 12379-2026 georefererad karta.tif", "A 12379-2026")</f>
        <v/>
      </c>
      <c r="AA31">
        <f>HYPERLINK("https://klasma.github.io/Logging_1493/klagomål/A 12379-2026 FSC-klagomål.docx", "A 12379-2026")</f>
        <v/>
      </c>
      <c r="AB31">
        <f>HYPERLINK("https://klasma.github.io/Logging_1493/klagomålsmail/A 12379-2026 FSC-klagomål mail.docx", "A 12379-2026")</f>
        <v/>
      </c>
      <c r="AC31">
        <f>HYPERLINK("https://klasma.github.io/Logging_1493/tillsyn/A 12379-2026 tillsynsbegäran.docx", "A 12379-2026")</f>
        <v/>
      </c>
      <c r="AD31">
        <f>HYPERLINK("https://klasma.github.io/Logging_1493/tillsynsmail/A 12379-2026 tillsynsbegäran mail.docx", "A 12379-2026")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46282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46282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46282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46282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46282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46282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Lönnlav</t>
        </is>
      </c>
      <c r="W37">
        <f>HYPERLINK("https://klasma.github.io/Logging_1493/artfynd/A 49233-2023 artfynd.xlsx", "A 49233-2023")</f>
        <v/>
      </c>
      <c r="X37">
        <f>HYPERLINK("https://klasma.github.io/Logging_1493/kartor/A 49233-2023 karta.png", "A 49233-2023")</f>
        <v/>
      </c>
      <c r="Y37">
        <f>HYPERLINK("https://klasma.github.io/Logging_1493/kartor_geotiff/A 49233-2023 georefererad karta.tif", "A 49233-2023")</f>
        <v/>
      </c>
      <c r="AA37">
        <f>HYPERLINK("https://klasma.github.io/Logging_1493/klagomål/A 49233-2023 FSC-klagomål.docx", "A 49233-2023")</f>
        <v/>
      </c>
      <c r="AB37">
        <f>HYPERLINK("https://klasma.github.io/Logging_1493/klagomålsmail/A 49233-2023 FSC-klagomål mail.docx", "A 49233-2023")</f>
        <v/>
      </c>
      <c r="AC37">
        <f>HYPERLINK("https://klasma.github.io/Logging_1493/tillsyn/A 49233-2023 tillsynsbegäran.docx", "A 49233-2023")</f>
        <v/>
      </c>
      <c r="AD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46282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Nattviol</t>
        </is>
      </c>
      <c r="W38">
        <f>HYPERLINK("https://klasma.github.io/Logging_1493/artfynd/A 30652-2023 artfynd.xlsx", "A 30652-2023")</f>
        <v/>
      </c>
      <c r="X38">
        <f>HYPERLINK("https://klasma.github.io/Logging_1493/kartor/A 30652-2023 karta.png", "A 30652-2023")</f>
        <v/>
      </c>
      <c r="Y38">
        <f>HYPERLINK("https://klasma.github.io/Logging_1493/kartor_geotiff/A 30652-2023 georefererad karta.tif", "A 30652-2023")</f>
        <v/>
      </c>
      <c r="AA38">
        <f>HYPERLINK("https://klasma.github.io/Logging_1493/klagomål/A 30652-2023 FSC-klagomål.docx", "A 30652-2023")</f>
        <v/>
      </c>
      <c r="AB38">
        <f>HYPERLINK("https://klasma.github.io/Logging_1493/klagomålsmail/A 30652-2023 FSC-klagomål mail.docx", "A 30652-2023")</f>
        <v/>
      </c>
      <c r="AC38">
        <f>HYPERLINK("https://klasma.github.io/Logging_1493/tillsyn/A 30652-2023 tillsynsbegäran.docx", "A 30652-2023")</f>
        <v/>
      </c>
      <c r="AD38">
        <f>HYPERLINK("https://klasma.github.io/Logging_1493/tillsynsmail/A 30652-2023 tillsynsbegäran mail.docx", "A 30652-2023")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46282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46282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46282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46282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46282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46282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46282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46282</v>
      </c>
      <c r="F49" t="inlineStr">
        <is>
          <t>VÄSTRA GÖTALANDS LÄN</t>
        </is>
      </c>
      <c r="G49" t="inlineStr">
        <is>
          <t>MARIESTAD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46282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46282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46282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46282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46282</v>
      </c>
      <c r="F54" t="inlineStr">
        <is>
          <t>VÄSTRA GÖTALANDS LÄN</t>
        </is>
      </c>
      <c r="G54" t="inlineStr">
        <is>
          <t>MARIESTAD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46282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46282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46282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46282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46282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46282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46282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46282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46282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46282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46282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46282</v>
      </c>
      <c r="F66" t="inlineStr">
        <is>
          <t>VÄSTRA GÖTALANDS LÄN</t>
        </is>
      </c>
      <c r="G66" t="inlineStr">
        <is>
          <t>MARIESTAD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46282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46282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45674</v>
      </c>
      <c r="E69" s="1" t="n">
        <v>46282</v>
      </c>
      <c r="F69" t="inlineStr">
        <is>
          <t>VÄSTRA GÖTALANDS LÄN</t>
        </is>
      </c>
      <c r="G69" t="inlineStr">
        <is>
          <t>MARIESTAD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11397-2022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44630</v>
      </c>
      <c r="E70" s="1" t="n">
        <v>46282</v>
      </c>
      <c r="F70" t="inlineStr">
        <is>
          <t>VÄSTRA GÖTALANDS LÄN</t>
        </is>
      </c>
      <c r="G70" t="inlineStr">
        <is>
          <t>MARIESTAD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46282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Kyrkan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45110-2022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44843</v>
      </c>
      <c r="E72" s="1" t="n">
        <v>46282</v>
      </c>
      <c r="F72" t="inlineStr">
        <is>
          <t>VÄSTRA GÖTALANDS LÄN</t>
        </is>
      </c>
      <c r="G72" t="inlineStr">
        <is>
          <t>MARIESTAD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46282</v>
      </c>
      <c r="F73" t="inlineStr">
        <is>
          <t>VÄSTRA GÖTALANDS LÄN</t>
        </is>
      </c>
      <c r="G73" t="inlineStr">
        <is>
          <t>MARIESTAD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46282</v>
      </c>
      <c r="F74" t="inlineStr">
        <is>
          <t>VÄSTRA GÖTALANDS LÄN</t>
        </is>
      </c>
      <c r="G74" t="inlineStr">
        <is>
          <t>MARIESTAD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46282</v>
      </c>
      <c r="F75" t="inlineStr">
        <is>
          <t>VÄSTRA GÖTALANDS LÄN</t>
        </is>
      </c>
      <c r="G75" t="inlineStr">
        <is>
          <t>MARIESTAD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45590</v>
      </c>
      <c r="E76" s="1" t="n">
        <v>46282</v>
      </c>
      <c r="F76" t="inlineStr">
        <is>
          <t>VÄSTRA GÖTALANDS LÄN</t>
        </is>
      </c>
      <c r="G76" t="inlineStr">
        <is>
          <t>MARIESTAD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46282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46282</v>
      </c>
      <c r="F78" t="inlineStr">
        <is>
          <t>VÄSTRA GÖTALANDS LÄN</t>
        </is>
      </c>
      <c r="G78" t="inlineStr">
        <is>
          <t>MARIESTAD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46282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Kommuner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46282</v>
      </c>
      <c r="F80" t="inlineStr">
        <is>
          <t>VÄSTRA GÖTALANDS LÄN</t>
        </is>
      </c>
      <c r="G80" t="inlineStr">
        <is>
          <t>MARIESTAD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46282</v>
      </c>
      <c r="F81" t="inlineStr">
        <is>
          <t>VÄSTRA GÖTALANDS LÄN</t>
        </is>
      </c>
      <c r="G81" t="inlineStr">
        <is>
          <t>MARIESTAD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46282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44847</v>
      </c>
      <c r="E83" s="1" t="n">
        <v>46282</v>
      </c>
      <c r="F83" t="inlineStr">
        <is>
          <t>VÄSTRA GÖTALANDS LÄN</t>
        </is>
      </c>
      <c r="G83" t="inlineStr">
        <is>
          <t>MARIESTAD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46282</v>
      </c>
      <c r="F84" t="inlineStr">
        <is>
          <t>VÄSTRA GÖTALANDS LÄN</t>
        </is>
      </c>
      <c r="G84" t="inlineStr">
        <is>
          <t>MARIESTAD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66771-2021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44521</v>
      </c>
      <c r="E85" s="1" t="n">
        <v>46282</v>
      </c>
      <c r="F85" t="inlineStr">
        <is>
          <t>VÄSTRA GÖTALANDS LÄN</t>
        </is>
      </c>
      <c r="G85" t="inlineStr">
        <is>
          <t>MARIESTAD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46282</v>
      </c>
      <c r="F86" t="inlineStr">
        <is>
          <t>VÄSTRA GÖTALANDS LÄN</t>
        </is>
      </c>
      <c r="G86" t="inlineStr">
        <is>
          <t>MARIESTAD</t>
        </is>
      </c>
      <c r="I86" t="n">
        <v>9.1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46282</v>
      </c>
      <c r="F87" t="inlineStr">
        <is>
          <t>VÄSTRA GÖTALANDS LÄN</t>
        </is>
      </c>
      <c r="G87" t="inlineStr">
        <is>
          <t>MARIESTAD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50327-2024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46282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46282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46282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46282</v>
      </c>
      <c r="F91" t="inlineStr">
        <is>
          <t>VÄSTRA GÖTALANDS LÄN</t>
        </is>
      </c>
      <c r="G91" t="inlineStr">
        <is>
          <t>MARIESTAD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46282</v>
      </c>
      <c r="F92" t="inlineStr">
        <is>
          <t>VÄSTRA GÖTALANDS LÄN</t>
        </is>
      </c>
      <c r="G92" t="inlineStr">
        <is>
          <t>MARIESTAD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24503-2025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46282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46282</v>
      </c>
      <c r="F94" t="inlineStr">
        <is>
          <t>VÄSTRA GÖTALANDS LÄN</t>
        </is>
      </c>
      <c r="G94" t="inlineStr">
        <is>
          <t>MARIESTAD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46029</v>
      </c>
      <c r="E95" s="1" t="n">
        <v>46282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46029</v>
      </c>
      <c r="E96" s="1" t="n">
        <v>46282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19553-2022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46282</v>
      </c>
      <c r="F97" t="inlineStr">
        <is>
          <t>VÄSTRA GÖTALANDS LÄN</t>
        </is>
      </c>
      <c r="G97" t="inlineStr">
        <is>
          <t>MARIESTAD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46282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46282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46282</v>
      </c>
      <c r="F100" t="inlineStr">
        <is>
          <t>VÄSTRA GÖTALANDS LÄN</t>
        </is>
      </c>
      <c r="G100" t="inlineStr">
        <is>
          <t>MARIESTAD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46282</v>
      </c>
      <c r="F101" t="inlineStr">
        <is>
          <t>VÄSTRA GÖTALANDS LÄN</t>
        </is>
      </c>
      <c r="G101" t="inlineStr">
        <is>
          <t>MARIESTAD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44971</v>
      </c>
      <c r="E102" s="1" t="n">
        <v>46282</v>
      </c>
      <c r="F102" t="inlineStr">
        <is>
          <t>VÄSTRA GÖTALANDS LÄN</t>
        </is>
      </c>
      <c r="G102" t="inlineStr">
        <is>
          <t>MARIESTAD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44993</v>
      </c>
      <c r="E103" s="1" t="n">
        <v>46282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46282</v>
      </c>
      <c r="F104" t="inlineStr">
        <is>
          <t>VÄSTRA GÖTALANDS LÄN</t>
        </is>
      </c>
      <c r="G104" t="inlineStr">
        <is>
          <t>MARIESTAD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46282</v>
      </c>
      <c r="F105" t="inlineStr">
        <is>
          <t>VÄSTRA GÖTALANDS LÄN</t>
        </is>
      </c>
      <c r="G105" t="inlineStr">
        <is>
          <t>MARIESTAD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46282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46282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46282</v>
      </c>
      <c r="F108" t="inlineStr">
        <is>
          <t>VÄSTRA GÖTALANDS LÄN</t>
        </is>
      </c>
      <c r="G108" t="inlineStr">
        <is>
          <t>MARIESTAD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46282</v>
      </c>
      <c r="F109" t="inlineStr">
        <is>
          <t>VÄSTRA GÖTALANDS LÄN</t>
        </is>
      </c>
      <c r="G109" t="inlineStr">
        <is>
          <t>MARIESTAD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46282</v>
      </c>
      <c r="F110" t="inlineStr">
        <is>
          <t>VÄSTRA GÖTALANDS LÄN</t>
        </is>
      </c>
      <c r="G110" t="inlineStr">
        <is>
          <t>MARIESTAD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46282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46282</v>
      </c>
      <c r="F112" t="inlineStr">
        <is>
          <t>VÄSTRA GÖTALANDS LÄN</t>
        </is>
      </c>
      <c r="G112" t="inlineStr">
        <is>
          <t>MARIESTAD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46282</v>
      </c>
      <c r="F113" t="inlineStr">
        <is>
          <t>VÄSTRA GÖTALANDS LÄN</t>
        </is>
      </c>
      <c r="G113" t="inlineStr">
        <is>
          <t>MARIESTAD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46282</v>
      </c>
      <c r="F114" t="inlineStr">
        <is>
          <t>VÄSTRA GÖTALANDS LÄN</t>
        </is>
      </c>
      <c r="G114" t="inlineStr">
        <is>
          <t>MARIESTAD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46282</v>
      </c>
      <c r="F115" t="inlineStr">
        <is>
          <t>VÄSTRA GÖTALANDS LÄN</t>
        </is>
      </c>
      <c r="G115" t="inlineStr">
        <is>
          <t>MARIESTAD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46282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46282</v>
      </c>
      <c r="F117" t="inlineStr">
        <is>
          <t>VÄSTRA GÖTALANDS LÄN</t>
        </is>
      </c>
      <c r="G117" t="inlineStr">
        <is>
          <t>MARIESTAD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61601-2023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45265</v>
      </c>
      <c r="E118" s="1" t="n">
        <v>46282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46282</v>
      </c>
      <c r="F119" t="inlineStr">
        <is>
          <t>VÄSTRA GÖTALANDS LÄN</t>
        </is>
      </c>
      <c r="G119" t="inlineStr">
        <is>
          <t>MARIESTAD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46282</v>
      </c>
      <c r="F120" t="inlineStr">
        <is>
          <t>VÄSTRA GÖTALANDS LÄN</t>
        </is>
      </c>
      <c r="G120" t="inlineStr">
        <is>
          <t>MARIESTAD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46282</v>
      </c>
      <c r="F121" t="inlineStr">
        <is>
          <t>VÄSTRA GÖTALANDS LÄN</t>
        </is>
      </c>
      <c r="G121" t="inlineStr">
        <is>
          <t>MARIESTAD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46282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46282</v>
      </c>
      <c r="F123" t="inlineStr">
        <is>
          <t>VÄSTRA GÖTALANDS LÄN</t>
        </is>
      </c>
      <c r="G123" t="inlineStr">
        <is>
          <t>MARIESTAD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46282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46282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46282</v>
      </c>
      <c r="F126" t="inlineStr">
        <is>
          <t>VÄSTRA GÖTALANDS LÄN</t>
        </is>
      </c>
      <c r="G126" t="inlineStr">
        <is>
          <t>MARIESTAD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45393</v>
      </c>
      <c r="E127" s="1" t="n">
        <v>46282</v>
      </c>
      <c r="F127" t="inlineStr">
        <is>
          <t>VÄSTRA GÖTALANDS LÄN</t>
        </is>
      </c>
      <c r="G127" t="inlineStr">
        <is>
          <t>MARIESTAD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46282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46282</v>
      </c>
      <c r="F129" t="inlineStr">
        <is>
          <t>VÄSTRA GÖTALANDS LÄN</t>
        </is>
      </c>
      <c r="G129" t="inlineStr">
        <is>
          <t>MARIESTAD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46282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46282</v>
      </c>
      <c r="F131" t="inlineStr">
        <is>
          <t>VÄSTRA GÖTALANDS LÄN</t>
        </is>
      </c>
      <c r="G131" t="inlineStr">
        <is>
          <t>MARIESTAD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46282</v>
      </c>
      <c r="F132" t="inlineStr">
        <is>
          <t>VÄSTRA GÖTALANDS LÄN</t>
        </is>
      </c>
      <c r="G132" t="inlineStr">
        <is>
          <t>MARIESTAD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45199</v>
      </c>
      <c r="E133" s="1" t="n">
        <v>46282</v>
      </c>
      <c r="F133" t="inlineStr">
        <is>
          <t>VÄSTRA GÖTALANDS LÄN</t>
        </is>
      </c>
      <c r="G133" t="inlineStr">
        <is>
          <t>MARIESTAD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46282</v>
      </c>
      <c r="F134" t="inlineStr">
        <is>
          <t>VÄSTRA GÖTALANDS LÄN</t>
        </is>
      </c>
      <c r="G134" t="inlineStr">
        <is>
          <t>MARIESTAD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45873</v>
      </c>
      <c r="E135" s="1" t="n">
        <v>46282</v>
      </c>
      <c r="F135" t="inlineStr">
        <is>
          <t>VÄSTRA GÖTALANDS LÄN</t>
        </is>
      </c>
      <c r="G135" t="inlineStr">
        <is>
          <t>MARIESTAD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46282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46282</v>
      </c>
      <c r="F137" t="inlineStr">
        <is>
          <t>VÄSTRA GÖTALANDS LÄN</t>
        </is>
      </c>
      <c r="G137" t="inlineStr">
        <is>
          <t>MARIESTAD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46282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45201</v>
      </c>
      <c r="E139" s="1" t="n">
        <v>46282</v>
      </c>
      <c r="F139" t="inlineStr">
        <is>
          <t>VÄSTRA GÖTALANDS LÄN</t>
        </is>
      </c>
      <c r="G139" t="inlineStr">
        <is>
          <t>MARIESTAD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46282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46282</v>
      </c>
      <c r="F141" t="inlineStr">
        <is>
          <t>VÄSTRA GÖTALANDS LÄN</t>
        </is>
      </c>
      <c r="G141" t="inlineStr">
        <is>
          <t>MARIESTAD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44774</v>
      </c>
      <c r="E142" s="1" t="n">
        <v>46282</v>
      </c>
      <c r="F142" t="inlineStr">
        <is>
          <t>VÄSTRA GÖTALANDS LÄN</t>
        </is>
      </c>
      <c r="G142" t="inlineStr">
        <is>
          <t>MARIESTAD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46050</v>
      </c>
      <c r="E143" s="1" t="n">
        <v>46282</v>
      </c>
      <c r="F143" t="inlineStr">
        <is>
          <t>VÄSTRA GÖTALANDS LÄN</t>
        </is>
      </c>
      <c r="G143" t="inlineStr">
        <is>
          <t>MARIESTAD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46282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Kyrkan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46282</v>
      </c>
      <c r="F145" t="inlineStr">
        <is>
          <t>VÄSTRA GÖTALANDS LÄN</t>
        </is>
      </c>
      <c r="G145" t="inlineStr">
        <is>
          <t>MARIESTAD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18962-2025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45764</v>
      </c>
      <c r="E146" s="1" t="n">
        <v>46282</v>
      </c>
      <c r="F146" t="inlineStr">
        <is>
          <t>VÄSTRA GÖTALANDS LÄN</t>
        </is>
      </c>
      <c r="G146" t="inlineStr">
        <is>
          <t>MARIESTAD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46282</v>
      </c>
      <c r="F147" t="inlineStr">
        <is>
          <t>VÄSTRA GÖTALANDS LÄN</t>
        </is>
      </c>
      <c r="G147" t="inlineStr">
        <is>
          <t>MARIESTAD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46282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46282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46282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46282</v>
      </c>
      <c r="F151" t="inlineStr">
        <is>
          <t>VÄSTRA GÖTALANDS LÄN</t>
        </is>
      </c>
      <c r="G151" t="inlineStr">
        <is>
          <t>MARIESTAD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46282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46282</v>
      </c>
      <c r="F153" t="inlineStr">
        <is>
          <t>VÄSTRA GÖTALANDS LÄN</t>
        </is>
      </c>
      <c r="G153" t="inlineStr">
        <is>
          <t>MARIESTAD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46282</v>
      </c>
      <c r="F154" t="inlineStr">
        <is>
          <t>VÄSTRA GÖTALANDS LÄN</t>
        </is>
      </c>
      <c r="G154" t="inlineStr">
        <is>
          <t>MARIESTAD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46282</v>
      </c>
      <c r="F155" t="inlineStr">
        <is>
          <t>VÄSTRA GÖTALANDS LÄN</t>
        </is>
      </c>
      <c r="G155" t="inlineStr">
        <is>
          <t>MARIESTAD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46061</v>
      </c>
      <c r="E156" s="1" t="n">
        <v>46282</v>
      </c>
      <c r="F156" t="inlineStr">
        <is>
          <t>VÄSTRA GÖTALANDS LÄN</t>
        </is>
      </c>
      <c r="G156" t="inlineStr">
        <is>
          <t>MARIESTAD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46282</v>
      </c>
      <c r="F157" t="inlineStr">
        <is>
          <t>VÄSTRA GÖTALANDS LÄN</t>
        </is>
      </c>
      <c r="G157" t="inlineStr">
        <is>
          <t>MARIESTAD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44836</v>
      </c>
      <c r="E158" s="1" t="n">
        <v>46282</v>
      </c>
      <c r="F158" t="inlineStr">
        <is>
          <t>VÄSTRA GÖTALANDS LÄN</t>
        </is>
      </c>
      <c r="G158" t="inlineStr">
        <is>
          <t>MARIESTAD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46282</v>
      </c>
      <c r="F159" t="inlineStr">
        <is>
          <t>VÄSTRA GÖTALANDS LÄN</t>
        </is>
      </c>
      <c r="G159" t="inlineStr">
        <is>
          <t>MARIESTAD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46282</v>
      </c>
      <c r="F160" t="inlineStr">
        <is>
          <t>VÄSTRA GÖTALANDS LÄN</t>
        </is>
      </c>
      <c r="G160" t="inlineStr">
        <is>
          <t>MARIESTAD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46282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Övriga Aktiebolag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46282</v>
      </c>
      <c r="F162" t="inlineStr">
        <is>
          <t>VÄSTRA GÖTALANDS LÄN</t>
        </is>
      </c>
      <c r="G162" t="inlineStr">
        <is>
          <t>MARIESTAD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44843</v>
      </c>
      <c r="E163" s="1" t="n">
        <v>46282</v>
      </c>
      <c r="F163" t="inlineStr">
        <is>
          <t>VÄSTRA GÖTALANDS LÄN</t>
        </is>
      </c>
      <c r="G163" t="inlineStr">
        <is>
          <t>MARIESTAD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46282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46282</v>
      </c>
      <c r="F165" t="inlineStr">
        <is>
          <t>VÄSTRA GÖTALANDS LÄN</t>
        </is>
      </c>
      <c r="G165" t="inlineStr">
        <is>
          <t>MARIESTAD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9558-2026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46071</v>
      </c>
      <c r="E166" s="1" t="n">
        <v>46282</v>
      </c>
      <c r="F166" t="inlineStr">
        <is>
          <t>VÄSTRA GÖTALANDS LÄN</t>
        </is>
      </c>
      <c r="G166" t="inlineStr">
        <is>
          <t>MARIESTAD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46282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44638</v>
      </c>
      <c r="E168" s="1" t="n">
        <v>46282</v>
      </c>
      <c r="F168" t="inlineStr">
        <is>
          <t>VÄSTRA GÖTALANDS LÄN</t>
        </is>
      </c>
      <c r="G168" t="inlineStr">
        <is>
          <t>MARIESTAD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46282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46282</v>
      </c>
      <c r="F170" t="inlineStr">
        <is>
          <t>VÄSTRA GÖTALANDS LÄN</t>
        </is>
      </c>
      <c r="G170" t="inlineStr">
        <is>
          <t>MARIESTAD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46282</v>
      </c>
      <c r="F171" t="inlineStr">
        <is>
          <t>VÄSTRA GÖTALANDS LÄN</t>
        </is>
      </c>
      <c r="G171" t="inlineStr">
        <is>
          <t>MARIESTAD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46282</v>
      </c>
      <c r="F172" t="inlineStr">
        <is>
          <t>VÄSTRA GÖTALANDS LÄN</t>
        </is>
      </c>
      <c r="G172" t="inlineStr">
        <is>
          <t>MARIESTAD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46282</v>
      </c>
      <c r="F173" t="inlineStr">
        <is>
          <t>VÄSTRA GÖTALANDS LÄN</t>
        </is>
      </c>
      <c r="G173" t="inlineStr">
        <is>
          <t>MARIESTAD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46282</v>
      </c>
      <c r="F174" t="inlineStr">
        <is>
          <t>VÄSTRA GÖTALANDS LÄN</t>
        </is>
      </c>
      <c r="G174" t="inlineStr">
        <is>
          <t>MARIESTAD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46282</v>
      </c>
      <c r="F175" t="inlineStr">
        <is>
          <t>VÄSTRA GÖTALANDS LÄN</t>
        </is>
      </c>
      <c r="G175" t="inlineStr">
        <is>
          <t>MARIESTAD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44986</v>
      </c>
      <c r="E176" s="1" t="n">
        <v>46282</v>
      </c>
      <c r="F176" t="inlineStr">
        <is>
          <t>VÄSTRA GÖTALANDS LÄN</t>
        </is>
      </c>
      <c r="G176" t="inlineStr">
        <is>
          <t>MARIESTAD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44620</v>
      </c>
      <c r="E177" s="1" t="n">
        <v>46282</v>
      </c>
      <c r="F177" t="inlineStr">
        <is>
          <t>VÄSTRA GÖTALANDS LÄN</t>
        </is>
      </c>
      <c r="G177" t="inlineStr">
        <is>
          <t>MARIESTAD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46282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49389-2023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45211</v>
      </c>
      <c r="E179" s="1" t="n">
        <v>46282</v>
      </c>
      <c r="F179" t="inlineStr">
        <is>
          <t>VÄSTRA GÖTALANDS LÄN</t>
        </is>
      </c>
      <c r="G179" t="inlineStr">
        <is>
          <t>MARIESTAD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46282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46282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46282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46282</v>
      </c>
      <c r="F183" t="inlineStr">
        <is>
          <t>VÄSTRA GÖTALANDS LÄN</t>
        </is>
      </c>
      <c r="G183" t="inlineStr">
        <is>
          <t>MARIESTAD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46282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46282</v>
      </c>
      <c r="F185" t="inlineStr">
        <is>
          <t>VÄSTRA GÖTALANDS LÄN</t>
        </is>
      </c>
      <c r="G185" t="inlineStr">
        <is>
          <t>MARIESTAD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46282</v>
      </c>
      <c r="F186" t="inlineStr">
        <is>
          <t>VÄSTRA GÖTALANDS LÄN</t>
        </is>
      </c>
      <c r="G186" t="inlineStr">
        <is>
          <t>MARIESTAD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46282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33571-2023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45131</v>
      </c>
      <c r="E188" s="1" t="n">
        <v>46282</v>
      </c>
      <c r="F188" t="inlineStr">
        <is>
          <t>VÄSTRA GÖTALANDS LÄN</t>
        </is>
      </c>
      <c r="G188" t="inlineStr">
        <is>
          <t>MARIESTAD</t>
        </is>
      </c>
      <c r="I188" t="n">
        <v>16.1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46282</v>
      </c>
      <c r="F189" t="inlineStr">
        <is>
          <t>VÄSTRA GÖTALANDS LÄN</t>
        </is>
      </c>
      <c r="G189" t="inlineStr">
        <is>
          <t>MARIESTAD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46282</v>
      </c>
      <c r="F190" t="inlineStr">
        <is>
          <t>VÄSTRA GÖTALANDS LÄN</t>
        </is>
      </c>
      <c r="G190" t="inlineStr">
        <is>
          <t>MARIESTAD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45033</v>
      </c>
      <c r="E191" s="1" t="n">
        <v>46282</v>
      </c>
      <c r="F191" t="inlineStr">
        <is>
          <t>VÄSTRA GÖTALANDS LÄN</t>
        </is>
      </c>
      <c r="G191" t="inlineStr">
        <is>
          <t>MARIESTAD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46282</v>
      </c>
      <c r="F192" t="inlineStr">
        <is>
          <t>VÄSTRA GÖTALANDS LÄN</t>
        </is>
      </c>
      <c r="G192" t="inlineStr">
        <is>
          <t>MARIESTAD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46282</v>
      </c>
      <c r="F193" t="inlineStr">
        <is>
          <t>VÄSTRA GÖTALANDS LÄN</t>
        </is>
      </c>
      <c r="G193" t="inlineStr">
        <is>
          <t>MARIESTAD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46282</v>
      </c>
      <c r="F194" t="inlineStr">
        <is>
          <t>VÄSTRA GÖTALANDS LÄN</t>
        </is>
      </c>
      <c r="G194" t="inlineStr">
        <is>
          <t>MARIESTAD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46282</v>
      </c>
      <c r="F195" t="inlineStr">
        <is>
          <t>VÄSTRA GÖTALANDS LÄN</t>
        </is>
      </c>
      <c r="G195" t="inlineStr">
        <is>
          <t>MARIESTAD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46282</v>
      </c>
      <c r="F196" t="inlineStr">
        <is>
          <t>VÄSTRA GÖTALANDS LÄN</t>
        </is>
      </c>
      <c r="G196" t="inlineStr">
        <is>
          <t>MARIESTAD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46282</v>
      </c>
      <c r="F197" t="inlineStr">
        <is>
          <t>VÄSTRA GÖTALANDS LÄN</t>
        </is>
      </c>
      <c r="G197" t="inlineStr">
        <is>
          <t>MARIESTAD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44943</v>
      </c>
      <c r="E198" s="1" t="n">
        <v>46282</v>
      </c>
      <c r="F198" t="inlineStr">
        <is>
          <t>VÄSTRA GÖTALANDS LÄN</t>
        </is>
      </c>
      <c r="G198" t="inlineStr">
        <is>
          <t>MARIESTAD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45135</v>
      </c>
      <c r="E199" s="1" t="n">
        <v>46282</v>
      </c>
      <c r="F199" t="inlineStr">
        <is>
          <t>VÄSTRA GÖTALANDS LÄN</t>
        </is>
      </c>
      <c r="G199" t="inlineStr">
        <is>
          <t>MARIESTAD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44935</v>
      </c>
      <c r="E200" s="1" t="n">
        <v>46282</v>
      </c>
      <c r="F200" t="inlineStr">
        <is>
          <t>VÄSTRA GÖTALANDS LÄN</t>
        </is>
      </c>
      <c r="G200" t="inlineStr">
        <is>
          <t>MARIESTAD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12767-2024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46282</v>
      </c>
      <c r="F201" t="inlineStr">
        <is>
          <t>VÄSTRA GÖTALANDS LÄN</t>
        </is>
      </c>
      <c r="G201" t="inlineStr">
        <is>
          <t>MARIESTAD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46282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13655-2023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46282</v>
      </c>
      <c r="F203" t="inlineStr">
        <is>
          <t>VÄSTRA GÖTALANDS LÄN</t>
        </is>
      </c>
      <c r="G203" t="inlineStr">
        <is>
          <t>MARIESTAD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46282</v>
      </c>
      <c r="F204" t="inlineStr">
        <is>
          <t>VÄSTRA GÖTALANDS LÄN</t>
        </is>
      </c>
      <c r="G204" t="inlineStr">
        <is>
          <t>MARIESTAD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46282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45329</v>
      </c>
      <c r="E206" s="1" t="n">
        <v>46282</v>
      </c>
      <c r="F206" t="inlineStr">
        <is>
          <t>VÄSTRA GÖTALANDS LÄN</t>
        </is>
      </c>
      <c r="G206" t="inlineStr">
        <is>
          <t>MARIESTAD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26688-2022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44739</v>
      </c>
      <c r="E207" s="1" t="n">
        <v>46282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46282</v>
      </c>
      <c r="F208" t="inlineStr">
        <is>
          <t>VÄSTRA GÖTALANDS LÄN</t>
        </is>
      </c>
      <c r="G208" t="inlineStr">
        <is>
          <t>MARIESTAD</t>
        </is>
      </c>
      <c r="I208" t="n">
        <v>10.7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46282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46282</v>
      </c>
      <c r="F210" t="inlineStr">
        <is>
          <t>VÄSTRA GÖTALANDS LÄN</t>
        </is>
      </c>
      <c r="G210" t="inlineStr">
        <is>
          <t>MARIESTAD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46282</v>
      </c>
      <c r="F211" t="inlineStr">
        <is>
          <t>VÄSTRA GÖTALANDS LÄN</t>
        </is>
      </c>
      <c r="G211" t="inlineStr">
        <is>
          <t>MARIESTAD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46282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36399-2024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45535</v>
      </c>
      <c r="E213" s="1" t="n">
        <v>46282</v>
      </c>
      <c r="F213" t="inlineStr">
        <is>
          <t>VÄSTRA GÖTALANDS LÄN</t>
        </is>
      </c>
      <c r="G213" t="inlineStr">
        <is>
          <t>MARIESTAD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46282</v>
      </c>
      <c r="F214" t="inlineStr">
        <is>
          <t>VÄSTRA GÖTALANDS LÄN</t>
        </is>
      </c>
      <c r="G214" t="inlineStr">
        <is>
          <t>MARIESTAD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40455-2023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45170</v>
      </c>
      <c r="E215" s="1" t="n">
        <v>46282</v>
      </c>
      <c r="F215" t="inlineStr">
        <is>
          <t>VÄSTRA GÖTALANDS LÄN</t>
        </is>
      </c>
      <c r="G215" t="inlineStr">
        <is>
          <t>MARIESTAD</t>
        </is>
      </c>
      <c r="I215" t="n">
        <v>34.9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46282</v>
      </c>
      <c r="F216" t="inlineStr">
        <is>
          <t>VÄSTRA GÖTALANDS LÄN</t>
        </is>
      </c>
      <c r="G216" t="inlineStr">
        <is>
          <t>MARIESTAD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46282</v>
      </c>
      <c r="F217" t="inlineStr">
        <is>
          <t>VÄSTRA GÖTALANDS LÄN</t>
        </is>
      </c>
      <c r="G217" t="inlineStr">
        <is>
          <t>MARIESTAD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46282</v>
      </c>
      <c r="F218" t="inlineStr">
        <is>
          <t>VÄSTRA GÖTALANDS LÄN</t>
        </is>
      </c>
      <c r="G218" t="inlineStr">
        <is>
          <t>MARIESTAD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46282</v>
      </c>
      <c r="F219" t="inlineStr">
        <is>
          <t>VÄSTRA GÖTALANDS LÄN</t>
        </is>
      </c>
      <c r="G219" t="inlineStr">
        <is>
          <t>MARIESTAD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45268</v>
      </c>
      <c r="E220" s="1" t="n">
        <v>46282</v>
      </c>
      <c r="F220" t="inlineStr">
        <is>
          <t>VÄSTRA GÖTALANDS LÄN</t>
        </is>
      </c>
      <c r="G220" t="inlineStr">
        <is>
          <t>MARIESTAD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46282</v>
      </c>
      <c r="F221" t="inlineStr">
        <is>
          <t>VÄSTRA GÖTALANDS LÄN</t>
        </is>
      </c>
      <c r="G221" t="inlineStr">
        <is>
          <t>MARIESTAD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39766-2023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45167</v>
      </c>
      <c r="E222" s="1" t="n">
        <v>46282</v>
      </c>
      <c r="F222" t="inlineStr">
        <is>
          <t>VÄSTRA GÖTALANDS LÄN</t>
        </is>
      </c>
      <c r="G222" t="inlineStr">
        <is>
          <t>MARIESTAD</t>
        </is>
      </c>
      <c r="I222" t="n">
        <v>26.5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44572</v>
      </c>
      <c r="E223" s="1" t="n">
        <v>46282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44903</v>
      </c>
      <c r="E224" s="1" t="n">
        <v>46282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46282</v>
      </c>
      <c r="F225" t="inlineStr">
        <is>
          <t>VÄSTRA GÖTALANDS LÄN</t>
        </is>
      </c>
      <c r="G225" t="inlineStr">
        <is>
          <t>MARIESTAD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46282</v>
      </c>
      <c r="F226" t="inlineStr">
        <is>
          <t>VÄSTRA GÖTALANDS LÄN</t>
        </is>
      </c>
      <c r="G226" t="inlineStr">
        <is>
          <t>MARIESTAD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46282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46282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50579-2023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45217</v>
      </c>
      <c r="E229" s="1" t="n">
        <v>46282</v>
      </c>
      <c r="F229" t="inlineStr">
        <is>
          <t>VÄSTRA GÖTALANDS LÄN</t>
        </is>
      </c>
      <c r="G229" t="inlineStr">
        <is>
          <t>MARIESTAD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46282</v>
      </c>
      <c r="F230" t="inlineStr">
        <is>
          <t>VÄSTRA GÖTALANDS LÄN</t>
        </is>
      </c>
      <c r="G230" t="inlineStr">
        <is>
          <t>MARIESTAD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46282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46282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46282</v>
      </c>
      <c r="F233" t="inlineStr">
        <is>
          <t>VÄSTRA GÖTALANDS LÄN</t>
        </is>
      </c>
      <c r="G233" t="inlineStr">
        <is>
          <t>MARIESTAD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46282</v>
      </c>
      <c r="F234" t="inlineStr">
        <is>
          <t>VÄSTRA GÖTALANDS LÄN</t>
        </is>
      </c>
      <c r="G234" t="inlineStr">
        <is>
          <t>MARIESTAD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46282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Kyrkan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44900</v>
      </c>
      <c r="E236" s="1" t="n">
        <v>46282</v>
      </c>
      <c r="F236" t="inlineStr">
        <is>
          <t>VÄSTRA GÖTALANDS LÄN</t>
        </is>
      </c>
      <c r="G236" t="inlineStr">
        <is>
          <t>MARIESTAD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46282</v>
      </c>
      <c r="F237" t="inlineStr">
        <is>
          <t>VÄSTRA GÖTALANDS LÄN</t>
        </is>
      </c>
      <c r="G237" t="inlineStr">
        <is>
          <t>MARIESTAD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46282</v>
      </c>
      <c r="F238" t="inlineStr">
        <is>
          <t>VÄSTRA GÖTALANDS LÄN</t>
        </is>
      </c>
      <c r="G238" t="inlineStr">
        <is>
          <t>MARIESTAD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46282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10192-2022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44622</v>
      </c>
      <c r="E240" s="1" t="n">
        <v>46282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46282</v>
      </c>
      <c r="F241" t="inlineStr">
        <is>
          <t>VÄSTRA GÖTALANDS LÄN</t>
        </is>
      </c>
      <c r="G241" t="inlineStr">
        <is>
          <t>MARIESTAD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46282</v>
      </c>
      <c r="F242" t="inlineStr">
        <is>
          <t>VÄSTRA GÖTALANDS LÄN</t>
        </is>
      </c>
      <c r="G242" t="inlineStr">
        <is>
          <t>MARIESTAD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46282</v>
      </c>
      <c r="F243" t="inlineStr">
        <is>
          <t>VÄSTRA GÖTALANDS LÄN</t>
        </is>
      </c>
      <c r="G243" t="inlineStr">
        <is>
          <t>MARIESTAD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46282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46282</v>
      </c>
      <c r="F245" t="inlineStr">
        <is>
          <t>VÄSTRA GÖTALANDS LÄN</t>
        </is>
      </c>
      <c r="G245" t="inlineStr">
        <is>
          <t>MARIESTAD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46282</v>
      </c>
      <c r="F246" t="inlineStr">
        <is>
          <t>VÄSTRA GÖTALANDS LÄN</t>
        </is>
      </c>
      <c r="G246" t="inlineStr">
        <is>
          <t>MARIESTAD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21361-2026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46142</v>
      </c>
      <c r="E247" s="1" t="n">
        <v>46282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45350</v>
      </c>
      <c r="E248" s="1" t="n">
        <v>46282</v>
      </c>
      <c r="F248" t="inlineStr">
        <is>
          <t>VÄSTRA GÖTALANDS LÄN</t>
        </is>
      </c>
      <c r="G248" t="inlineStr">
        <is>
          <t>MARIESTAD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46282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46282</v>
      </c>
      <c r="F250" t="inlineStr">
        <is>
          <t>VÄSTRA GÖTALANDS LÄN</t>
        </is>
      </c>
      <c r="G250" t="inlineStr">
        <is>
          <t>MARIESTAD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46282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46282</v>
      </c>
      <c r="F252" t="inlineStr">
        <is>
          <t>VÄSTRA GÖTALANDS LÄN</t>
        </is>
      </c>
      <c r="G252" t="inlineStr">
        <is>
          <t>MARIESTAD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46282</v>
      </c>
      <c r="F253" t="inlineStr">
        <is>
          <t>VÄSTRA GÖTALANDS LÄN</t>
        </is>
      </c>
      <c r="G253" t="inlineStr">
        <is>
          <t>MARIESTAD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46282</v>
      </c>
      <c r="F254" t="inlineStr">
        <is>
          <t>VÄSTRA GÖTALANDS LÄN</t>
        </is>
      </c>
      <c r="G254" t="inlineStr">
        <is>
          <t>MARIESTAD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46282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46282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46282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46171</v>
      </c>
      <c r="E258" s="1" t="n">
        <v>46282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46282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46282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46282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46282</v>
      </c>
      <c r="F262" t="inlineStr">
        <is>
          <t>VÄSTRA GÖTALANDS LÄN</t>
        </is>
      </c>
      <c r="G262" t="inlineStr">
        <is>
          <t>MARIESTAD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44973</v>
      </c>
      <c r="E263" s="1" t="n">
        <v>46282</v>
      </c>
      <c r="F263" t="inlineStr">
        <is>
          <t>VÄSTRA GÖTALANDS LÄN</t>
        </is>
      </c>
      <c r="G263" t="inlineStr">
        <is>
          <t>MARIESTAD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44614</v>
      </c>
      <c r="E264" s="1" t="n">
        <v>46282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Kyrkan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46282</v>
      </c>
      <c r="F265" t="inlineStr">
        <is>
          <t>VÄSTRA GÖTALANDS LÄN</t>
        </is>
      </c>
      <c r="G265" t="inlineStr">
        <is>
          <t>MARIESTAD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45583</v>
      </c>
      <c r="E266" s="1" t="n">
        <v>46282</v>
      </c>
      <c r="F266" t="inlineStr">
        <is>
          <t>VÄSTRA GÖTALANDS LÄN</t>
        </is>
      </c>
      <c r="G266" t="inlineStr">
        <is>
          <t>MARIESTAD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46282</v>
      </c>
      <c r="F267" t="inlineStr">
        <is>
          <t>VÄSTRA GÖTALANDS LÄN</t>
        </is>
      </c>
      <c r="G267" t="inlineStr">
        <is>
          <t>MARIESTAD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46282</v>
      </c>
      <c r="F268" t="inlineStr">
        <is>
          <t>VÄSTRA GÖTALANDS LÄN</t>
        </is>
      </c>
      <c r="G268" t="inlineStr">
        <is>
          <t>MARIESTAD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46282</v>
      </c>
      <c r="F269" t="inlineStr">
        <is>
          <t>VÄSTRA GÖTALANDS LÄN</t>
        </is>
      </c>
      <c r="G269" t="inlineStr">
        <is>
          <t>MARIESTAD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46282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46282</v>
      </c>
      <c r="F271" t="inlineStr">
        <is>
          <t>VÄSTRA GÖTALANDS LÄN</t>
        </is>
      </c>
      <c r="G271" t="inlineStr">
        <is>
          <t>MARIESTAD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46282</v>
      </c>
      <c r="F272" t="inlineStr">
        <is>
          <t>VÄSTRA GÖTALANDS LÄN</t>
        </is>
      </c>
      <c r="G272" t="inlineStr">
        <is>
          <t>MARIESTAD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26912-2026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46185</v>
      </c>
      <c r="E273" s="1" t="n">
        <v>46282</v>
      </c>
      <c r="F273" t="inlineStr">
        <is>
          <t>VÄSTRA GÖTALANDS LÄN</t>
        </is>
      </c>
      <c r="G273" t="inlineStr">
        <is>
          <t>MARIESTAD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46282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46282</v>
      </c>
      <c r="F275" t="inlineStr">
        <is>
          <t>VÄSTRA GÖTALANDS LÄN</t>
        </is>
      </c>
      <c r="G275" t="inlineStr">
        <is>
          <t>MARIESTAD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46282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45200</v>
      </c>
      <c r="E277" s="1" t="n">
        <v>46282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45590</v>
      </c>
      <c r="E278" s="1" t="n">
        <v>46282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46282</v>
      </c>
      <c r="F279" t="inlineStr">
        <is>
          <t>VÄSTRA GÖTALANDS LÄN</t>
        </is>
      </c>
      <c r="G279" t="inlineStr">
        <is>
          <t>MARIESTAD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46282</v>
      </c>
      <c r="F280" t="inlineStr">
        <is>
          <t>VÄSTRA GÖTALANDS LÄN</t>
        </is>
      </c>
      <c r="G280" t="inlineStr">
        <is>
          <t>MARIESTAD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46282</v>
      </c>
      <c r="F281" t="inlineStr">
        <is>
          <t>VÄSTRA GÖTALANDS LÄN</t>
        </is>
      </c>
      <c r="G281" t="inlineStr">
        <is>
          <t>MARIESTAD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58598-2021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44489</v>
      </c>
      <c r="E282" s="1" t="n">
        <v>46282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65197-2023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45289</v>
      </c>
      <c r="E283" s="1" t="n">
        <v>46282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45548</v>
      </c>
      <c r="E284" s="1" t="n">
        <v>46282</v>
      </c>
      <c r="F284" t="inlineStr">
        <is>
          <t>VÄSTRA GÖTALANDS LÄN</t>
        </is>
      </c>
      <c r="G284" t="inlineStr">
        <is>
          <t>MARIESTAD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46205</v>
      </c>
      <c r="E285" s="1" t="n">
        <v>46282</v>
      </c>
      <c r="F285" t="inlineStr">
        <is>
          <t>VÄSTRA GÖTALANDS LÄN</t>
        </is>
      </c>
      <c r="G285" t="inlineStr">
        <is>
          <t>MARIESTAD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46199</v>
      </c>
      <c r="E286" s="1" t="n">
        <v>46282</v>
      </c>
      <c r="F286" t="inlineStr">
        <is>
          <t>VÄSTRA GÖTALANDS LÄN</t>
        </is>
      </c>
      <c r="G286" t="inlineStr">
        <is>
          <t>MARIESTAD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46282</v>
      </c>
      <c r="F287" t="inlineStr">
        <is>
          <t>VÄSTRA GÖTALANDS LÄN</t>
        </is>
      </c>
      <c r="G287" t="inlineStr">
        <is>
          <t>MARIESTAD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46282</v>
      </c>
      <c r="F288" t="inlineStr">
        <is>
          <t>VÄSTRA GÖTALANDS LÄN</t>
        </is>
      </c>
      <c r="G288" t="inlineStr">
        <is>
          <t>MARIESTAD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44881</v>
      </c>
      <c r="E289" s="1" t="n">
        <v>46282</v>
      </c>
      <c r="F289" t="inlineStr">
        <is>
          <t>VÄSTRA GÖTALANDS LÄN</t>
        </is>
      </c>
      <c r="G289" t="inlineStr">
        <is>
          <t>MARIESTAD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46282</v>
      </c>
      <c r="F290" t="inlineStr">
        <is>
          <t>VÄSTRA GÖTALANDS LÄN</t>
        </is>
      </c>
      <c r="G290" t="inlineStr">
        <is>
          <t>MARIESTAD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46282</v>
      </c>
      <c r="F291" t="inlineStr">
        <is>
          <t>VÄSTRA GÖTALANDS LÄN</t>
        </is>
      </c>
      <c r="G291" t="inlineStr">
        <is>
          <t>MARIESTAD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30192-2026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46282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45460</v>
      </c>
      <c r="E293" s="1" t="n">
        <v>46282</v>
      </c>
      <c r="F293" t="inlineStr">
        <is>
          <t>VÄSTRA GÖTALANDS LÄN</t>
        </is>
      </c>
      <c r="G293" t="inlineStr">
        <is>
          <t>MARIESTAD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46282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46282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74081-2021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46282</v>
      </c>
      <c r="F296" t="inlineStr">
        <is>
          <t>VÄSTRA GÖTALANDS LÄN</t>
        </is>
      </c>
      <c r="G296" t="inlineStr">
        <is>
          <t>MARIESTAD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45590</v>
      </c>
      <c r="E297" s="1" t="n">
        <v>46282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13798-2022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46282</v>
      </c>
      <c r="F298" t="inlineStr">
        <is>
          <t>VÄSTRA GÖTALANDS LÄN</t>
        </is>
      </c>
      <c r="G298" t="inlineStr">
        <is>
          <t>MARIESTAD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44617</v>
      </c>
      <c r="E299" s="1" t="n">
        <v>46282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Kyrkan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46282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46282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45722</v>
      </c>
      <c r="E302" s="1" t="n">
        <v>46282</v>
      </c>
      <c r="F302" t="inlineStr">
        <is>
          <t>VÄSTRA GÖTALANDS LÄN</t>
        </is>
      </c>
      <c r="G302" t="inlineStr">
        <is>
          <t>MARIESTAD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46282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46261</v>
      </c>
      <c r="E304" s="1" t="n">
        <v>46282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46261</v>
      </c>
      <c r="E305" s="1" t="n">
        <v>46282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46282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46262</v>
      </c>
      <c r="E307" s="1" t="n">
        <v>46282</v>
      </c>
      <c r="F307" t="inlineStr">
        <is>
          <t>VÄSTRA GÖTALANDS LÄN</t>
        </is>
      </c>
      <c r="G307" t="inlineStr">
        <is>
          <t>MARIESTAD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45070</v>
      </c>
      <c r="E308" s="1" t="n">
        <v>46282</v>
      </c>
      <c r="F308" t="inlineStr">
        <is>
          <t>VÄSTRA GÖTALANDS LÄN</t>
        </is>
      </c>
      <c r="G308" t="inlineStr">
        <is>
          <t>MARIESTAD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45751</v>
      </c>
      <c r="E309" s="1" t="n">
        <v>46282</v>
      </c>
      <c r="F309" t="inlineStr">
        <is>
          <t>VÄSTRA GÖTALANDS LÄN</t>
        </is>
      </c>
      <c r="G309" t="inlineStr">
        <is>
          <t>MARIESTAD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46262</v>
      </c>
      <c r="E310" s="1" t="n">
        <v>46282</v>
      </c>
      <c r="F310" t="inlineStr">
        <is>
          <t>VÄSTRA GÖTALANDS LÄN</t>
        </is>
      </c>
      <c r="G310" t="inlineStr">
        <is>
          <t>MARIESTAD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12361-2023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46282</v>
      </c>
      <c r="F311" t="inlineStr">
        <is>
          <t>VÄSTRA GÖTALANDS LÄN</t>
        </is>
      </c>
      <c r="G311" t="inlineStr">
        <is>
          <t>MARIESTAD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46875-2023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45200</v>
      </c>
      <c r="E312" s="1" t="n">
        <v>46282</v>
      </c>
      <c r="F312" t="inlineStr">
        <is>
          <t>VÄSTRA GÖTALANDS LÄN</t>
        </is>
      </c>
      <c r="G312" t="inlineStr">
        <is>
          <t>MARIESTAD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45528</v>
      </c>
      <c r="E313" s="1" t="n">
        <v>46282</v>
      </c>
      <c r="F313" t="inlineStr">
        <is>
          <t>VÄSTRA GÖTALANDS LÄN</t>
        </is>
      </c>
      <c r="G313" t="inlineStr">
        <is>
          <t>MARIESTAD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49166-2023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46282</v>
      </c>
      <c r="F314" t="inlineStr">
        <is>
          <t>VÄSTRA GÖTALANDS LÄN</t>
        </is>
      </c>
      <c r="G314" t="inlineStr">
        <is>
          <t>MARIESTAD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44848</v>
      </c>
      <c r="E315" s="1" t="n">
        <v>46282</v>
      </c>
      <c r="F315" t="inlineStr">
        <is>
          <t>VÄSTRA GÖTALANDS LÄN</t>
        </is>
      </c>
      <c r="G315" t="inlineStr">
        <is>
          <t>MARIESTAD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60812-2023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45260</v>
      </c>
      <c r="E316" s="1" t="n">
        <v>46282</v>
      </c>
      <c r="F316" t="inlineStr">
        <is>
          <t>VÄSTRA GÖTALANDS LÄN</t>
        </is>
      </c>
      <c r="G316" t="inlineStr">
        <is>
          <t>MARIESTAD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45393</v>
      </c>
      <c r="E317" s="1" t="n">
        <v>46282</v>
      </c>
      <c r="F317" t="inlineStr">
        <is>
          <t>VÄSTRA GÖTALANDS LÄN</t>
        </is>
      </c>
      <c r="G317" t="inlineStr">
        <is>
          <t>MARIESTAD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45516</v>
      </c>
      <c r="E318" s="1" t="n">
        <v>46282</v>
      </c>
      <c r="F318" t="inlineStr">
        <is>
          <t>VÄSTRA GÖTALANDS LÄN</t>
        </is>
      </c>
      <c r="G318" t="inlineStr">
        <is>
          <t>MARIESTAD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28162-2022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44746</v>
      </c>
      <c r="E319" s="1" t="n">
        <v>46282</v>
      </c>
      <c r="F319" t="inlineStr">
        <is>
          <t>VÄSTRA GÖTALANDS LÄN</t>
        </is>
      </c>
      <c r="G319" t="inlineStr">
        <is>
          <t>MARIESTAD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46282</v>
      </c>
      <c r="F320" t="inlineStr">
        <is>
          <t>VÄSTRA GÖTALANDS LÄN</t>
        </is>
      </c>
      <c r="G320" t="inlineStr">
        <is>
          <t>MARIESTAD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45674</v>
      </c>
      <c r="E321" s="1" t="n">
        <v>46282</v>
      </c>
      <c r="F321" t="inlineStr">
        <is>
          <t>VÄSTRA GÖTALANDS LÄN</t>
        </is>
      </c>
      <c r="G321" t="inlineStr">
        <is>
          <t>MARIESTAD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61716-2022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44917</v>
      </c>
      <c r="E322" s="1" t="n">
        <v>46282</v>
      </c>
      <c r="F322" t="inlineStr">
        <is>
          <t>VÄSTRA GÖTALANDS LÄN</t>
        </is>
      </c>
      <c r="G322" t="inlineStr">
        <is>
          <t>MARIESTAD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45691</v>
      </c>
      <c r="E323" s="1" t="n">
        <v>46282</v>
      </c>
      <c r="F323" t="inlineStr">
        <is>
          <t>VÄSTRA GÖTALANDS LÄN</t>
        </is>
      </c>
      <c r="G323" t="inlineStr">
        <is>
          <t>MARIESTAD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61603-2023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45265</v>
      </c>
      <c r="E324" s="1" t="n">
        <v>46282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49582-2023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46282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45720</v>
      </c>
      <c r="E326" s="1" t="n">
        <v>46282</v>
      </c>
      <c r="F326" t="inlineStr">
        <is>
          <t>VÄSTRA GÖTALANDS LÄN</t>
        </is>
      </c>
      <c r="G326" t="inlineStr">
        <is>
          <t>MARIESTAD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46282</v>
      </c>
      <c r="F327" t="inlineStr">
        <is>
          <t>VÄSTRA GÖTALANDS LÄN</t>
        </is>
      </c>
      <c r="G327" t="inlineStr">
        <is>
          <t>MARIESTAD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46282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45684</v>
      </c>
      <c r="E329" s="1" t="n">
        <v>46282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Kyrkan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45307</v>
      </c>
      <c r="E330" s="1" t="n">
        <v>46282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32796-2024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46282</v>
      </c>
      <c r="F331" t="inlineStr">
        <is>
          <t>VÄSTRA GÖTALANDS LÄN</t>
        </is>
      </c>
      <c r="G331" t="inlineStr">
        <is>
          <t>MARIESTAD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45590</v>
      </c>
      <c r="E332" s="1" t="n">
        <v>46282</v>
      </c>
      <c r="F332" t="inlineStr">
        <is>
          <t>VÄSTRA GÖTALANDS LÄN</t>
        </is>
      </c>
      <c r="G332" t="inlineStr">
        <is>
          <t>MARIESTAD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46282</v>
      </c>
      <c r="F333" t="inlineStr">
        <is>
          <t>VÄSTRA GÖTALANDS LÄN</t>
        </is>
      </c>
      <c r="G333" t="inlineStr">
        <is>
          <t>MARIESTAD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66772-2021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44521</v>
      </c>
      <c r="E334" s="1" t="n">
        <v>46282</v>
      </c>
      <c r="F334" t="inlineStr">
        <is>
          <t>VÄSTRA GÖTALANDS LÄN</t>
        </is>
      </c>
      <c r="G334" t="inlineStr">
        <is>
          <t>MARIESTAD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45705</v>
      </c>
      <c r="E335" s="1" t="n">
        <v>46282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46282</v>
      </c>
      <c r="F336" t="inlineStr">
        <is>
          <t>VÄSTRA GÖTALANDS LÄN</t>
        </is>
      </c>
      <c r="G336" t="inlineStr">
        <is>
          <t>MARIESTAD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49385-2023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45211</v>
      </c>
      <c r="E337" s="1" t="n">
        <v>46282</v>
      </c>
      <c r="F337" t="inlineStr">
        <is>
          <t>VÄSTRA GÖTALANDS LÄN</t>
        </is>
      </c>
      <c r="G337" t="inlineStr">
        <is>
          <t>MARIESTAD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45728</v>
      </c>
      <c r="E338" s="1" t="n">
        <v>46282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46282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46282</v>
      </c>
      <c r="F340" t="inlineStr">
        <is>
          <t>VÄSTRA GÖTALANDS LÄN</t>
        </is>
      </c>
      <c r="G340" t="inlineStr">
        <is>
          <t>MARIESTAD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46282</v>
      </c>
      <c r="F341" t="inlineStr">
        <is>
          <t>VÄSTRA GÖTALANDS LÄN</t>
        </is>
      </c>
      <c r="G341" t="inlineStr">
        <is>
          <t>MARIESTAD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46282</v>
      </c>
      <c r="F342" t="inlineStr">
        <is>
          <t>VÄSTRA GÖTALANDS LÄN</t>
        </is>
      </c>
      <c r="G342" t="inlineStr">
        <is>
          <t>MARIESTAD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46282</v>
      </c>
      <c r="F343" t="inlineStr">
        <is>
          <t>VÄSTRA GÖTALANDS LÄN</t>
        </is>
      </c>
      <c r="G343" t="inlineStr">
        <is>
          <t>MARIESTAD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52869-2024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45610</v>
      </c>
      <c r="E344" s="1" t="n">
        <v>46282</v>
      </c>
      <c r="F344" t="inlineStr">
        <is>
          <t>VÄSTRA GÖTALANDS LÄN</t>
        </is>
      </c>
      <c r="G344" t="inlineStr">
        <is>
          <t>MARIESTAD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46282</v>
      </c>
      <c r="F345" t="inlineStr">
        <is>
          <t>VÄSTRA GÖTALANDS LÄN</t>
        </is>
      </c>
      <c r="G345" t="inlineStr">
        <is>
          <t>MARIESTAD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4868-2024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45618</v>
      </c>
      <c r="E346" s="1" t="n">
        <v>46282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1204-2025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45757</v>
      </c>
      <c r="E347" s="1" t="n">
        <v>46282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359-2026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46064</v>
      </c>
      <c r="E348" s="1" t="n">
        <v>46282</v>
      </c>
      <c r="F348" t="inlineStr">
        <is>
          <t>VÄSTRA GÖTALANDS LÄN</t>
        </is>
      </c>
      <c r="G348" t="inlineStr">
        <is>
          <t>MARIESTAD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2026-09-17T01:58:18Z</dcterms:created>
  <dcterms:modified xmlns:dcterms="http://purl.org/dc/terms/" xmlns:xsi="http://www.w3.org/2001/XMLSchema-instance" xsi:type="dcterms:W3CDTF">2026-09-17T01:58:18Z</dcterms:modified>
</cp:coreProperties>
</file>