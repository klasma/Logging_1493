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46291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46291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46291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46291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46291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46291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46291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21503-2024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45441</v>
      </c>
      <c r="E12" s="1" t="n">
        <v>46291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Kommuner</t>
        </is>
      </c>
      <c r="I12" t="n">
        <v>3.3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Krusfrö
Svinrot</t>
        </is>
      </c>
      <c r="W12">
        <f>HYPERLINK("https://klasma.github.io/Logging_1493/artfynd/A 21503-2024 artfynd.xlsx", "A 21503-2024")</f>
        <v/>
      </c>
      <c r="X12">
        <f>HYPERLINK("https://klasma.github.io/Logging_1493/kartor/A 21503-2024 karta.png", "A 21503-2024")</f>
        <v/>
      </c>
      <c r="Y12">
        <f>HYPERLINK("https://klasma.github.io/Logging_1493/kartor_geotiff/A 21503-2024 georefererad karta.tif", "A 21503-2024")</f>
        <v/>
      </c>
      <c r="AA12">
        <f>HYPERLINK("https://klasma.github.io/Logging_1493/klagomål/A 21503-2024 FSC-klagomål.docx", "A 21503-2024")</f>
        <v/>
      </c>
      <c r="AB12">
        <f>HYPERLINK("https://klasma.github.io/Logging_1493/klagomålsmail/A 21503-2024 FSC-klagomål mail.docx", "A 21503-2024")</f>
        <v/>
      </c>
      <c r="AC12">
        <f>HYPERLINK("https://klasma.github.io/Logging_1493/tillsyn/A 21503-2024 tillsynsbegäran.docx", "A 21503-2024")</f>
        <v/>
      </c>
      <c r="AD12">
        <f>HYPERLINK("https://klasma.github.io/Logging_1493/tillsynsmail/A 21503-2024 tillsynsbegäran mail.docx", "A 21503-2024")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46291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46291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46291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46291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46291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46291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46291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46291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27444-2023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45097</v>
      </c>
      <c r="E21" s="1" t="n">
        <v>46291</v>
      </c>
      <c r="F21" t="inlineStr">
        <is>
          <t>VÄSTRA GÖTALANDS LÄN</t>
        </is>
      </c>
      <c r="G21" t="inlineStr">
        <is>
          <t>MARIESTAD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Svinrot
Gullviva</t>
        </is>
      </c>
      <c r="W21">
        <f>HYPERLINK("https://klasma.github.io/Logging_1493/artfynd/A 27444-2023 artfynd.xlsx", "A 27444-2023")</f>
        <v/>
      </c>
      <c r="X21">
        <f>HYPERLINK("https://klasma.github.io/Logging_1493/kartor/A 27444-2023 karta.png", "A 27444-2023")</f>
        <v/>
      </c>
      <c r="Y21">
        <f>HYPERLINK("https://klasma.github.io/Logging_1493/kartor_geotiff/A 27444-2023 georefererad karta.tif", "A 27444-2023")</f>
        <v/>
      </c>
      <c r="AA21">
        <f>HYPERLINK("https://klasma.github.io/Logging_1493/klagomål/A 27444-2023 FSC-klagomål.docx", "A 27444-2023")</f>
        <v/>
      </c>
      <c r="AB21">
        <f>HYPERLINK("https://klasma.github.io/Logging_1493/klagomålsmail/A 27444-2023 FSC-klagomål mail.docx", "A 27444-2023")</f>
        <v/>
      </c>
      <c r="AC21">
        <f>HYPERLINK("https://klasma.github.io/Logging_1493/tillsyn/A 27444-2023 tillsynsbegäran.docx", "A 27444-2023")</f>
        <v/>
      </c>
      <c r="AD21">
        <f>HYPERLINK("https://klasma.github.io/Logging_1493/tillsynsmail/A 27444-2023 tillsynsbegäran mail.docx", "A 27444-2023")</f>
        <v/>
      </c>
    </row>
    <row r="22" ht="15" customHeight="1">
      <c r="A22" t="inlineStr">
        <is>
          <t>A 11073-2022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44628</v>
      </c>
      <c r="E22" s="1" t="n">
        <v>46291</v>
      </c>
      <c r="F22" t="inlineStr">
        <is>
          <t>VÄSTRA GÖTALANDS LÄN</t>
        </is>
      </c>
      <c r="G22" t="inlineStr">
        <is>
          <t>MARIESTAD</t>
        </is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Spillkråka
Skogsduva</t>
        </is>
      </c>
      <c r="W22">
        <f>HYPERLINK("https://klasma.github.io/Logging_1493/artfynd/A 11073-2022 artfynd.xlsx", "A 11073-2022")</f>
        <v/>
      </c>
      <c r="X22">
        <f>HYPERLINK("https://klasma.github.io/Logging_1493/kartor/A 11073-2022 karta.png", "A 11073-2022")</f>
        <v/>
      </c>
      <c r="Y22">
        <f>HYPERLINK("https://klasma.github.io/Logging_1493/kartor_geotiff/A 11073-2022 georefererad karta.tif", "A 11073-2022")</f>
        <v/>
      </c>
      <c r="AA22">
        <f>HYPERLINK("https://klasma.github.io/Logging_1493/klagomål/A 11073-2022 FSC-klagomål.docx", "A 11073-2022")</f>
        <v/>
      </c>
      <c r="AB22">
        <f>HYPERLINK("https://klasma.github.io/Logging_1493/klagomålsmail/A 11073-2022 FSC-klagomål mail.docx", "A 11073-2022")</f>
        <v/>
      </c>
      <c r="AC22">
        <f>HYPERLINK("https://klasma.github.io/Logging_1493/tillsyn/A 11073-2022 tillsynsbegäran.docx", "A 11073-2022")</f>
        <v/>
      </c>
      <c r="AD22">
        <f>HYPERLINK("https://klasma.github.io/Logging_1493/tillsynsmail/A 11073-2022 tillsynsbegäran mail.docx", "A 11073-2022")</f>
        <v/>
      </c>
      <c r="AE22">
        <f>HYPERLINK("https://klasma.github.io/Logging_1493/fåglar/A 11073-2022 prioriterade fågelarter.docx", "A 11073-2022")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46291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12379-2026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46291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5.7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HYPERLINK("https://klasma.github.io/Logging_1493/artfynd/A 12379-2026 artfynd.xlsx", "A 12379-2026")</f>
        <v/>
      </c>
      <c r="X24">
        <f>HYPERLINK("https://klasma.github.io/Logging_1493/kartor/A 12379-2026 karta.png", "A 12379-2026")</f>
        <v/>
      </c>
      <c r="Y24">
        <f>HYPERLINK("https://klasma.github.io/Logging_1493/kartor_geotiff/A 12379-2026 georefererad karta.tif", "A 12379-2026")</f>
        <v/>
      </c>
      <c r="AA24">
        <f>HYPERLINK("https://klasma.github.io/Logging_1493/klagomål/A 12379-2026 FSC-klagomål.docx", "A 12379-2026")</f>
        <v/>
      </c>
      <c r="AB24">
        <f>HYPERLINK("https://klasma.github.io/Logging_1493/klagomålsmail/A 12379-2026 FSC-klagomål mail.docx", "A 12379-2026")</f>
        <v/>
      </c>
      <c r="AC24">
        <f>HYPERLINK("https://klasma.github.io/Logging_1493/tillsyn/A 12379-2026 tillsynsbegäran.docx", "A 12379-2026")</f>
        <v/>
      </c>
      <c r="AD24">
        <f>HYPERLINK("https://klasma.github.io/Logging_1493/tillsynsmail/A 12379-2026 tillsynsbegäran mail.docx", "A 12379-2026")</f>
        <v/>
      </c>
    </row>
    <row r="25" ht="15" customHeight="1">
      <c r="A25" t="inlineStr">
        <is>
          <t>A 7578-2025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45705</v>
      </c>
      <c r="E25" s="1" t="n">
        <v>46291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Svartvit flugsnappare</t>
        </is>
      </c>
      <c r="W25">
        <f>HYPERLINK("https://klasma.github.io/Logging_1493/artfynd/A 7578-2025 artfynd.xlsx", "A 7578-2025")</f>
        <v/>
      </c>
      <c r="X25">
        <f>HYPERLINK("https://klasma.github.io/Logging_1493/kartor/A 7578-2025 karta.png", "A 7578-2025")</f>
        <v/>
      </c>
      <c r="Y25">
        <f>HYPERLINK("https://klasma.github.io/Logging_1493/kartor_geotiff/A 7578-2025 georefererad karta.tif", "A 7578-2025")</f>
        <v/>
      </c>
      <c r="AA25">
        <f>HYPERLINK("https://klasma.github.io/Logging_1493/klagomål/A 7578-2025 FSC-klagomål.docx", "A 7578-2025")</f>
        <v/>
      </c>
      <c r="AB25">
        <f>HYPERLINK("https://klasma.github.io/Logging_1493/klagomålsmail/A 7578-2025 FSC-klagomål mail.docx", "A 7578-2025")</f>
        <v/>
      </c>
      <c r="AC25">
        <f>HYPERLINK("https://klasma.github.io/Logging_1493/tillsyn/A 7578-2025 tillsynsbegäran.docx", "A 7578-2025")</f>
        <v/>
      </c>
      <c r="AD25">
        <f>HYPERLINK("https://klasma.github.io/Logging_1493/tillsynsmail/A 7578-2025 tillsynsbegäran mail.docx", "A 7578-2025")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46291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59316-2025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45989</v>
      </c>
      <c r="E27" s="1" t="n">
        <v>46291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HYPERLINK("https://klasma.github.io/Logging_1493/artfynd/A 59316-2025 artfynd.xlsx", "A 59316-2025")</f>
        <v/>
      </c>
      <c r="X27">
        <f>HYPERLINK("https://klasma.github.io/Logging_1493/kartor/A 59316-2025 karta.png", "A 59316-2025")</f>
        <v/>
      </c>
      <c r="Y27">
        <f>HYPERLINK("https://klasma.github.io/Logging_1493/kartor_geotiff/A 59316-2025 georefererad karta.tif", "A 59316-2025")</f>
        <v/>
      </c>
      <c r="AA27">
        <f>HYPERLINK("https://klasma.github.io/Logging_1493/klagomål/A 59316-2025 FSC-klagomål.docx", "A 59316-2025")</f>
        <v/>
      </c>
      <c r="AB27">
        <f>HYPERLINK("https://klasma.github.io/Logging_1493/klagomålsmail/A 59316-2025 FSC-klagomål mail.docx", "A 59316-2025")</f>
        <v/>
      </c>
      <c r="AC27">
        <f>HYPERLINK("https://klasma.github.io/Logging_1493/tillsyn/A 59316-2025 tillsynsbegäran.docx", "A 59316-2025")</f>
        <v/>
      </c>
      <c r="AD27">
        <f>HYPERLINK("https://klasma.github.io/Logging_1493/tillsynsmail/A 59316-2025 tillsynsbegäran mail.docx", "A 59316-2025")</f>
        <v/>
      </c>
    </row>
    <row r="28" ht="15" customHeight="1">
      <c r="A28" t="inlineStr">
        <is>
          <t>A 29151-2025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46291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2.5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HYPERLINK("https://klasma.github.io/Logging_1493/artfynd/A 29151-2025 artfynd.xlsx", "A 29151-2025")</f>
        <v/>
      </c>
      <c r="X28">
        <f>HYPERLINK("https://klasma.github.io/Logging_1493/kartor/A 29151-2025 karta.png", "A 29151-2025")</f>
        <v/>
      </c>
      <c r="Y28">
        <f>HYPERLINK("https://klasma.github.io/Logging_1493/kartor_geotiff/A 29151-2025 georefererad karta.tif", "A 29151-2025")</f>
        <v/>
      </c>
      <c r="AA28">
        <f>HYPERLINK("https://klasma.github.io/Logging_1493/klagomål/A 29151-2025 FSC-klagomål.docx", "A 29151-2025")</f>
        <v/>
      </c>
      <c r="AB28">
        <f>HYPERLINK("https://klasma.github.io/Logging_1493/klagomålsmail/A 29151-2025 FSC-klagomål mail.docx", "A 29151-2025")</f>
        <v/>
      </c>
      <c r="AC28">
        <f>HYPERLINK("https://klasma.github.io/Logging_1493/tillsyn/A 29151-2025 tillsynsbegäran.docx", "A 29151-2025")</f>
        <v/>
      </c>
      <c r="AD28">
        <f>HYPERLINK("https://klasma.github.io/Logging_1493/tillsynsmail/A 29151-2025 tillsynsbegäran mail.docx", "A 29151-2025")</f>
        <v/>
      </c>
    </row>
    <row r="29" ht="15" customHeight="1">
      <c r="A29" t="inlineStr">
        <is>
          <t>A 29152-2025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46291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4.6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Blodticka</t>
        </is>
      </c>
      <c r="W29">
        <f>HYPERLINK("https://klasma.github.io/Logging_1493/artfynd/A 29152-2025 artfynd.xlsx", "A 29152-2025")</f>
        <v/>
      </c>
      <c r="X29">
        <f>HYPERLINK("https://klasma.github.io/Logging_1493/kartor/A 29152-2025 karta.png", "A 29152-2025")</f>
        <v/>
      </c>
      <c r="Y29">
        <f>HYPERLINK("https://klasma.github.io/Logging_1493/kartor_geotiff/A 29152-2025 georefererad karta.tif", "A 29152-2025")</f>
        <v/>
      </c>
      <c r="AA29">
        <f>HYPERLINK("https://klasma.github.io/Logging_1493/klagomål/A 29152-2025 FSC-klagomål.docx", "A 29152-2025")</f>
        <v/>
      </c>
      <c r="AB29">
        <f>HYPERLINK("https://klasma.github.io/Logging_1493/klagomålsmail/A 29152-2025 FSC-klagomål mail.docx", "A 29152-2025")</f>
        <v/>
      </c>
      <c r="AC29">
        <f>HYPERLINK("https://klasma.github.io/Logging_1493/tillsyn/A 29152-2025 tillsynsbegäran.docx", "A 29152-2025")</f>
        <v/>
      </c>
      <c r="AD29">
        <f>HYPERLINK("https://klasma.github.io/Logging_1493/tillsynsmail/A 29152-2025 tillsynsbegäran mail.docx", "A 29152-2025")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46291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Lönnlav</t>
        </is>
      </c>
      <c r="W30">
        <f>HYPERLINK("https://klasma.github.io/Logging_1493/artfynd/A 49233-2023 artfynd.xlsx", "A 49233-2023")</f>
        <v/>
      </c>
      <c r="X30">
        <f>HYPERLINK("https://klasma.github.io/Logging_1493/kartor/A 49233-2023 karta.png", "A 49233-2023")</f>
        <v/>
      </c>
      <c r="Y30">
        <f>HYPERLINK("https://klasma.github.io/Logging_1493/kartor_geotiff/A 49233-2023 georefererad karta.tif", "A 49233-2023")</f>
        <v/>
      </c>
      <c r="AA30">
        <f>HYPERLINK("https://klasma.github.io/Logging_1493/klagomål/A 49233-2023 FSC-klagomål.docx", "A 49233-2023")</f>
        <v/>
      </c>
      <c r="AB30">
        <f>HYPERLINK("https://klasma.github.io/Logging_1493/klagomålsmail/A 49233-2023 FSC-klagomål mail.docx", "A 49233-2023")</f>
        <v/>
      </c>
      <c r="AC30">
        <f>HYPERLINK("https://klasma.github.io/Logging_1493/tillsyn/A 49233-2023 tillsynsbegäran.docx", "A 49233-2023")</f>
        <v/>
      </c>
      <c r="AD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46291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38580-2023 artfynd.xlsx", "A 38580-2023")</f>
        <v/>
      </c>
      <c r="X31">
        <f>HYPERLINK("https://klasma.github.io/Logging_1493/kartor/A 38580-2023 karta.png", "A 38580-2023")</f>
        <v/>
      </c>
      <c r="Y31">
        <f>HYPERLINK("https://klasma.github.io/Logging_1493/kartor_geotiff/A 38580-2023 georefererad karta.tif", "A 38580-2023")</f>
        <v/>
      </c>
      <c r="AA31">
        <f>HYPERLINK("https://klasma.github.io/Logging_1493/klagomål/A 38580-2023 FSC-klagomål.docx", "A 38580-2023")</f>
        <v/>
      </c>
      <c r="AB31">
        <f>HYPERLINK("https://klasma.github.io/Logging_1493/klagomålsmail/A 38580-2023 FSC-klagomål mail.docx", "A 38580-2023")</f>
        <v/>
      </c>
      <c r="AC31">
        <f>HYPERLINK("https://klasma.github.io/Logging_1493/tillsyn/A 38580-2023 tillsynsbegäran.docx", "A 38580-2023")</f>
        <v/>
      </c>
      <c r="AD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46291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46291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46291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46291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46291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46291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42647-2023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45181</v>
      </c>
      <c r="E38" s="1" t="n">
        <v>46291</v>
      </c>
      <c r="F38" t="inlineStr">
        <is>
          <t>VÄSTRA GÖTALANDS LÄN</t>
        </is>
      </c>
      <c r="G38" t="inlineStr">
        <is>
          <t>MARIESTAD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Ärtsångare</t>
        </is>
      </c>
      <c r="W38">
        <f>HYPERLINK("https://klasma.github.io/Logging_1493/artfynd/A 42647-2023 artfynd.xlsx", "A 42647-2023")</f>
        <v/>
      </c>
      <c r="X38">
        <f>HYPERLINK("https://klasma.github.io/Logging_1493/kartor/A 42647-2023 karta.png", "A 42647-2023")</f>
        <v/>
      </c>
      <c r="Y38">
        <f>HYPERLINK("https://klasma.github.io/Logging_1493/kartor_geotiff/A 42647-2023 georefererad karta.tif", "A 42647-2023")</f>
        <v/>
      </c>
      <c r="AA38">
        <f>HYPERLINK("https://klasma.github.io/Logging_1493/klagomål/A 42647-2023 FSC-klagomål.docx", "A 42647-2023")</f>
        <v/>
      </c>
      <c r="AB38">
        <f>HYPERLINK("https://klasma.github.io/Logging_1493/klagomålsmail/A 42647-2023 FSC-klagomål mail.docx", "A 42647-2023")</f>
        <v/>
      </c>
      <c r="AC38">
        <f>HYPERLINK("https://klasma.github.io/Logging_1493/tillsyn/A 42647-2023 tillsynsbegäran.docx", "A 42647-2023")</f>
        <v/>
      </c>
      <c r="AD38">
        <f>HYPERLINK("https://klasma.github.io/Logging_1493/tillsynsmail/A 42647-2023 tillsynsbegäran mail.docx", "A 42647-2023")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46291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HYPERLINK("https://klasma.github.io/Logging_1493/artfynd/A 9650-2025 artfynd.xlsx", "A 9650-2025")</f>
        <v/>
      </c>
      <c r="X39">
        <f>HYPERLINK("https://klasma.github.io/Logging_1493/kartor/A 9650-2025 karta.png", "A 9650-2025")</f>
        <v/>
      </c>
      <c r="Y39">
        <f>HYPERLINK("https://klasma.github.io/Logging_1493/kartor_geotiff/A 9650-2025 georefererad karta.tif", "A 9650-2025")</f>
        <v/>
      </c>
      <c r="AA39">
        <f>HYPERLINK("https://klasma.github.io/Logging_1493/klagomål/A 9650-2025 FSC-klagomål.docx", "A 9650-2025")</f>
        <v/>
      </c>
      <c r="AB39">
        <f>HYPERLINK("https://klasma.github.io/Logging_1493/klagomålsmail/A 9650-2025 FSC-klagomål mail.docx", "A 9650-2025")</f>
        <v/>
      </c>
      <c r="AC39">
        <f>HYPERLINK("https://klasma.github.io/Logging_1493/tillsyn/A 9650-2025 tillsynsbegäran.docx", "A 9650-2025")</f>
        <v/>
      </c>
      <c r="AD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46291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46291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46291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46291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46291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46291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46291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46291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46291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46291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46291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46291</v>
      </c>
      <c r="F51" t="inlineStr">
        <is>
          <t>VÄSTRA GÖTALANDS LÄN</t>
        </is>
      </c>
      <c r="G51" t="inlineStr">
        <is>
          <t>MARIESTAD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67146-2021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46291</v>
      </c>
      <c r="F52" t="inlineStr">
        <is>
          <t>VÄSTRA GÖTALANDS LÄN</t>
        </is>
      </c>
      <c r="G52" t="inlineStr">
        <is>
          <t>MARIESTAD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46291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46291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46291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46291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46291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46291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46291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46291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46291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46291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46291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46291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46291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46291</v>
      </c>
      <c r="F66" t="inlineStr">
        <is>
          <t>VÄSTRA GÖTALANDS LÄN</t>
        </is>
      </c>
      <c r="G66" t="inlineStr">
        <is>
          <t>MARIESTAD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45343</v>
      </c>
      <c r="E67" s="1" t="n">
        <v>46291</v>
      </c>
      <c r="F67" t="inlineStr">
        <is>
          <t>VÄSTRA GÖTALANDS LÄN</t>
        </is>
      </c>
      <c r="G67" t="inlineStr">
        <is>
          <t>MARIESTAD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46291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46291</v>
      </c>
      <c r="F69" t="inlineStr">
        <is>
          <t>VÄSTRA GÖTALANDS LÄN</t>
        </is>
      </c>
      <c r="G69" t="inlineStr">
        <is>
          <t>MARIESTAD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46291</v>
      </c>
      <c r="F70" t="inlineStr">
        <is>
          <t>VÄSTRA GÖTALANDS LÄN</t>
        </is>
      </c>
      <c r="G70" t="inlineStr">
        <is>
          <t>MARIESTAD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46291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46291</v>
      </c>
      <c r="F72" t="inlineStr">
        <is>
          <t>VÄSTRA GÖTALANDS LÄN</t>
        </is>
      </c>
      <c r="G72" t="inlineStr">
        <is>
          <t>MARIESTAD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46291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46291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45460</v>
      </c>
      <c r="E75" s="1" t="n">
        <v>46291</v>
      </c>
      <c r="F75" t="inlineStr">
        <is>
          <t>VÄSTRA GÖTALANDS LÄN</t>
        </is>
      </c>
      <c r="G75" t="inlineStr">
        <is>
          <t>MARIESTAD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46291</v>
      </c>
      <c r="F76" t="inlineStr">
        <is>
          <t>VÄSTRA GÖTALANDS LÄN</t>
        </is>
      </c>
      <c r="G76" t="inlineStr">
        <is>
          <t>MARIESTAD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46291</v>
      </c>
      <c r="F77" t="inlineStr">
        <is>
          <t>VÄSTRA GÖTALANDS LÄN</t>
        </is>
      </c>
      <c r="G77" t="inlineStr">
        <is>
          <t>MARIESTAD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46291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46291</v>
      </c>
      <c r="F79" t="inlineStr">
        <is>
          <t>VÄSTRA GÖTALANDS LÄN</t>
        </is>
      </c>
      <c r="G79" t="inlineStr">
        <is>
          <t>MARIESTAD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74081-2021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44553</v>
      </c>
      <c r="E80" s="1" t="n">
        <v>46291</v>
      </c>
      <c r="F80" t="inlineStr">
        <is>
          <t>VÄSTRA GÖTALANDS LÄN</t>
        </is>
      </c>
      <c r="G80" t="inlineStr">
        <is>
          <t>MARIESTAD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33571-2023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45131</v>
      </c>
      <c r="E81" s="1" t="n">
        <v>46291</v>
      </c>
      <c r="F81" t="inlineStr">
        <is>
          <t>VÄSTRA GÖTALANDS LÄN</t>
        </is>
      </c>
      <c r="G81" t="inlineStr">
        <is>
          <t>MARIESTAD</t>
        </is>
      </c>
      <c r="I81" t="n">
        <v>16.1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46291</v>
      </c>
      <c r="F82" t="inlineStr">
        <is>
          <t>VÄSTRA GÖTALANDS LÄN</t>
        </is>
      </c>
      <c r="G82" t="inlineStr">
        <is>
          <t>MARIESTAD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45516</v>
      </c>
      <c r="E83" s="1" t="n">
        <v>46291</v>
      </c>
      <c r="F83" t="inlineStr">
        <is>
          <t>VÄSTRA GÖTALANDS LÄN</t>
        </is>
      </c>
      <c r="G83" t="inlineStr">
        <is>
          <t>MARIESTAD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46291</v>
      </c>
      <c r="F84" t="inlineStr">
        <is>
          <t>VÄSTRA GÖTALANDS LÄN</t>
        </is>
      </c>
      <c r="G84" t="inlineStr">
        <is>
          <t>MARIESTAD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46291</v>
      </c>
      <c r="F85" t="inlineStr">
        <is>
          <t>VÄSTRA GÖTALANDS LÄN</t>
        </is>
      </c>
      <c r="G85" t="inlineStr">
        <is>
          <t>MARIESTAD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45265</v>
      </c>
      <c r="E86" s="1" t="n">
        <v>46291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46291</v>
      </c>
      <c r="F87" t="inlineStr">
        <is>
          <t>VÄSTRA GÖTALANDS LÄN</t>
        </is>
      </c>
      <c r="G87" t="inlineStr">
        <is>
          <t>MARIESTAD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45268</v>
      </c>
      <c r="E88" s="1" t="n">
        <v>46291</v>
      </c>
      <c r="F88" t="inlineStr">
        <is>
          <t>VÄSTRA GÖTALANDS LÄN</t>
        </is>
      </c>
      <c r="G88" t="inlineStr">
        <is>
          <t>MARIESTAD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46291</v>
      </c>
      <c r="F89" t="inlineStr">
        <is>
          <t>VÄSTRA GÖTALANDS LÄN</t>
        </is>
      </c>
      <c r="G89" t="inlineStr">
        <is>
          <t>MARIESTAD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58598-2021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46291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46029</v>
      </c>
      <c r="E91" s="1" t="n">
        <v>46291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46029</v>
      </c>
      <c r="E92" s="1" t="n">
        <v>46291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52869-2024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45610</v>
      </c>
      <c r="E93" s="1" t="n">
        <v>46291</v>
      </c>
      <c r="F93" t="inlineStr">
        <is>
          <t>VÄSTRA GÖTALANDS LÄN</t>
        </is>
      </c>
      <c r="G93" t="inlineStr">
        <is>
          <t>MARIESTAD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46291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45798</v>
      </c>
      <c r="E95" s="1" t="n">
        <v>46291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46291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66771-2021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44521</v>
      </c>
      <c r="E97" s="1" t="n">
        <v>46291</v>
      </c>
      <c r="F97" t="inlineStr">
        <is>
          <t>VÄSTRA GÖTALANDS LÄN</t>
        </is>
      </c>
      <c r="G97" t="inlineStr">
        <is>
          <t>MARIESTAD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46291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46291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46291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46291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45243</v>
      </c>
      <c r="E102" s="1" t="n">
        <v>46291</v>
      </c>
      <c r="F102" t="inlineStr">
        <is>
          <t>VÄSTRA GÖTALANDS LÄN</t>
        </is>
      </c>
      <c r="G102" t="inlineStr">
        <is>
          <t>MARIESTAD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46042</v>
      </c>
      <c r="E103" s="1" t="n">
        <v>46291</v>
      </c>
      <c r="F103" t="inlineStr">
        <is>
          <t>VÄSTRA GÖTALANDS LÄN</t>
        </is>
      </c>
      <c r="G103" t="inlineStr">
        <is>
          <t>MARIESTAD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46291</v>
      </c>
      <c r="F104" t="inlineStr">
        <is>
          <t>VÄSTRA GÖTALANDS LÄN</t>
        </is>
      </c>
      <c r="G104" t="inlineStr">
        <is>
          <t>MARIESTAD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46291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46291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45674</v>
      </c>
      <c r="E107" s="1" t="n">
        <v>46291</v>
      </c>
      <c r="F107" t="inlineStr">
        <is>
          <t>VÄSTRA GÖTALANDS LÄN</t>
        </is>
      </c>
      <c r="G107" t="inlineStr">
        <is>
          <t>MARIESTAD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46050</v>
      </c>
      <c r="E108" s="1" t="n">
        <v>46291</v>
      </c>
      <c r="F108" t="inlineStr">
        <is>
          <t>VÄSTRA GÖTALANDS LÄN</t>
        </is>
      </c>
      <c r="G108" t="inlineStr">
        <is>
          <t>MARIESTAD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46291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46291</v>
      </c>
      <c r="F110" t="inlineStr">
        <is>
          <t>VÄSTRA GÖTALANDS LÄN</t>
        </is>
      </c>
      <c r="G110" t="inlineStr">
        <is>
          <t>MARIESTAD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46291</v>
      </c>
      <c r="F111" t="inlineStr">
        <is>
          <t>VÄSTRA GÖTALANDS LÄN</t>
        </is>
      </c>
      <c r="G111" t="inlineStr">
        <is>
          <t>MARIESTAD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46057</v>
      </c>
      <c r="E112" s="1" t="n">
        <v>46291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Kyrkan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46291</v>
      </c>
      <c r="F113" t="inlineStr">
        <is>
          <t>VÄSTRA GÖTALANDS LÄN</t>
        </is>
      </c>
      <c r="G113" t="inlineStr">
        <is>
          <t>MARIESTAD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46061</v>
      </c>
      <c r="E114" s="1" t="n">
        <v>46291</v>
      </c>
      <c r="F114" t="inlineStr">
        <is>
          <t>VÄSTRA GÖTALANDS LÄN</t>
        </is>
      </c>
      <c r="G114" t="inlineStr">
        <is>
          <t>MARIESTAD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60812-2023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45260</v>
      </c>
      <c r="E115" s="1" t="n">
        <v>46291</v>
      </c>
      <c r="F115" t="inlineStr">
        <is>
          <t>VÄSTRA GÖTALANDS LÄN</t>
        </is>
      </c>
      <c r="G115" t="inlineStr">
        <is>
          <t>MARIESTAD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46291</v>
      </c>
      <c r="F116" t="inlineStr">
        <is>
          <t>VÄSTRA GÖTALANDS LÄN</t>
        </is>
      </c>
      <c r="G116" t="inlineStr">
        <is>
          <t>MARIESTAD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45516</v>
      </c>
      <c r="E117" s="1" t="n">
        <v>46291</v>
      </c>
      <c r="F117" t="inlineStr">
        <is>
          <t>VÄSTRA GÖTALANDS LÄN</t>
        </is>
      </c>
      <c r="G117" t="inlineStr">
        <is>
          <t>MARIESTAD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46291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44999</v>
      </c>
      <c r="E119" s="1" t="n">
        <v>46291</v>
      </c>
      <c r="F119" t="inlineStr">
        <is>
          <t>VÄSTRA GÖTALANDS LÄN</t>
        </is>
      </c>
      <c r="G119" t="inlineStr">
        <is>
          <t>MARIESTAD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46291</v>
      </c>
      <c r="F120" t="inlineStr">
        <is>
          <t>VÄSTRA GÖTALANDS LÄN</t>
        </is>
      </c>
      <c r="G120" t="inlineStr">
        <is>
          <t>MARIESTAD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46291</v>
      </c>
      <c r="F121" t="inlineStr">
        <is>
          <t>VÄSTRA GÖTALANDS LÄN</t>
        </is>
      </c>
      <c r="G121" t="inlineStr">
        <is>
          <t>MARIESTAD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46291</v>
      </c>
      <c r="F122" t="inlineStr">
        <is>
          <t>VÄSTRA GÖTALANDS LÄN</t>
        </is>
      </c>
      <c r="G122" t="inlineStr">
        <is>
          <t>MARIESTAD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46291</v>
      </c>
      <c r="F123" t="inlineStr">
        <is>
          <t>VÄSTRA GÖTALANDS LÄN</t>
        </is>
      </c>
      <c r="G123" t="inlineStr">
        <is>
          <t>MARIESTAD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9558-2026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46071</v>
      </c>
      <c r="E124" s="1" t="n">
        <v>46291</v>
      </c>
      <c r="F124" t="inlineStr">
        <is>
          <t>VÄSTRA GÖTALANDS LÄN</t>
        </is>
      </c>
      <c r="G124" t="inlineStr">
        <is>
          <t>MARIESTAD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46291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46291</v>
      </c>
      <c r="F126" t="inlineStr">
        <is>
          <t>VÄSTRA GÖTALANDS LÄN</t>
        </is>
      </c>
      <c r="G126" t="inlineStr">
        <is>
          <t>MARIESTAD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10559-2026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46291</v>
      </c>
      <c r="F127" t="inlineStr">
        <is>
          <t>VÄSTRA GÖTALANDS LÄN</t>
        </is>
      </c>
      <c r="G127" t="inlineStr">
        <is>
          <t>MARIESTAD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46291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46291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46291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46080</v>
      </c>
      <c r="E131" s="1" t="n">
        <v>46291</v>
      </c>
      <c r="F131" t="inlineStr">
        <is>
          <t>VÄSTRA GÖTALANDS LÄN</t>
        </is>
      </c>
      <c r="G131" t="inlineStr">
        <is>
          <t>MARIESTAD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44936</v>
      </c>
      <c r="E132" s="1" t="n">
        <v>46291</v>
      </c>
      <c r="F132" t="inlineStr">
        <is>
          <t>VÄSTRA GÖTALANDS LÄN</t>
        </is>
      </c>
      <c r="G132" t="inlineStr">
        <is>
          <t>MARIESTAD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46291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46291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12381-2026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46291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46291</v>
      </c>
      <c r="F136" t="inlineStr">
        <is>
          <t>VÄSTRA GÖTALANDS LÄN</t>
        </is>
      </c>
      <c r="G136" t="inlineStr">
        <is>
          <t>MARIESTAD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46291</v>
      </c>
      <c r="F137" t="inlineStr">
        <is>
          <t>VÄSTRA GÖTALANDS LÄN</t>
        </is>
      </c>
      <c r="G137" t="inlineStr">
        <is>
          <t>MARIESTAD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46291</v>
      </c>
      <c r="F138" t="inlineStr">
        <is>
          <t>VÄSTRA GÖTALANDS LÄN</t>
        </is>
      </c>
      <c r="G138" t="inlineStr">
        <is>
          <t>MARIESTAD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46291</v>
      </c>
      <c r="F139" t="inlineStr">
        <is>
          <t>VÄSTRA GÖTALANDS LÄN</t>
        </is>
      </c>
      <c r="G139" t="inlineStr">
        <is>
          <t>MARIESTAD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46291</v>
      </c>
      <c r="F140" t="inlineStr">
        <is>
          <t>VÄSTRA GÖTALANDS LÄN</t>
        </is>
      </c>
      <c r="G140" t="inlineStr">
        <is>
          <t>MARIESTAD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46291</v>
      </c>
      <c r="F141" t="inlineStr">
        <is>
          <t>VÄSTRA GÖTALANDS LÄN</t>
        </is>
      </c>
      <c r="G141" t="inlineStr">
        <is>
          <t>MARIESTAD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45199</v>
      </c>
      <c r="E142" s="1" t="n">
        <v>46291</v>
      </c>
      <c r="F142" t="inlineStr">
        <is>
          <t>VÄSTRA GÖTALANDS LÄN</t>
        </is>
      </c>
      <c r="G142" t="inlineStr">
        <is>
          <t>MARIESTAD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46291</v>
      </c>
      <c r="F143" t="inlineStr">
        <is>
          <t>VÄSTRA GÖTALANDS LÄN</t>
        </is>
      </c>
      <c r="G143" t="inlineStr">
        <is>
          <t>MARIESTAD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46291</v>
      </c>
      <c r="F144" t="inlineStr">
        <is>
          <t>VÄSTRA GÖTALANDS LÄN</t>
        </is>
      </c>
      <c r="G144" t="inlineStr">
        <is>
          <t>MARIESTAD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46291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26688-2022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44739</v>
      </c>
      <c r="E146" s="1" t="n">
        <v>46291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Kommuner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46291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46291</v>
      </c>
      <c r="F148" t="inlineStr">
        <is>
          <t>VÄSTRA GÖTALANDS LÄN</t>
        </is>
      </c>
      <c r="G148" t="inlineStr">
        <is>
          <t>MARIESTAD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46291</v>
      </c>
      <c r="F149" t="inlineStr">
        <is>
          <t>VÄSTRA GÖTALANDS LÄN</t>
        </is>
      </c>
      <c r="G149" t="inlineStr">
        <is>
          <t>MARIESTAD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44830</v>
      </c>
      <c r="E150" s="1" t="n">
        <v>46291</v>
      </c>
      <c r="F150" t="inlineStr">
        <is>
          <t>VÄSTRA GÖTALANDS LÄN</t>
        </is>
      </c>
      <c r="G150" t="inlineStr">
        <is>
          <t>MARIESTAD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46291</v>
      </c>
      <c r="F151" t="inlineStr">
        <is>
          <t>VÄSTRA GÖTALANDS LÄN</t>
        </is>
      </c>
      <c r="G151" t="inlineStr">
        <is>
          <t>MARIESTAD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46291</v>
      </c>
      <c r="F152" t="inlineStr">
        <is>
          <t>VÄSTRA GÖTALANDS LÄN</t>
        </is>
      </c>
      <c r="G152" t="inlineStr">
        <is>
          <t>MARIESTAD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46291</v>
      </c>
      <c r="F153" t="inlineStr">
        <is>
          <t>VÄSTRA GÖTALANDS LÄN</t>
        </is>
      </c>
      <c r="G153" t="inlineStr">
        <is>
          <t>MARIESTAD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46291</v>
      </c>
      <c r="F154" t="inlineStr">
        <is>
          <t>VÄSTRA GÖTALANDS LÄN</t>
        </is>
      </c>
      <c r="G154" t="inlineStr">
        <is>
          <t>MARIESTAD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46291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46291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46291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46291</v>
      </c>
      <c r="F158" t="inlineStr">
        <is>
          <t>VÄSTRA GÖTALANDS LÄN</t>
        </is>
      </c>
      <c r="G158" t="inlineStr">
        <is>
          <t>MARIESTAD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46291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46291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46291</v>
      </c>
      <c r="F161" t="inlineStr">
        <is>
          <t>VÄSTRA GÖTALANDS LÄN</t>
        </is>
      </c>
      <c r="G161" t="inlineStr">
        <is>
          <t>MARIESTAD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46291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Övriga Aktiebolag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46291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46291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46291</v>
      </c>
      <c r="F165" t="inlineStr">
        <is>
          <t>VÄSTRA GÖTALANDS LÄN</t>
        </is>
      </c>
      <c r="G165" t="inlineStr">
        <is>
          <t>MARIESTAD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46291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46291</v>
      </c>
      <c r="F167" t="inlineStr">
        <is>
          <t>VÄSTRA GÖTALANDS LÄN</t>
        </is>
      </c>
      <c r="G167" t="inlineStr">
        <is>
          <t>MARIESTAD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46291</v>
      </c>
      <c r="F168" t="inlineStr">
        <is>
          <t>VÄSTRA GÖTALANDS LÄN</t>
        </is>
      </c>
      <c r="G168" t="inlineStr">
        <is>
          <t>MARIESTAD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46291</v>
      </c>
      <c r="F169" t="inlineStr">
        <is>
          <t>VÄSTRA GÖTALANDS LÄN</t>
        </is>
      </c>
      <c r="G169" t="inlineStr">
        <is>
          <t>MARIESTAD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46291</v>
      </c>
      <c r="F170" t="inlineStr">
        <is>
          <t>VÄSTRA GÖTALANDS LÄN</t>
        </is>
      </c>
      <c r="G170" t="inlineStr">
        <is>
          <t>MARIESTAD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44986</v>
      </c>
      <c r="E171" s="1" t="n">
        <v>46291</v>
      </c>
      <c r="F171" t="inlineStr">
        <is>
          <t>VÄSTRA GÖTALANDS LÄN</t>
        </is>
      </c>
      <c r="G171" t="inlineStr">
        <is>
          <t>MARIESTAD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46291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39766-2023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45167</v>
      </c>
      <c r="E173" s="1" t="n">
        <v>46291</v>
      </c>
      <c r="F173" t="inlineStr">
        <is>
          <t>VÄSTRA GÖTALANDS LÄN</t>
        </is>
      </c>
      <c r="G173" t="inlineStr">
        <is>
          <t>MARIESTAD</t>
        </is>
      </c>
      <c r="I173" t="n">
        <v>26.5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46291</v>
      </c>
      <c r="F174" t="inlineStr">
        <is>
          <t>VÄSTRA GÖTALANDS LÄN</t>
        </is>
      </c>
      <c r="G174" t="inlineStr">
        <is>
          <t>MARIESTAD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46003</v>
      </c>
      <c r="E175" s="1" t="n">
        <v>46291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45820</v>
      </c>
      <c r="E176" s="1" t="n">
        <v>46291</v>
      </c>
      <c r="F176" t="inlineStr">
        <is>
          <t>VÄSTRA GÖTALANDS LÄN</t>
        </is>
      </c>
      <c r="G176" t="inlineStr">
        <is>
          <t>MARIESTAD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46291</v>
      </c>
      <c r="F177" t="inlineStr">
        <is>
          <t>VÄSTRA GÖTALANDS LÄN</t>
        </is>
      </c>
      <c r="G177" t="inlineStr">
        <is>
          <t>MARIESTAD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46291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46291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46291</v>
      </c>
      <c r="F180" t="inlineStr">
        <is>
          <t>VÄSTRA GÖTALANDS LÄN</t>
        </is>
      </c>
      <c r="G180" t="inlineStr">
        <is>
          <t>MARIESTAD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46291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46291</v>
      </c>
      <c r="F182" t="inlineStr">
        <is>
          <t>VÄSTRA GÖTALANDS LÄN</t>
        </is>
      </c>
      <c r="G182" t="inlineStr">
        <is>
          <t>MARIESTAD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46291</v>
      </c>
      <c r="F183" t="inlineStr">
        <is>
          <t>VÄSTRA GÖTALANDS LÄN</t>
        </is>
      </c>
      <c r="G183" t="inlineStr">
        <is>
          <t>MARIESTAD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46291</v>
      </c>
      <c r="F184" t="inlineStr">
        <is>
          <t>VÄSTRA GÖTALANDS LÄN</t>
        </is>
      </c>
      <c r="G184" t="inlineStr">
        <is>
          <t>MARIESTAD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46291</v>
      </c>
      <c r="F185" t="inlineStr">
        <is>
          <t>VÄSTRA GÖTALANDS LÄN</t>
        </is>
      </c>
      <c r="G185" t="inlineStr">
        <is>
          <t>MARIESTAD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45875</v>
      </c>
      <c r="E186" s="1" t="n">
        <v>46291</v>
      </c>
      <c r="F186" t="inlineStr">
        <is>
          <t>VÄSTRA GÖTALANDS LÄN</t>
        </is>
      </c>
      <c r="G186" t="inlineStr">
        <is>
          <t>MARIESTAD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45170</v>
      </c>
      <c r="E187" s="1" t="n">
        <v>46291</v>
      </c>
      <c r="F187" t="inlineStr">
        <is>
          <t>VÄSTRA GÖTALANDS LÄN</t>
        </is>
      </c>
      <c r="G187" t="inlineStr">
        <is>
          <t>MARIESTAD</t>
        </is>
      </c>
      <c r="I187" t="n">
        <v>34.9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44965</v>
      </c>
      <c r="E188" s="1" t="n">
        <v>46291</v>
      </c>
      <c r="F188" t="inlineStr">
        <is>
          <t>VÄSTRA GÖTALANDS LÄN</t>
        </is>
      </c>
      <c r="G188" t="inlineStr">
        <is>
          <t>MARIESTAD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46291</v>
      </c>
      <c r="F189" t="inlineStr">
        <is>
          <t>VÄSTRA GÖTALANDS LÄN</t>
        </is>
      </c>
      <c r="G189" t="inlineStr">
        <is>
          <t>MARIESTAD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46291</v>
      </c>
      <c r="F190" t="inlineStr">
        <is>
          <t>VÄSTRA GÖTALANDS LÄN</t>
        </is>
      </c>
      <c r="G190" t="inlineStr">
        <is>
          <t>MARIESTAD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44843</v>
      </c>
      <c r="E191" s="1" t="n">
        <v>46291</v>
      </c>
      <c r="F191" t="inlineStr">
        <is>
          <t>VÄSTRA GÖTALANDS LÄN</t>
        </is>
      </c>
      <c r="G191" t="inlineStr">
        <is>
          <t>MARIESTAD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45070</v>
      </c>
      <c r="E192" s="1" t="n">
        <v>46291</v>
      </c>
      <c r="F192" t="inlineStr">
        <is>
          <t>VÄSTRA GÖTALANDS LÄN</t>
        </is>
      </c>
      <c r="G192" t="inlineStr">
        <is>
          <t>MARIESTAD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44847</v>
      </c>
      <c r="E193" s="1" t="n">
        <v>46291</v>
      </c>
      <c r="F193" t="inlineStr">
        <is>
          <t>VÄSTRA GÖTALANDS LÄN</t>
        </is>
      </c>
      <c r="G193" t="inlineStr">
        <is>
          <t>MARIESTAD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46291</v>
      </c>
      <c r="F194" t="inlineStr">
        <is>
          <t>VÄSTRA GÖTALANDS LÄN</t>
        </is>
      </c>
      <c r="G194" t="inlineStr">
        <is>
          <t>MARIESTAD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45535</v>
      </c>
      <c r="E195" s="1" t="n">
        <v>46291</v>
      </c>
      <c r="F195" t="inlineStr">
        <is>
          <t>VÄSTRA GÖTALANDS LÄN</t>
        </is>
      </c>
      <c r="G195" t="inlineStr">
        <is>
          <t>MARIESTAD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46291</v>
      </c>
      <c r="F196" t="inlineStr">
        <is>
          <t>VÄSTRA GÖTALANDS LÄN</t>
        </is>
      </c>
      <c r="G196" t="inlineStr">
        <is>
          <t>MARIESTAD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46291</v>
      </c>
      <c r="F197" t="inlineStr">
        <is>
          <t>VÄSTRA GÖTALANDS LÄN</t>
        </is>
      </c>
      <c r="G197" t="inlineStr">
        <is>
          <t>MARIESTAD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46291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Kyrkan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21361-2026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46142</v>
      </c>
      <c r="E199" s="1" t="n">
        <v>46291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44836</v>
      </c>
      <c r="E200" s="1" t="n">
        <v>46291</v>
      </c>
      <c r="F200" t="inlineStr">
        <is>
          <t>VÄSTRA GÖTALANDS LÄN</t>
        </is>
      </c>
      <c r="G200" t="inlineStr">
        <is>
          <t>MARIESTAD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46291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46291</v>
      </c>
      <c r="F202" t="inlineStr">
        <is>
          <t>VÄSTRA GÖTALANDS LÄN</t>
        </is>
      </c>
      <c r="G202" t="inlineStr">
        <is>
          <t>MARIESTAD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46291</v>
      </c>
      <c r="F203" t="inlineStr">
        <is>
          <t>VÄSTRA GÖTALANDS LÄN</t>
        </is>
      </c>
      <c r="G203" t="inlineStr">
        <is>
          <t>MARIESTAD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46291</v>
      </c>
      <c r="F204" t="inlineStr">
        <is>
          <t>VÄSTRA GÖTALANDS LÄN</t>
        </is>
      </c>
      <c r="G204" t="inlineStr">
        <is>
          <t>MARIESTAD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46291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23585-2026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46291</v>
      </c>
      <c r="F206" t="inlineStr">
        <is>
          <t>VÄSTRA GÖTALANDS LÄN</t>
        </is>
      </c>
      <c r="G206" t="inlineStr">
        <is>
          <t>MARIESTAD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46291</v>
      </c>
      <c r="F207" t="inlineStr">
        <is>
          <t>VÄSTRA GÖTALANDS LÄN</t>
        </is>
      </c>
      <c r="G207" t="inlineStr">
        <is>
          <t>MARIESTAD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46291</v>
      </c>
      <c r="F208" t="inlineStr">
        <is>
          <t>VÄSTRA GÖTALANDS LÄN</t>
        </is>
      </c>
      <c r="G208" t="inlineStr">
        <is>
          <t>MARIESTAD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46291</v>
      </c>
      <c r="F209" t="inlineStr">
        <is>
          <t>VÄSTRA GÖTALANDS LÄN</t>
        </is>
      </c>
      <c r="G209" t="inlineStr">
        <is>
          <t>MARIESTAD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45200</v>
      </c>
      <c r="E210" s="1" t="n">
        <v>46291</v>
      </c>
      <c r="F210" t="inlineStr">
        <is>
          <t>VÄSTRA GÖTALANDS LÄN</t>
        </is>
      </c>
      <c r="G210" t="inlineStr">
        <is>
          <t>MARIESTAD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46291</v>
      </c>
      <c r="F211" t="inlineStr">
        <is>
          <t>VÄSTRA GÖTALANDS LÄN</t>
        </is>
      </c>
      <c r="G211" t="inlineStr">
        <is>
          <t>MARIESTAD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46291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46291</v>
      </c>
      <c r="F213" t="inlineStr">
        <is>
          <t>VÄSTRA GÖTALANDS LÄN</t>
        </is>
      </c>
      <c r="G213" t="inlineStr">
        <is>
          <t>MARIESTAD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46291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46291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46291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46291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45412</v>
      </c>
      <c r="E218" s="1" t="n">
        <v>46291</v>
      </c>
      <c r="F218" t="inlineStr">
        <is>
          <t>VÄSTRA GÖTALANDS LÄN</t>
        </is>
      </c>
      <c r="G218" t="inlineStr">
        <is>
          <t>MARIESTAD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46291</v>
      </c>
      <c r="F219" t="inlineStr">
        <is>
          <t>VÄSTRA GÖTALANDS LÄN</t>
        </is>
      </c>
      <c r="G219" t="inlineStr">
        <is>
          <t>MARIESTAD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46291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46291</v>
      </c>
      <c r="F221" t="inlineStr">
        <is>
          <t>VÄSTRA GÖTALANDS LÄN</t>
        </is>
      </c>
      <c r="G221" t="inlineStr">
        <is>
          <t>MARIESTAD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44620</v>
      </c>
      <c r="E222" s="1" t="n">
        <v>46291</v>
      </c>
      <c r="F222" t="inlineStr">
        <is>
          <t>VÄSTRA GÖTALANDS LÄN</t>
        </is>
      </c>
      <c r="G222" t="inlineStr">
        <is>
          <t>MARIESTAD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46291</v>
      </c>
      <c r="F223" t="inlineStr">
        <is>
          <t>VÄSTRA GÖTALANDS LÄN</t>
        </is>
      </c>
      <c r="G223" t="inlineStr">
        <is>
          <t>MARIESTAD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70259-2021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46291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46291</v>
      </c>
      <c r="F225" t="inlineStr">
        <is>
          <t>VÄSTRA GÖTALANDS LÄN</t>
        </is>
      </c>
      <c r="G225" t="inlineStr">
        <is>
          <t>MARIESTAD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46185</v>
      </c>
      <c r="E226" s="1" t="n">
        <v>46291</v>
      </c>
      <c r="F226" t="inlineStr">
        <is>
          <t>VÄSTRA GÖTALANDS LÄN</t>
        </is>
      </c>
      <c r="G226" t="inlineStr">
        <is>
          <t>MARIESTAD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45470</v>
      </c>
      <c r="E227" s="1" t="n">
        <v>46291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44630</v>
      </c>
      <c r="E228" s="1" t="n">
        <v>46291</v>
      </c>
      <c r="F228" t="inlineStr">
        <is>
          <t>VÄSTRA GÖTALANDS LÄN</t>
        </is>
      </c>
      <c r="G228" t="inlineStr">
        <is>
          <t>MARIESTAD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46291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45548</v>
      </c>
      <c r="E230" s="1" t="n">
        <v>46291</v>
      </c>
      <c r="F230" t="inlineStr">
        <is>
          <t>VÄSTRA GÖTALANDS LÄN</t>
        </is>
      </c>
      <c r="G230" t="inlineStr">
        <is>
          <t>MARIESTAD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46291</v>
      </c>
      <c r="F231" t="inlineStr">
        <is>
          <t>VÄSTRA GÖTALANDS LÄN</t>
        </is>
      </c>
      <c r="G231" t="inlineStr">
        <is>
          <t>MARIESTAD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46291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46291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46291</v>
      </c>
      <c r="F234" t="inlineStr">
        <is>
          <t>VÄSTRA GÖTALANDS LÄN</t>
        </is>
      </c>
      <c r="G234" t="inlineStr">
        <is>
          <t>MARIESTAD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50579-2023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45217</v>
      </c>
      <c r="E235" s="1" t="n">
        <v>46291</v>
      </c>
      <c r="F235" t="inlineStr">
        <is>
          <t>VÄSTRA GÖTALANDS LÄN</t>
        </is>
      </c>
      <c r="G235" t="inlineStr">
        <is>
          <t>MARIESTAD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46291</v>
      </c>
      <c r="F236" t="inlineStr">
        <is>
          <t>VÄSTRA GÖTALANDS LÄN</t>
        </is>
      </c>
      <c r="G236" t="inlineStr">
        <is>
          <t>MARIESTAD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46199</v>
      </c>
      <c r="E237" s="1" t="n">
        <v>46291</v>
      </c>
      <c r="F237" t="inlineStr">
        <is>
          <t>VÄSTRA GÖTALANDS LÄN</t>
        </is>
      </c>
      <c r="G237" t="inlineStr">
        <is>
          <t>MARIESTAD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46199</v>
      </c>
      <c r="E238" s="1" t="n">
        <v>46291</v>
      </c>
      <c r="F238" t="inlineStr">
        <is>
          <t>VÄSTRA GÖTALANDS LÄN</t>
        </is>
      </c>
      <c r="G238" t="inlineStr">
        <is>
          <t>MARIESTAD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46291</v>
      </c>
      <c r="F239" t="inlineStr">
        <is>
          <t>VÄSTRA GÖTALANDS LÄN</t>
        </is>
      </c>
      <c r="G239" t="inlineStr">
        <is>
          <t>MARIESTAD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46199</v>
      </c>
      <c r="E240" s="1" t="n">
        <v>46291</v>
      </c>
      <c r="F240" t="inlineStr">
        <is>
          <t>VÄSTRA GÖTALANDS LÄN</t>
        </is>
      </c>
      <c r="G240" t="inlineStr">
        <is>
          <t>MARIESTAD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13798-2022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44649</v>
      </c>
      <c r="E241" s="1" t="n">
        <v>46291</v>
      </c>
      <c r="F241" t="inlineStr">
        <is>
          <t>VÄSTRA GÖTALANDS LÄN</t>
        </is>
      </c>
      <c r="G241" t="inlineStr">
        <is>
          <t>MARIESTAD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44629</v>
      </c>
      <c r="E242" s="1" t="n">
        <v>46291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46291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44645</v>
      </c>
      <c r="E244" s="1" t="n">
        <v>46291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44638</v>
      </c>
      <c r="E245" s="1" t="n">
        <v>46291</v>
      </c>
      <c r="F245" t="inlineStr">
        <is>
          <t>VÄSTRA GÖTALANDS LÄN</t>
        </is>
      </c>
      <c r="G245" t="inlineStr">
        <is>
          <t>MARIESTAD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45200</v>
      </c>
      <c r="E246" s="1" t="n">
        <v>46291</v>
      </c>
      <c r="F246" t="inlineStr">
        <is>
          <t>VÄSTRA GÖTALANDS LÄN</t>
        </is>
      </c>
      <c r="G246" t="inlineStr">
        <is>
          <t>MARIESTAD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46291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46253</v>
      </c>
      <c r="E248" s="1" t="n">
        <v>46291</v>
      </c>
      <c r="F248" t="inlineStr">
        <is>
          <t>VÄSTRA GÖTALANDS LÄN</t>
        </is>
      </c>
      <c r="G248" t="inlineStr">
        <is>
          <t>MARIESTAD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46291</v>
      </c>
      <c r="F249" t="inlineStr">
        <is>
          <t>VÄSTRA GÖTALANDS LÄN</t>
        </is>
      </c>
      <c r="G249" t="inlineStr">
        <is>
          <t>MARIESTAD</t>
        </is>
      </c>
      <c r="I249" t="n">
        <v>10.7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46291</v>
      </c>
      <c r="F250" t="inlineStr">
        <is>
          <t>VÄSTRA GÖTALANDS LÄN</t>
        </is>
      </c>
      <c r="G250" t="inlineStr">
        <is>
          <t>MARIESTAD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46291</v>
      </c>
      <c r="F251" t="inlineStr">
        <is>
          <t>VÄSTRA GÖTALANDS LÄN</t>
        </is>
      </c>
      <c r="G251" t="inlineStr">
        <is>
          <t>MARIESTAD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46291</v>
      </c>
      <c r="F252" t="inlineStr">
        <is>
          <t>VÄSTRA GÖTALANDS LÄN</t>
        </is>
      </c>
      <c r="G252" t="inlineStr">
        <is>
          <t>MARIESTAD</t>
        </is>
      </c>
      <c r="I252" t="n">
        <v>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45764</v>
      </c>
      <c r="E253" s="1" t="n">
        <v>46291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58077-2022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44900</v>
      </c>
      <c r="E254" s="1" t="n">
        <v>46291</v>
      </c>
      <c r="F254" t="inlineStr">
        <is>
          <t>VÄSTRA GÖTALANDS LÄN</t>
        </is>
      </c>
      <c r="G254" t="inlineStr">
        <is>
          <t>MARIESTAD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46291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46261</v>
      </c>
      <c r="E256" s="1" t="n">
        <v>46291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46261</v>
      </c>
      <c r="E257" s="1" t="n">
        <v>46291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46291</v>
      </c>
      <c r="F258" t="inlineStr">
        <is>
          <t>VÄSTRA GÖTALANDS LÄN</t>
        </is>
      </c>
      <c r="G258" t="inlineStr">
        <is>
          <t>MARIESTAD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46262</v>
      </c>
      <c r="E259" s="1" t="n">
        <v>46291</v>
      </c>
      <c r="F259" t="inlineStr">
        <is>
          <t>VÄSTRA GÖTALANDS LÄN</t>
        </is>
      </c>
      <c r="G259" t="inlineStr">
        <is>
          <t>MARIESTAD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46291</v>
      </c>
      <c r="F260" t="inlineStr">
        <is>
          <t>VÄSTRA GÖTALANDS LÄN</t>
        </is>
      </c>
      <c r="G260" t="inlineStr">
        <is>
          <t>MARIESTAD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28050-2022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46291</v>
      </c>
      <c r="F261" t="inlineStr">
        <is>
          <t>VÄSTRA GÖTALANDS LÄN</t>
        </is>
      </c>
      <c r="G261" t="inlineStr">
        <is>
          <t>MARIESTAD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46291</v>
      </c>
      <c r="F262" t="inlineStr">
        <is>
          <t>VÄSTRA GÖTALANDS LÄN</t>
        </is>
      </c>
      <c r="G262" t="inlineStr">
        <is>
          <t>MARIESTAD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35047-2022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44797</v>
      </c>
      <c r="E263" s="1" t="n">
        <v>46291</v>
      </c>
      <c r="F263" t="inlineStr">
        <is>
          <t>VÄSTRA GÖTALANDS LÄN</t>
        </is>
      </c>
      <c r="G263" t="inlineStr">
        <is>
          <t>MARIESTAD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61603-2023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45265</v>
      </c>
      <c r="E264" s="1" t="n">
        <v>46291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46291</v>
      </c>
      <c r="F265" t="inlineStr">
        <is>
          <t>VÄSTRA GÖTALANDS LÄN</t>
        </is>
      </c>
      <c r="G265" t="inlineStr">
        <is>
          <t>MARIESTAD</t>
        </is>
      </c>
      <c r="I265" t="n">
        <v>11.9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44693</v>
      </c>
      <c r="E266" s="1" t="n">
        <v>46291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46291</v>
      </c>
      <c r="F267" t="inlineStr">
        <is>
          <t>VÄSTRA GÖTALANDS LÄN</t>
        </is>
      </c>
      <c r="G267" t="inlineStr">
        <is>
          <t>MARIESTAD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49389-2023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45211</v>
      </c>
      <c r="E268" s="1" t="n">
        <v>46291</v>
      </c>
      <c r="F268" t="inlineStr">
        <is>
          <t>VÄSTRA GÖTALANDS LÄN</t>
        </is>
      </c>
      <c r="G268" t="inlineStr">
        <is>
          <t>MARIESTAD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46291</v>
      </c>
      <c r="F269" t="inlineStr">
        <is>
          <t>VÄSTRA GÖTALANDS LÄN</t>
        </is>
      </c>
      <c r="G269" t="inlineStr">
        <is>
          <t>MARIESTAD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45135</v>
      </c>
      <c r="E270" s="1" t="n">
        <v>46291</v>
      </c>
      <c r="F270" t="inlineStr">
        <is>
          <t>VÄSTRA GÖTALANDS LÄN</t>
        </is>
      </c>
      <c r="G270" t="inlineStr">
        <is>
          <t>MARIESTAD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45528</v>
      </c>
      <c r="E271" s="1" t="n">
        <v>46291</v>
      </c>
      <c r="F271" t="inlineStr">
        <is>
          <t>VÄSTRA GÖTALANDS LÄN</t>
        </is>
      </c>
      <c r="G271" t="inlineStr">
        <is>
          <t>MARIESTAD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44756</v>
      </c>
      <c r="E272" s="1" t="n">
        <v>46291</v>
      </c>
      <c r="F272" t="inlineStr">
        <is>
          <t>VÄSTRA GÖTALANDS LÄN</t>
        </is>
      </c>
      <c r="G272" t="inlineStr">
        <is>
          <t>MARIESTAD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46291</v>
      </c>
      <c r="F273" t="inlineStr">
        <is>
          <t>VÄSTRA GÖTALANDS LÄN</t>
        </is>
      </c>
      <c r="G273" t="inlineStr">
        <is>
          <t>MARIESTAD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46288</v>
      </c>
      <c r="E274" s="1" t="n">
        <v>46291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46291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46288</v>
      </c>
      <c r="E276" s="1" t="n">
        <v>46291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46291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46291</v>
      </c>
      <c r="F278" t="inlineStr">
        <is>
          <t>VÄSTRA GÖTALANDS LÄN</t>
        </is>
      </c>
      <c r="G278" t="inlineStr">
        <is>
          <t>MARIESTAD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39286-2026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46288</v>
      </c>
      <c r="E279" s="1" t="n">
        <v>46291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46291</v>
      </c>
      <c r="F280" t="inlineStr">
        <is>
          <t>VÄSTRA GÖTALANDS LÄN</t>
        </is>
      </c>
      <c r="G280" t="inlineStr">
        <is>
          <t>MARIESTAD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46288</v>
      </c>
      <c r="E281" s="1" t="n">
        <v>46291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46288</v>
      </c>
      <c r="E282" s="1" t="n">
        <v>46291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46291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Kyrkan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46291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60376-2021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46291</v>
      </c>
      <c r="F285" t="inlineStr">
        <is>
          <t>VÄSTRA GÖTALANDS LÄN</t>
        </is>
      </c>
      <c r="G285" t="inlineStr">
        <is>
          <t>MARIESTAD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46291</v>
      </c>
      <c r="F286" t="inlineStr">
        <is>
          <t>VÄSTRA GÖTALANDS LÄN</t>
        </is>
      </c>
      <c r="G286" t="inlineStr">
        <is>
          <t>MARIESTAD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45203</v>
      </c>
      <c r="E287" s="1" t="n">
        <v>46291</v>
      </c>
      <c r="F287" t="inlineStr">
        <is>
          <t>VÄSTRA GÖTALANDS LÄN</t>
        </is>
      </c>
      <c r="G287" t="inlineStr">
        <is>
          <t>MARIESTAD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46291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Naturvårdsverket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44617</v>
      </c>
      <c r="E289" s="1" t="n">
        <v>46291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44930</v>
      </c>
      <c r="E290" s="1" t="n">
        <v>46291</v>
      </c>
      <c r="F290" t="inlineStr">
        <is>
          <t>VÄSTRA GÖTALANDS LÄN</t>
        </is>
      </c>
      <c r="G290" t="inlineStr">
        <is>
          <t>MARIESTAD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46290</v>
      </c>
      <c r="E291" s="1" t="n">
        <v>46291</v>
      </c>
      <c r="F291" t="inlineStr">
        <is>
          <t>VÄSTRA GÖTALANDS LÄN</t>
        </is>
      </c>
      <c r="G291" t="inlineStr">
        <is>
          <t>MARIESTAD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44816</v>
      </c>
      <c r="E292" s="1" t="n">
        <v>46291</v>
      </c>
      <c r="F292" t="inlineStr">
        <is>
          <t>VÄSTRA GÖTALANDS LÄN</t>
        </is>
      </c>
      <c r="G292" t="inlineStr">
        <is>
          <t>MARIESTAD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44937</v>
      </c>
      <c r="E293" s="1" t="n">
        <v>46291</v>
      </c>
      <c r="F293" t="inlineStr">
        <is>
          <t>VÄSTRA GÖTALANDS LÄN</t>
        </is>
      </c>
      <c r="G293" t="inlineStr">
        <is>
          <t>MARIESTAD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45674</v>
      </c>
      <c r="E294" s="1" t="n">
        <v>46291</v>
      </c>
      <c r="F294" t="inlineStr">
        <is>
          <t>VÄSTRA GÖTALANDS LÄN</t>
        </is>
      </c>
      <c r="G294" t="inlineStr">
        <is>
          <t>MARIESTAD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46291</v>
      </c>
      <c r="F295" t="inlineStr">
        <is>
          <t>VÄSTRA GÖTALANDS LÄN</t>
        </is>
      </c>
      <c r="G295" t="inlineStr">
        <is>
          <t>MARIESTAD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46291</v>
      </c>
      <c r="F296" t="inlineStr">
        <is>
          <t>VÄSTRA GÖTALANDS LÄN</t>
        </is>
      </c>
      <c r="G296" t="inlineStr">
        <is>
          <t>MARIESTAD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46291</v>
      </c>
      <c r="F297" t="inlineStr">
        <is>
          <t>VÄSTRA GÖTALANDS LÄN</t>
        </is>
      </c>
      <c r="G297" t="inlineStr">
        <is>
          <t>MARIESTAD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46291</v>
      </c>
      <c r="F298" t="inlineStr">
        <is>
          <t>VÄSTRA GÖTALANDS LÄN</t>
        </is>
      </c>
      <c r="G298" t="inlineStr">
        <is>
          <t>MARIESTAD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46291</v>
      </c>
      <c r="F299" t="inlineStr">
        <is>
          <t>VÄSTRA GÖTALANDS LÄN</t>
        </is>
      </c>
      <c r="G299" t="inlineStr">
        <is>
          <t>MARIESTAD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45639</v>
      </c>
      <c r="E300" s="1" t="n">
        <v>46291</v>
      </c>
      <c r="F300" t="inlineStr">
        <is>
          <t>VÄSTRA GÖTALANDS LÄN</t>
        </is>
      </c>
      <c r="G300" t="inlineStr">
        <is>
          <t>MARIESTAD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46291</v>
      </c>
      <c r="F301" t="inlineStr">
        <is>
          <t>VÄSTRA GÖTALANDS LÄN</t>
        </is>
      </c>
      <c r="G301" t="inlineStr">
        <is>
          <t>MARIESTAD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46291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46291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45324</v>
      </c>
      <c r="E304" s="1" t="n">
        <v>46291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45530</v>
      </c>
      <c r="E305" s="1" t="n">
        <v>46291</v>
      </c>
      <c r="F305" t="inlineStr">
        <is>
          <t>VÄSTRA GÖTALANDS LÄN</t>
        </is>
      </c>
      <c r="G305" t="inlineStr">
        <is>
          <t>MARIESTAD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44536</v>
      </c>
      <c r="E306" s="1" t="n">
        <v>46291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46291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46291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46291</v>
      </c>
      <c r="F309" t="inlineStr">
        <is>
          <t>VÄSTRA GÖTALANDS LÄN</t>
        </is>
      </c>
      <c r="G309" t="inlineStr">
        <is>
          <t>MARIESTAD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46291</v>
      </c>
      <c r="F310" t="inlineStr">
        <is>
          <t>VÄSTRA GÖTALANDS LÄN</t>
        </is>
      </c>
      <c r="G310" t="inlineStr">
        <is>
          <t>MARIESTAD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46291</v>
      </c>
      <c r="F311" t="inlineStr">
        <is>
          <t>VÄSTRA GÖTALANDS LÄN</t>
        </is>
      </c>
      <c r="G311" t="inlineStr">
        <is>
          <t>MARIESTAD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46291</v>
      </c>
      <c r="F312" t="inlineStr">
        <is>
          <t>VÄSTRA GÖTALANDS LÄN</t>
        </is>
      </c>
      <c r="G312" t="inlineStr">
        <is>
          <t>MARIESTAD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46291</v>
      </c>
      <c r="F313" t="inlineStr">
        <is>
          <t>VÄSTRA GÖTALANDS LÄN</t>
        </is>
      </c>
      <c r="G313" t="inlineStr">
        <is>
          <t>MARIESTAD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46291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44843</v>
      </c>
      <c r="E315" s="1" t="n">
        <v>46291</v>
      </c>
      <c r="F315" t="inlineStr">
        <is>
          <t>VÄSTRA GÖTALANDS LÄN</t>
        </is>
      </c>
      <c r="G315" t="inlineStr">
        <is>
          <t>MARIESTAD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46291</v>
      </c>
      <c r="F316" t="inlineStr">
        <is>
          <t>VÄSTRA GÖTALANDS LÄN</t>
        </is>
      </c>
      <c r="G316" t="inlineStr">
        <is>
          <t>MARIESTAD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46291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46291</v>
      </c>
      <c r="F318" t="inlineStr">
        <is>
          <t>VÄSTRA GÖTALANDS LÄN</t>
        </is>
      </c>
      <c r="G318" t="inlineStr">
        <is>
          <t>MARIESTAD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46291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Kyrkan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44890</v>
      </c>
      <c r="E320" s="1" t="n">
        <v>46291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46291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65197-2023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45289</v>
      </c>
      <c r="E322" s="1" t="n">
        <v>46291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46291</v>
      </c>
      <c r="F323" t="inlineStr">
        <is>
          <t>VÄSTRA GÖTALANDS LÄN</t>
        </is>
      </c>
      <c r="G323" t="inlineStr">
        <is>
          <t>MARIESTAD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44774</v>
      </c>
      <c r="E324" s="1" t="n">
        <v>46291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46291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46291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46291</v>
      </c>
      <c r="F327" t="inlineStr">
        <is>
          <t>VÄSTRA GÖTALANDS LÄN</t>
        </is>
      </c>
      <c r="G327" t="inlineStr">
        <is>
          <t>MARIESTAD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44957</v>
      </c>
      <c r="E328" s="1" t="n">
        <v>46291</v>
      </c>
      <c r="F328" t="inlineStr">
        <is>
          <t>VÄSTRA GÖTALANDS LÄN</t>
        </is>
      </c>
      <c r="G328" t="inlineStr">
        <is>
          <t>MARIESTAD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46291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46291</v>
      </c>
      <c r="F330" t="inlineStr">
        <is>
          <t>VÄSTRA GÖTALANDS LÄN</t>
        </is>
      </c>
      <c r="G330" t="inlineStr">
        <is>
          <t>MARIESTAD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46291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46291</v>
      </c>
      <c r="F332" t="inlineStr">
        <is>
          <t>VÄSTRA GÖTALANDS LÄN</t>
        </is>
      </c>
      <c r="G332" t="inlineStr">
        <is>
          <t>MARIESTAD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46291</v>
      </c>
      <c r="F333" t="inlineStr">
        <is>
          <t>VÄSTRA GÖTALANDS LÄN</t>
        </is>
      </c>
      <c r="G333" t="inlineStr">
        <is>
          <t>MARIESTAD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45384</v>
      </c>
      <c r="E334" s="1" t="n">
        <v>46291</v>
      </c>
      <c r="F334" t="inlineStr">
        <is>
          <t>VÄSTRA GÖTALANDS LÄN</t>
        </is>
      </c>
      <c r="G334" t="inlineStr">
        <is>
          <t>MARIESTAD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45720</v>
      </c>
      <c r="E335" s="1" t="n">
        <v>46291</v>
      </c>
      <c r="F335" t="inlineStr">
        <is>
          <t>VÄSTRA GÖTALANDS LÄN</t>
        </is>
      </c>
      <c r="G335" t="inlineStr">
        <is>
          <t>MARIESTAD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46291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Kyrkan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46291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46291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45307</v>
      </c>
      <c r="E339" s="1" t="n">
        <v>46291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48324-2024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45590</v>
      </c>
      <c r="E340" s="1" t="n">
        <v>46291</v>
      </c>
      <c r="F340" t="inlineStr">
        <is>
          <t>VÄSTRA GÖTALANDS LÄN</t>
        </is>
      </c>
      <c r="G340" t="inlineStr">
        <is>
          <t>MARIESTAD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46291</v>
      </c>
      <c r="F341" t="inlineStr">
        <is>
          <t>VÄSTRA GÖTALANDS LÄN</t>
        </is>
      </c>
      <c r="G341" t="inlineStr">
        <is>
          <t>MARIESTAD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46291</v>
      </c>
      <c r="F342" t="inlineStr">
        <is>
          <t>VÄSTRA GÖTALANDS LÄN</t>
        </is>
      </c>
      <c r="G342" t="inlineStr">
        <is>
          <t>MARIESTAD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66772-2021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44521</v>
      </c>
      <c r="E343" s="1" t="n">
        <v>46291</v>
      </c>
      <c r="F343" t="inlineStr">
        <is>
          <t>VÄSTRA GÖTALANDS LÄN</t>
        </is>
      </c>
      <c r="G343" t="inlineStr">
        <is>
          <t>MARIESTAD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46291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46291</v>
      </c>
      <c r="F345" t="inlineStr">
        <is>
          <t>VÄSTRA GÖTALANDS LÄN</t>
        </is>
      </c>
      <c r="G345" t="inlineStr">
        <is>
          <t>MARIESTAD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45331</v>
      </c>
      <c r="E346" s="1" t="n">
        <v>46291</v>
      </c>
      <c r="F346" t="inlineStr">
        <is>
          <t>VÄSTRA GÖTALANDS LÄN</t>
        </is>
      </c>
      <c r="G346" t="inlineStr">
        <is>
          <t>MARIESTAD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46291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46291</v>
      </c>
      <c r="F348" t="inlineStr">
        <is>
          <t>VÄSTRA GÖTALANDS LÄN</t>
        </is>
      </c>
      <c r="G348" t="inlineStr">
        <is>
          <t>MARIESTAD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46291</v>
      </c>
      <c r="F349" t="inlineStr">
        <is>
          <t>VÄSTRA GÖTALANDS LÄN</t>
        </is>
      </c>
      <c r="G349" t="inlineStr">
        <is>
          <t>MARIESTAD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46291</v>
      </c>
      <c r="F350" t="inlineStr">
        <is>
          <t>VÄSTRA GÖTALANDS LÄN</t>
        </is>
      </c>
      <c r="G350" t="inlineStr">
        <is>
          <t>MARIESTAD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46291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46291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46291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2026-09-26T02:04:46Z</dcterms:created>
  <dcterms:modified xmlns:dcterms="http://purl.org/dc/terms/" xmlns:xsi="http://www.w3.org/2001/XMLSchema-instance" xsi:type="dcterms:W3CDTF">2026-09-26T02:04:46Z</dcterms:modified>
</cp:coreProperties>
</file>