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46052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46052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46052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46052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46052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11073-2022</t>
        </is>
      </c>
      <c r="B7" s="1" t="n">
        <v>44628</v>
      </c>
      <c r="C7" s="1" t="n">
        <v>46052</v>
      </c>
      <c r="D7" t="inlineStr">
        <is>
          <t>VÄSTRA GÖTALANDS LÄN</t>
        </is>
      </c>
      <c r="E7" t="inlineStr">
        <is>
          <t>MARIESTAD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Skogsduva</t>
        </is>
      </c>
      <c r="S7">
        <f>HYPERLINK("https://klasma.github.io/Logging_1493/artfynd/A 11073-2022 artfynd.xlsx", "A 11073-2022")</f>
        <v/>
      </c>
      <c r="T7">
        <f>HYPERLINK("https://klasma.github.io/Logging_1493/kartor/A 11073-2022 karta.png", "A 11073-2022")</f>
        <v/>
      </c>
      <c r="V7">
        <f>HYPERLINK("https://klasma.github.io/Logging_1493/klagomål/A 11073-2022 FSC-klagomål.docx", "A 11073-2022")</f>
        <v/>
      </c>
      <c r="W7">
        <f>HYPERLINK("https://klasma.github.io/Logging_1493/klagomålsmail/A 11073-2022 FSC-klagomål mail.docx", "A 11073-2022")</f>
        <v/>
      </c>
      <c r="X7">
        <f>HYPERLINK("https://klasma.github.io/Logging_1493/tillsyn/A 11073-2022 tillsynsbegäran.docx", "A 11073-2022")</f>
        <v/>
      </c>
      <c r="Y7">
        <f>HYPERLINK("https://klasma.github.io/Logging_1493/tillsynsmail/A 11073-2022 tillsynsbegäran mail.docx", "A 11073-2022")</f>
        <v/>
      </c>
      <c r="Z7">
        <f>HYPERLINK("https://klasma.github.io/Logging_1493/fåglar/A 11073-2022 prioriterade fågelarter.docx", "A 11073-2022")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46052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46052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46052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46052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46052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46052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46052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46052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46052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46052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brunfladdermus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46052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46052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46052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46052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46052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46052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46052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43580-2025</t>
        </is>
      </c>
      <c r="B25" s="1" t="n">
        <v>45911.6475462963</v>
      </c>
      <c r="C25" s="1" t="n">
        <v>46052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HYPERLINK("https://klasma.github.io/Logging_1493/artfynd/A 43580-2025 artfynd.xlsx", "A 43580-2025")</f>
        <v/>
      </c>
      <c r="T25">
        <f>HYPERLINK("https://klasma.github.io/Logging_1493/kartor/A 43580-2025 karta.png", "A 43580-2025")</f>
        <v/>
      </c>
      <c r="V25">
        <f>HYPERLINK("https://klasma.github.io/Logging_1493/klagomål/A 43580-2025 FSC-klagomål.docx", "A 43580-2025")</f>
        <v/>
      </c>
      <c r="W25">
        <f>HYPERLINK("https://klasma.github.io/Logging_1493/klagomålsmail/A 43580-2025 FSC-klagomål mail.docx", "A 43580-2025")</f>
        <v/>
      </c>
      <c r="X25">
        <f>HYPERLINK("https://klasma.github.io/Logging_1493/tillsyn/A 43580-2025 tillsynsbegäran.docx", "A 43580-2025")</f>
        <v/>
      </c>
      <c r="Y25">
        <f>HYPERLINK("https://klasma.github.io/Logging_1493/tillsynsmail/A 43580-2025 tillsynsbegäran mail.docx", "A 43580-2025")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46052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46052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46052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46052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44464-2022</t>
        </is>
      </c>
      <c r="B30" s="1" t="n">
        <v>44840.30342592593</v>
      </c>
      <c r="C30" s="1" t="n">
        <v>46052</v>
      </c>
      <c r="D30" t="inlineStr">
        <is>
          <t>VÄSTRA GÖTALANDS LÄN</t>
        </is>
      </c>
      <c r="E30" t="inlineStr">
        <is>
          <t>MARIESTAD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47034-2022</t>
        </is>
      </c>
      <c r="B31" s="1" t="n">
        <v>44852</v>
      </c>
      <c r="C31" s="1" t="n">
        <v>46052</v>
      </c>
      <c r="D31" t="inlineStr">
        <is>
          <t>VÄSTRA GÖTALANDS LÄN</t>
        </is>
      </c>
      <c r="E31" t="inlineStr">
        <is>
          <t>MARIESTAD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46052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54484-2021</t>
        </is>
      </c>
      <c r="B33" s="1" t="n">
        <v>44473.49318287037</v>
      </c>
      <c r="C33" s="1" t="n">
        <v>46052</v>
      </c>
      <c r="D33" t="inlineStr">
        <is>
          <t>VÄSTRA GÖTALANDS LÄN</t>
        </is>
      </c>
      <c r="E33" t="inlineStr">
        <is>
          <t>MARIESTAD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46052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57794-2021</t>
        </is>
      </c>
      <c r="B35" s="1" t="n">
        <v>44484</v>
      </c>
      <c r="C35" s="1" t="n">
        <v>46052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14495-2021</t>
        </is>
      </c>
      <c r="B36" s="1" t="n">
        <v>44279</v>
      </c>
      <c r="C36" s="1" t="n">
        <v>46052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46052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46052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1640-2022</t>
        </is>
      </c>
      <c r="B39" s="1" t="n">
        <v>44574</v>
      </c>
      <c r="C39" s="1" t="n">
        <v>46052</v>
      </c>
      <c r="D39" t="inlineStr">
        <is>
          <t>VÄSTRA GÖTALANDS LÄN</t>
        </is>
      </c>
      <c r="E39" t="inlineStr">
        <is>
          <t>MARIESTAD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46052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46052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46052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46052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46052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46052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46052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46052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53758-2022</t>
        </is>
      </c>
      <c r="B48" s="1" t="n">
        <v>44880</v>
      </c>
      <c r="C48" s="1" t="n">
        <v>46052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46052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46052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46052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46052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46052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46052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46052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46052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46573-2021</t>
        </is>
      </c>
      <c r="B57" s="1" t="n">
        <v>44445</v>
      </c>
      <c r="C57" s="1" t="n">
        <v>46052</v>
      </c>
      <c r="D57" t="inlineStr">
        <is>
          <t>VÄSTRA GÖTALANDS LÄN</t>
        </is>
      </c>
      <c r="E57" t="inlineStr">
        <is>
          <t>MARIESTAD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32167-2021</t>
        </is>
      </c>
      <c r="B58" s="1" t="n">
        <v>44371</v>
      </c>
      <c r="C58" s="1" t="n">
        <v>46052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49896-2021</t>
        </is>
      </c>
      <c r="B59" s="1" t="n">
        <v>44455.72633101852</v>
      </c>
      <c r="C59" s="1" t="n">
        <v>46052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19544-2022</t>
        </is>
      </c>
      <c r="B60" s="1" t="n">
        <v>44693</v>
      </c>
      <c r="C60" s="1" t="n">
        <v>46052</v>
      </c>
      <c r="D60" t="inlineStr">
        <is>
          <t>VÄSTRA GÖTALANDS LÄN</t>
        </is>
      </c>
      <c r="E60" t="inlineStr">
        <is>
          <t>MARIESTAD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24603-2021</t>
        </is>
      </c>
      <c r="B61" s="1" t="n">
        <v>44340</v>
      </c>
      <c r="C61" s="1" t="n">
        <v>46052</v>
      </c>
      <c r="D61" t="inlineStr">
        <is>
          <t>VÄSTRA GÖTALANDS LÄN</t>
        </is>
      </c>
      <c r="E61" t="inlineStr">
        <is>
          <t>MARIESTAD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46052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46052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46052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46052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46052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5152-2021</t>
        </is>
      </c>
      <c r="B67" s="1" t="n">
        <v>44228</v>
      </c>
      <c r="C67" s="1" t="n">
        <v>46052</v>
      </c>
      <c r="D67" t="inlineStr">
        <is>
          <t>VÄSTRA GÖTALANDS LÄN</t>
        </is>
      </c>
      <c r="E67" t="inlineStr">
        <is>
          <t>MARIESTAD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46052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46052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46052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46052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43562-2021</t>
        </is>
      </c>
      <c r="B72" s="1" t="n">
        <v>44433.41525462963</v>
      </c>
      <c r="C72" s="1" t="n">
        <v>46052</v>
      </c>
      <c r="D72" t="inlineStr">
        <is>
          <t>VÄSTRA GÖTALANDS LÄN</t>
        </is>
      </c>
      <c r="E72" t="inlineStr">
        <is>
          <t>MARIESTAD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10129-2021</t>
        </is>
      </c>
      <c r="B73" s="1" t="n">
        <v>44256</v>
      </c>
      <c r="C73" s="1" t="n">
        <v>46052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4631-2022</t>
        </is>
      </c>
      <c r="B74" s="1" t="n">
        <v>44592.403125</v>
      </c>
      <c r="C74" s="1" t="n">
        <v>46052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13790-2022</t>
        </is>
      </c>
      <c r="B75" s="1" t="n">
        <v>44649</v>
      </c>
      <c r="C75" s="1" t="n">
        <v>46052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29939-2021</t>
        </is>
      </c>
      <c r="B76" s="1" t="n">
        <v>44363.29069444445</v>
      </c>
      <c r="C76" s="1" t="n">
        <v>46052</v>
      </c>
      <c r="D76" t="inlineStr">
        <is>
          <t>VÄSTRA GÖTALANDS LÄN</t>
        </is>
      </c>
      <c r="E76" t="inlineStr">
        <is>
          <t>MARIESTAD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1113-2022</t>
        </is>
      </c>
      <c r="B77" s="1" t="n">
        <v>44572</v>
      </c>
      <c r="C77" s="1" t="n">
        <v>46052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Naturvårdsverket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813-2022</t>
        </is>
      </c>
      <c r="B78" s="1" t="n">
        <v>44571</v>
      </c>
      <c r="C78" s="1" t="n">
        <v>46052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58896-2022</t>
        </is>
      </c>
      <c r="B79" s="1" t="n">
        <v>44903.59100694444</v>
      </c>
      <c r="C79" s="1" t="n">
        <v>46052</v>
      </c>
      <c r="D79" t="inlineStr">
        <is>
          <t>VÄSTRA GÖTALANDS LÄN</t>
        </is>
      </c>
      <c r="E79" t="inlineStr">
        <is>
          <t>MARIESTAD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7486-2025</t>
        </is>
      </c>
      <c r="B80" s="1" t="n">
        <v>45705.47484953704</v>
      </c>
      <c r="C80" s="1" t="n">
        <v>46052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7487-2025</t>
        </is>
      </c>
      <c r="B81" s="1" t="n">
        <v>45705.47769675926</v>
      </c>
      <c r="C81" s="1" t="n">
        <v>46052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46052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10826-2025</t>
        </is>
      </c>
      <c r="B83" s="1" t="n">
        <v>45722.55954861111</v>
      </c>
      <c r="C83" s="1" t="n">
        <v>46052</v>
      </c>
      <c r="D83" t="inlineStr">
        <is>
          <t>VÄSTRA GÖTALANDS LÄN</t>
        </is>
      </c>
      <c r="E83" t="inlineStr">
        <is>
          <t>MARIESTAD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11587-2025</t>
        </is>
      </c>
      <c r="B84" s="1" t="n">
        <v>45727.40679398148</v>
      </c>
      <c r="C84" s="1" t="n">
        <v>46052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7159-2025</t>
        </is>
      </c>
      <c r="B85" s="1" t="n">
        <v>45702.38752314815</v>
      </c>
      <c r="C85" s="1" t="n">
        <v>46052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44843.6315625</v>
      </c>
      <c r="C86" s="1" t="n">
        <v>46052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45677.82644675926</v>
      </c>
      <c r="C87" s="1" t="n">
        <v>46052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49582-2023</t>
        </is>
      </c>
      <c r="B88" s="1" t="n">
        <v>45211.67170138889</v>
      </c>
      <c r="C88" s="1" t="n">
        <v>46052</v>
      </c>
      <c r="D88" t="inlineStr">
        <is>
          <t>VÄSTRA GÖTALANDS LÄN</t>
        </is>
      </c>
      <c r="E88" t="inlineStr">
        <is>
          <t>MARIESTAD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62751-2023</t>
        </is>
      </c>
      <c r="B89" s="1" t="n">
        <v>45271.62438657408</v>
      </c>
      <c r="C89" s="1" t="n">
        <v>46052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67133-2021</t>
        </is>
      </c>
      <c r="B90" s="1" t="n">
        <v>44523.37383101852</v>
      </c>
      <c r="C90" s="1" t="n">
        <v>46052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10457-2025</t>
        </is>
      </c>
      <c r="B91" s="1" t="n">
        <v>45720</v>
      </c>
      <c r="C91" s="1" t="n">
        <v>46052</v>
      </c>
      <c r="D91" t="inlineStr">
        <is>
          <t>VÄSTRA GÖTALANDS LÄN</t>
        </is>
      </c>
      <c r="E91" t="inlineStr">
        <is>
          <t>MARIESTAD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645-2024</t>
        </is>
      </c>
      <c r="B92" s="1" t="n">
        <v>45299.79818287037</v>
      </c>
      <c r="C92" s="1" t="n">
        <v>46052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11089-2023</t>
        </is>
      </c>
      <c r="B93" s="1" t="n">
        <v>44986</v>
      </c>
      <c r="C93" s="1" t="n">
        <v>46052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50579-2023</t>
        </is>
      </c>
      <c r="B94" s="1" t="n">
        <v>45217</v>
      </c>
      <c r="C94" s="1" t="n">
        <v>46052</v>
      </c>
      <c r="D94" t="inlineStr">
        <is>
          <t>VÄSTRA GÖTALANDS LÄN</t>
        </is>
      </c>
      <c r="E94" t="inlineStr">
        <is>
          <t>MARIESTAD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50581-2023</t>
        </is>
      </c>
      <c r="B95" s="1" t="n">
        <v>45217.39053240741</v>
      </c>
      <c r="C95" s="1" t="n">
        <v>46052</v>
      </c>
      <c r="D95" t="inlineStr">
        <is>
          <t>VÄSTRA GÖTALANDS LÄN</t>
        </is>
      </c>
      <c r="E95" t="inlineStr">
        <is>
          <t>MARIESTAD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41993-2022</t>
        </is>
      </c>
      <c r="B96" s="1" t="n">
        <v>44830</v>
      </c>
      <c r="C96" s="1" t="n">
        <v>46052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629-2023</t>
        </is>
      </c>
      <c r="B97" s="1" t="n">
        <v>44930.62032407407</v>
      </c>
      <c r="C97" s="1" t="n">
        <v>46052</v>
      </c>
      <c r="D97" t="inlineStr">
        <is>
          <t>VÄSTRA GÖTALANDS LÄN</t>
        </is>
      </c>
      <c r="E97" t="inlineStr">
        <is>
          <t>MARIESTAD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21054-2025</t>
        </is>
      </c>
      <c r="B98" s="1" t="n">
        <v>45777.56768518518</v>
      </c>
      <c r="C98" s="1" t="n">
        <v>46052</v>
      </c>
      <c r="D98" t="inlineStr">
        <is>
          <t>VÄSTRA GÖTALANDS LÄN</t>
        </is>
      </c>
      <c r="E98" t="inlineStr">
        <is>
          <t>MARIESTAD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68922-2021</t>
        </is>
      </c>
      <c r="B99" s="1" t="n">
        <v>44530</v>
      </c>
      <c r="C99" s="1" t="n">
        <v>46052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5164-2024</t>
        </is>
      </c>
      <c r="B100" s="1" t="n">
        <v>45330.53326388889</v>
      </c>
      <c r="C100" s="1" t="n">
        <v>46052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10408-2025</t>
        </is>
      </c>
      <c r="B101" s="1" t="n">
        <v>45720</v>
      </c>
      <c r="C101" s="1" t="n">
        <v>46052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21737-2025</t>
        </is>
      </c>
      <c r="B102" s="1" t="n">
        <v>45783.59091435185</v>
      </c>
      <c r="C102" s="1" t="n">
        <v>46052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18243-2025</t>
        </is>
      </c>
      <c r="B103" s="1" t="n">
        <v>45762.31956018518</v>
      </c>
      <c r="C103" s="1" t="n">
        <v>46052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18245-2025</t>
        </is>
      </c>
      <c r="B104" s="1" t="n">
        <v>45762.32237268519</v>
      </c>
      <c r="C104" s="1" t="n">
        <v>46052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21739-2025</t>
        </is>
      </c>
      <c r="B105" s="1" t="n">
        <v>45783.59233796296</v>
      </c>
      <c r="C105" s="1" t="n">
        <v>46052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21740-2025</t>
        </is>
      </c>
      <c r="B106" s="1" t="n">
        <v>45783.59347222222</v>
      </c>
      <c r="C106" s="1" t="n">
        <v>46052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4017-2025</t>
        </is>
      </c>
      <c r="B107" s="1" t="n">
        <v>45684.58362268518</v>
      </c>
      <c r="C107" s="1" t="n">
        <v>46052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1636-2022</t>
        </is>
      </c>
      <c r="B108" s="1" t="n">
        <v>44574.24587962963</v>
      </c>
      <c r="C108" s="1" t="n">
        <v>46052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46655-2021</t>
        </is>
      </c>
      <c r="B109" s="1" t="n">
        <v>44445</v>
      </c>
      <c r="C109" s="1" t="n">
        <v>46052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48297-2024</t>
        </is>
      </c>
      <c r="B110" s="1" t="n">
        <v>45590.4659837963</v>
      </c>
      <c r="C110" s="1" t="n">
        <v>46052</v>
      </c>
      <c r="D110" t="inlineStr">
        <is>
          <t>VÄSTRA GÖTALANDS LÄN</t>
        </is>
      </c>
      <c r="E110" t="inlineStr">
        <is>
          <t>MARIESTAD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14977-2023</t>
        </is>
      </c>
      <c r="B111" s="1" t="n">
        <v>45015.53054398148</v>
      </c>
      <c r="C111" s="1" t="n">
        <v>46052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14657-2024</t>
        </is>
      </c>
      <c r="B112" s="1" t="n">
        <v>45397</v>
      </c>
      <c r="C112" s="1" t="n">
        <v>46052</v>
      </c>
      <c r="D112" t="inlineStr">
        <is>
          <t>VÄSTRA GÖTALANDS LÄN</t>
        </is>
      </c>
      <c r="E112" t="inlineStr">
        <is>
          <t>MARIESTAD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7490-2025</t>
        </is>
      </c>
      <c r="B113" s="1" t="n">
        <v>45705.47967592593</v>
      </c>
      <c r="C113" s="1" t="n">
        <v>46052</v>
      </c>
      <c r="D113" t="inlineStr">
        <is>
          <t>VÄSTRA GÖTALANDS LÄN</t>
        </is>
      </c>
      <c r="E113" t="inlineStr">
        <is>
          <t>MARIESTAD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11147-2022</t>
        </is>
      </c>
      <c r="B114" s="1" t="n">
        <v>44629</v>
      </c>
      <c r="C114" s="1" t="n">
        <v>46052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42000-2022</t>
        </is>
      </c>
      <c r="B115" s="1" t="n">
        <v>44830</v>
      </c>
      <c r="C115" s="1" t="n">
        <v>46052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53097-2022</t>
        </is>
      </c>
      <c r="B116" s="1" t="n">
        <v>44876.42122685185</v>
      </c>
      <c r="C116" s="1" t="n">
        <v>46052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58077-2022</t>
        </is>
      </c>
      <c r="B117" s="1" t="n">
        <v>44900</v>
      </c>
      <c r="C117" s="1" t="n">
        <v>46052</v>
      </c>
      <c r="D117" t="inlineStr">
        <is>
          <t>VÄSTRA GÖTALANDS LÄN</t>
        </is>
      </c>
      <c r="E117" t="inlineStr">
        <is>
          <t>MARIESTAD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4437-2024</t>
        </is>
      </c>
      <c r="B118" s="1" t="n">
        <v>45324</v>
      </c>
      <c r="C118" s="1" t="n">
        <v>46052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1847-2024</t>
        </is>
      </c>
      <c r="B119" s="1" t="n">
        <v>45307.69517361111</v>
      </c>
      <c r="C119" s="1" t="n">
        <v>46052</v>
      </c>
      <c r="D119" t="inlineStr">
        <is>
          <t>VÄSTRA GÖTALANDS LÄN</t>
        </is>
      </c>
      <c r="E119" t="inlineStr">
        <is>
          <t>MARIESTAD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32169-2021</t>
        </is>
      </c>
      <c r="B120" s="1" t="n">
        <v>44371</v>
      </c>
      <c r="C120" s="1" t="n">
        <v>46052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38108-2022</t>
        </is>
      </c>
      <c r="B121" s="1" t="n">
        <v>44812.25462962963</v>
      </c>
      <c r="C121" s="1" t="n">
        <v>46052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22414-2025</t>
        </is>
      </c>
      <c r="B122" s="1" t="n">
        <v>45786.55561342592</v>
      </c>
      <c r="C122" s="1" t="n">
        <v>46052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4685-2023</t>
        </is>
      </c>
      <c r="B123" s="1" t="n">
        <v>44957</v>
      </c>
      <c r="C123" s="1" t="n">
        <v>46052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32796-2024</t>
        </is>
      </c>
      <c r="B124" s="1" t="n">
        <v>45516.56032407407</v>
      </c>
      <c r="C124" s="1" t="n">
        <v>46052</v>
      </c>
      <c r="D124" t="inlineStr">
        <is>
          <t>VÄSTRA GÖTALANDS LÄN</t>
        </is>
      </c>
      <c r="E124" t="inlineStr">
        <is>
          <t>MARIESTAD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22765-2025</t>
        </is>
      </c>
      <c r="B125" s="1" t="n">
        <v>45789.6285300926</v>
      </c>
      <c r="C125" s="1" t="n">
        <v>46052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22413-2025</t>
        </is>
      </c>
      <c r="B126" s="1" t="n">
        <v>45786.55434027778</v>
      </c>
      <c r="C126" s="1" t="n">
        <v>46052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48324-2024</t>
        </is>
      </c>
      <c r="B127" s="1" t="n">
        <v>45590.50378472222</v>
      </c>
      <c r="C127" s="1" t="n">
        <v>46052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38376-2024</t>
        </is>
      </c>
      <c r="B128" s="1" t="n">
        <v>45545</v>
      </c>
      <c r="C128" s="1" t="n">
        <v>46052</v>
      </c>
      <c r="D128" t="inlineStr">
        <is>
          <t>VÄSTRA GÖTALANDS LÄN</t>
        </is>
      </c>
      <c r="E128" t="inlineStr">
        <is>
          <t>MARIESTAD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8466-2025</t>
        </is>
      </c>
      <c r="B129" s="1" t="n">
        <v>45709.46944444445</v>
      </c>
      <c r="C129" s="1" t="n">
        <v>46052</v>
      </c>
      <c r="D129" t="inlineStr">
        <is>
          <t>VÄSTRA GÖTALANDS LÄN</t>
        </is>
      </c>
      <c r="E129" t="inlineStr">
        <is>
          <t>MARIESTAD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12011-2025</t>
        </is>
      </c>
      <c r="B130" s="1" t="n">
        <v>45728.61773148148</v>
      </c>
      <c r="C130" s="1" t="n">
        <v>46052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12012-2025</t>
        </is>
      </c>
      <c r="B131" s="1" t="n">
        <v>45728.61907407407</v>
      </c>
      <c r="C131" s="1" t="n">
        <v>46052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11137-2024</t>
        </is>
      </c>
      <c r="B132" s="1" t="n">
        <v>45371.44770833333</v>
      </c>
      <c r="C132" s="1" t="n">
        <v>46052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11633-2025</t>
        </is>
      </c>
      <c r="B133" s="1" t="n">
        <v>45727.46413194444</v>
      </c>
      <c r="C133" s="1" t="n">
        <v>46052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66772-2021</t>
        </is>
      </c>
      <c r="B134" s="1" t="n">
        <v>44521</v>
      </c>
      <c r="C134" s="1" t="n">
        <v>46052</v>
      </c>
      <c r="D134" t="inlineStr">
        <is>
          <t>VÄSTRA GÖTALANDS LÄN</t>
        </is>
      </c>
      <c r="E134" t="inlineStr">
        <is>
          <t>MARIESTAD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7580-2025</t>
        </is>
      </c>
      <c r="B135" s="1" t="n">
        <v>45705</v>
      </c>
      <c r="C135" s="1" t="n">
        <v>46052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9653-2025</t>
        </is>
      </c>
      <c r="B136" s="1" t="n">
        <v>45716.26827546296</v>
      </c>
      <c r="C136" s="1" t="n">
        <v>46052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54263-2024</t>
        </is>
      </c>
      <c r="B137" s="1" t="n">
        <v>45616</v>
      </c>
      <c r="C137" s="1" t="n">
        <v>46052</v>
      </c>
      <c r="D137" t="inlineStr">
        <is>
          <t>VÄSTRA GÖTALANDS LÄN</t>
        </is>
      </c>
      <c r="E137" t="inlineStr">
        <is>
          <t>MARIESTAD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11012-2025</t>
        </is>
      </c>
      <c r="B138" s="1" t="n">
        <v>45723.45986111111</v>
      </c>
      <c r="C138" s="1" t="n">
        <v>46052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49385-2023</t>
        </is>
      </c>
      <c r="B139" s="1" t="n">
        <v>45211</v>
      </c>
      <c r="C139" s="1" t="n">
        <v>46052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26790-2024</t>
        </is>
      </c>
      <c r="B140" s="1" t="n">
        <v>45470.49233796296</v>
      </c>
      <c r="C140" s="1" t="n">
        <v>46052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9652-2025</t>
        </is>
      </c>
      <c r="B141" s="1" t="n">
        <v>45716.26694444445</v>
      </c>
      <c r="C141" s="1" t="n">
        <v>46052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12001-2025</t>
        </is>
      </c>
      <c r="B142" s="1" t="n">
        <v>45728.61289351852</v>
      </c>
      <c r="C142" s="1" t="n">
        <v>46052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31142-2024</t>
        </is>
      </c>
      <c r="B143" s="1" t="n">
        <v>45502.71954861111</v>
      </c>
      <c r="C143" s="1" t="n">
        <v>46052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2394-2025</t>
        </is>
      </c>
      <c r="B144" s="1" t="n">
        <v>45674.33615740741</v>
      </c>
      <c r="C144" s="1" t="n">
        <v>46052</v>
      </c>
      <c r="D144" t="inlineStr">
        <is>
          <t>VÄSTRA GÖTALANDS LÄN</t>
        </is>
      </c>
      <c r="E144" t="inlineStr">
        <is>
          <t>MARIESTAD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12003-2025</t>
        </is>
      </c>
      <c r="B145" s="1" t="n">
        <v>45728.61486111111</v>
      </c>
      <c r="C145" s="1" t="n">
        <v>46052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12010-2025</t>
        </is>
      </c>
      <c r="B146" s="1" t="n">
        <v>45728.61689814815</v>
      </c>
      <c r="C146" s="1" t="n">
        <v>46052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8468-2025</t>
        </is>
      </c>
      <c r="B147" s="1" t="n">
        <v>45709.47069444445</v>
      </c>
      <c r="C147" s="1" t="n">
        <v>46052</v>
      </c>
      <c r="D147" t="inlineStr">
        <is>
          <t>VÄSTRA GÖTALANDS LÄN</t>
        </is>
      </c>
      <c r="E147" t="inlineStr">
        <is>
          <t>MARIESTAD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22975-2025</t>
        </is>
      </c>
      <c r="B148" s="1" t="n">
        <v>45790.56325231482</v>
      </c>
      <c r="C148" s="1" t="n">
        <v>46052</v>
      </c>
      <c r="D148" t="inlineStr">
        <is>
          <t>VÄSTRA GÖTALANDS LÄN</t>
        </is>
      </c>
      <c r="E148" t="inlineStr">
        <is>
          <t>MARIESTAD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27451-2023</t>
        </is>
      </c>
      <c r="B149" s="1" t="n">
        <v>45097.42556712963</v>
      </c>
      <c r="C149" s="1" t="n">
        <v>46052</v>
      </c>
      <c r="D149" t="inlineStr">
        <is>
          <t>VÄSTRA GÖTALANDS LÄN</t>
        </is>
      </c>
      <c r="E149" t="inlineStr">
        <is>
          <t>MARIESTAD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14887-2025</t>
        </is>
      </c>
      <c r="B150" s="1" t="n">
        <v>45743.46834490741</v>
      </c>
      <c r="C150" s="1" t="n">
        <v>46052</v>
      </c>
      <c r="D150" t="inlineStr">
        <is>
          <t>VÄSTRA GÖTALANDS LÄN</t>
        </is>
      </c>
      <c r="E150" t="inlineStr">
        <is>
          <t>MARIESTAD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9868-2025</t>
        </is>
      </c>
      <c r="B151" s="1" t="n">
        <v>45716.64101851852</v>
      </c>
      <c r="C151" s="1" t="n">
        <v>46052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10192-2022</t>
        </is>
      </c>
      <c r="B152" s="1" t="n">
        <v>44622.43478009259</v>
      </c>
      <c r="C152" s="1" t="n">
        <v>46052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50327-2024</t>
        </is>
      </c>
      <c r="B153" s="1" t="n">
        <v>45600.69061342593</v>
      </c>
      <c r="C153" s="1" t="n">
        <v>46052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17685-2021</t>
        </is>
      </c>
      <c r="B154" s="1" t="n">
        <v>44300</v>
      </c>
      <c r="C154" s="1" t="n">
        <v>46052</v>
      </c>
      <c r="D154" t="inlineStr">
        <is>
          <t>VÄSTRA GÖTALANDS LÄN</t>
        </is>
      </c>
      <c r="E154" t="inlineStr">
        <is>
          <t>MARIESTAD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20438-2024</t>
        </is>
      </c>
      <c r="B155" s="1" t="n">
        <v>45435</v>
      </c>
      <c r="C155" s="1" t="n">
        <v>46052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11397-2022</t>
        </is>
      </c>
      <c r="B156" s="1" t="n">
        <v>44630.53233796296</v>
      </c>
      <c r="C156" s="1" t="n">
        <v>46052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66771-2021</t>
        </is>
      </c>
      <c r="B157" s="1" t="n">
        <v>44521</v>
      </c>
      <c r="C157" s="1" t="n">
        <v>46052</v>
      </c>
      <c r="D157" t="inlineStr">
        <is>
          <t>VÄSTRA GÖTALANDS LÄN</t>
        </is>
      </c>
      <c r="E157" t="inlineStr">
        <is>
          <t>MARIESTAD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26345-2024</t>
        </is>
      </c>
      <c r="B158" s="1" t="n">
        <v>45469.35059027778</v>
      </c>
      <c r="C158" s="1" t="n">
        <v>46052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46523-2022</t>
        </is>
      </c>
      <c r="B159" s="1" t="n">
        <v>44847</v>
      </c>
      <c r="C159" s="1" t="n">
        <v>46052</v>
      </c>
      <c r="D159" t="inlineStr">
        <is>
          <t>VÄSTRA GÖTALANDS LÄN</t>
        </is>
      </c>
      <c r="E159" t="inlineStr">
        <is>
          <t>MARIESTAD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56853-2024</t>
        </is>
      </c>
      <c r="B160" s="1" t="n">
        <v>45628.53997685185</v>
      </c>
      <c r="C160" s="1" t="n">
        <v>46052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5321-2024</t>
        </is>
      </c>
      <c r="B161" s="1" t="n">
        <v>45331.4083912037</v>
      </c>
      <c r="C161" s="1" t="n">
        <v>46052</v>
      </c>
      <c r="D161" t="inlineStr">
        <is>
          <t>VÄSTRA GÖTALANDS LÄN</t>
        </is>
      </c>
      <c r="E161" t="inlineStr">
        <is>
          <t>MARIESTAD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32798-2024</t>
        </is>
      </c>
      <c r="B162" s="1" t="n">
        <v>45516.56214120371</v>
      </c>
      <c r="C162" s="1" t="n">
        <v>46052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62754-2023</t>
        </is>
      </c>
      <c r="B163" s="1" t="n">
        <v>45271.62900462963</v>
      </c>
      <c r="C163" s="1" t="n">
        <v>46052</v>
      </c>
      <c r="D163" t="inlineStr">
        <is>
          <t>VÄSTRA GÖTALANDS LÄN</t>
        </is>
      </c>
      <c r="E163" t="inlineStr">
        <is>
          <t>MARIESTAD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62765-2023</t>
        </is>
      </c>
      <c r="B164" s="1" t="n">
        <v>45268</v>
      </c>
      <c r="C164" s="1" t="n">
        <v>46052</v>
      </c>
      <c r="D164" t="inlineStr">
        <is>
          <t>VÄSTRA GÖTALANDS LÄN</t>
        </is>
      </c>
      <c r="E164" t="inlineStr">
        <is>
          <t>MARIESTAD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49184-2023</t>
        </is>
      </c>
      <c r="B165" s="1" t="n">
        <v>45210.57178240741</v>
      </c>
      <c r="C165" s="1" t="n">
        <v>46052</v>
      </c>
      <c r="D165" t="inlineStr">
        <is>
          <t>VÄSTRA GÖTALANDS LÄN</t>
        </is>
      </c>
      <c r="E165" t="inlineStr">
        <is>
          <t>MARIESTAD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49205-2023</t>
        </is>
      </c>
      <c r="B166" s="1" t="n">
        <v>45210.59508101852</v>
      </c>
      <c r="C166" s="1" t="n">
        <v>46052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52869-2024</t>
        </is>
      </c>
      <c r="B167" s="1" t="n">
        <v>45610.62446759259</v>
      </c>
      <c r="C167" s="1" t="n">
        <v>46052</v>
      </c>
      <c r="D167" t="inlineStr">
        <is>
          <t>VÄSTRA GÖTALANDS LÄN</t>
        </is>
      </c>
      <c r="E167" t="inlineStr">
        <is>
          <t>MARIESTAD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50575-2024</t>
        </is>
      </c>
      <c r="B168" s="1" t="n">
        <v>45600</v>
      </c>
      <c r="C168" s="1" t="n">
        <v>46052</v>
      </c>
      <c r="D168" t="inlineStr">
        <is>
          <t>VÄSTRA GÖTALANDS LÄN</t>
        </is>
      </c>
      <c r="E168" t="inlineStr">
        <is>
          <t>MARIESTAD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38915-2025</t>
        </is>
      </c>
      <c r="B169" s="1" t="n">
        <v>45887.62195601852</v>
      </c>
      <c r="C169" s="1" t="n">
        <v>46052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56978-2024</t>
        </is>
      </c>
      <c r="B170" s="1" t="n">
        <v>45628.67807870371</v>
      </c>
      <c r="C170" s="1" t="n">
        <v>46052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38950-2025</t>
        </is>
      </c>
      <c r="B171" s="1" t="n">
        <v>45887.65802083333</v>
      </c>
      <c r="C171" s="1" t="n">
        <v>46052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38947-2025</t>
        </is>
      </c>
      <c r="B172" s="1" t="n">
        <v>45887.65528935185</v>
      </c>
      <c r="C172" s="1" t="n">
        <v>46052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7450-2025</t>
        </is>
      </c>
      <c r="B173" s="1" t="n">
        <v>45705.4209837963</v>
      </c>
      <c r="C173" s="1" t="n">
        <v>46052</v>
      </c>
      <c r="D173" t="inlineStr">
        <is>
          <t>VÄSTRA GÖTALANDS LÄN</t>
        </is>
      </c>
      <c r="E173" t="inlineStr">
        <is>
          <t>MARIESTAD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49156-2023</t>
        </is>
      </c>
      <c r="B174" s="1" t="n">
        <v>45210.51917824074</v>
      </c>
      <c r="C174" s="1" t="n">
        <v>46052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24495-2025</t>
        </is>
      </c>
      <c r="B175" s="1" t="n">
        <v>45798.39030092592</v>
      </c>
      <c r="C175" s="1" t="n">
        <v>46052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24510-2025</t>
        </is>
      </c>
      <c r="B176" s="1" t="n">
        <v>45798.40402777777</v>
      </c>
      <c r="C176" s="1" t="n">
        <v>46052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2386-2023</t>
        </is>
      </c>
      <c r="B177" s="1" t="n">
        <v>44942.71665509259</v>
      </c>
      <c r="C177" s="1" t="n">
        <v>46052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28053-2022</t>
        </is>
      </c>
      <c r="B178" s="1" t="n">
        <v>44746.41878472222</v>
      </c>
      <c r="C178" s="1" t="n">
        <v>46052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15610-2025</t>
        </is>
      </c>
      <c r="B179" s="1" t="n">
        <v>45748.34873842593</v>
      </c>
      <c r="C179" s="1" t="n">
        <v>46052</v>
      </c>
      <c r="D179" t="inlineStr">
        <is>
          <t>VÄSTRA GÖTALANDS LÄN</t>
        </is>
      </c>
      <c r="E179" t="inlineStr">
        <is>
          <t>MARIESTAD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70295-2021</t>
        </is>
      </c>
      <c r="B180" s="1" t="n">
        <v>44536.40289351852</v>
      </c>
      <c r="C180" s="1" t="n">
        <v>46052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4987-2025</t>
        </is>
      </c>
      <c r="B181" s="1" t="n">
        <v>45691.32157407407</v>
      </c>
      <c r="C181" s="1" t="n">
        <v>46052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4991-2025</t>
        </is>
      </c>
      <c r="B182" s="1" t="n">
        <v>45691.3403587963</v>
      </c>
      <c r="C182" s="1" t="n">
        <v>46052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19553-2022</t>
        </is>
      </c>
      <c r="B183" s="1" t="n">
        <v>44693.65290509259</v>
      </c>
      <c r="C183" s="1" t="n">
        <v>46052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24503-2025</t>
        </is>
      </c>
      <c r="B184" s="1" t="n">
        <v>45798.39853009259</v>
      </c>
      <c r="C184" s="1" t="n">
        <v>46052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8021-2024</t>
        </is>
      </c>
      <c r="B185" s="1" t="n">
        <v>45350.92024305555</v>
      </c>
      <c r="C185" s="1" t="n">
        <v>46052</v>
      </c>
      <c r="D185" t="inlineStr">
        <is>
          <t>VÄSTRA GÖTALANDS LÄN</t>
        </is>
      </c>
      <c r="E185" t="inlineStr">
        <is>
          <t>MARIESTAD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40455-2023</t>
        </is>
      </c>
      <c r="B186" s="1" t="n">
        <v>45170</v>
      </c>
      <c r="C186" s="1" t="n">
        <v>46052</v>
      </c>
      <c r="D186" t="inlineStr">
        <is>
          <t>VÄSTRA GÖTALANDS LÄN</t>
        </is>
      </c>
      <c r="E186" t="inlineStr">
        <is>
          <t>MARIESTAD</t>
        </is>
      </c>
      <c r="G186" t="n">
        <v>34.9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38580-2023</t>
        </is>
      </c>
      <c r="B187" s="1" t="n">
        <v>45162</v>
      </c>
      <c r="C187" s="1" t="n">
        <v>46052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Kommuner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7418-2023</t>
        </is>
      </c>
      <c r="B188" s="1" t="n">
        <v>44971</v>
      </c>
      <c r="C188" s="1" t="n">
        <v>46052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50053-2023</t>
        </is>
      </c>
      <c r="B189" s="1" t="n">
        <v>45215</v>
      </c>
      <c r="C189" s="1" t="n">
        <v>46052</v>
      </c>
      <c r="D189" t="inlineStr">
        <is>
          <t>VÄSTRA GÖTALANDS LÄN</t>
        </is>
      </c>
      <c r="E189" t="inlineStr">
        <is>
          <t>MARIESTAD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HYPERLINK("https://klasma.github.io/Logging_1493/knärot/A 50053-2023 karta knärot.png", "A 50053-2023")</f>
        <v/>
      </c>
      <c r="V189">
        <f>HYPERLINK("https://klasma.github.io/Logging_1493/klagomål/A 50053-2023 FSC-klagomål.docx", "A 50053-2023")</f>
        <v/>
      </c>
      <c r="W189">
        <f>HYPERLINK("https://klasma.github.io/Logging_1493/klagomålsmail/A 50053-2023 FSC-klagomål mail.docx", "A 50053-2023")</f>
        <v/>
      </c>
      <c r="X189">
        <f>HYPERLINK("https://klasma.github.io/Logging_1493/tillsyn/A 50053-2023 tillsynsbegäran.docx", "A 50053-2023")</f>
        <v/>
      </c>
      <c r="Y189">
        <f>HYPERLINK("https://klasma.github.io/Logging_1493/tillsynsmail/A 50053-2023 tillsynsbegäran mail.docx", "A 50053-2023")</f>
        <v/>
      </c>
    </row>
    <row r="190" ht="15" customHeight="1">
      <c r="A190" t="inlineStr">
        <is>
          <t>A 11414-2023</t>
        </is>
      </c>
      <c r="B190" s="1" t="n">
        <v>44993</v>
      </c>
      <c r="C190" s="1" t="n">
        <v>46052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27444-2023</t>
        </is>
      </c>
      <c r="B191" s="1" t="n">
        <v>45097.40554398148</v>
      </c>
      <c r="C191" s="1" t="n">
        <v>46052</v>
      </c>
      <c r="D191" t="inlineStr">
        <is>
          <t>VÄSTRA GÖTALANDS LÄN</t>
        </is>
      </c>
      <c r="E191" t="inlineStr">
        <is>
          <t>MARIESTAD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56054-2023</t>
        </is>
      </c>
      <c r="B192" s="1" t="n">
        <v>45240</v>
      </c>
      <c r="C192" s="1" t="n">
        <v>46052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35047-2022</t>
        </is>
      </c>
      <c r="B193" s="1" t="n">
        <v>44797.32917824074</v>
      </c>
      <c r="C193" s="1" t="n">
        <v>46052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38948-2025</t>
        </is>
      </c>
      <c r="B194" s="1" t="n">
        <v>45887.65668981482</v>
      </c>
      <c r="C194" s="1" t="n">
        <v>46052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25798-2025</t>
        </is>
      </c>
      <c r="B195" s="1" t="n">
        <v>45804.4008912037</v>
      </c>
      <c r="C195" s="1" t="n">
        <v>46052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25799-2025</t>
        </is>
      </c>
      <c r="B196" s="1" t="n">
        <v>45804.40251157407</v>
      </c>
      <c r="C196" s="1" t="n">
        <v>46052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25950-2025</t>
        </is>
      </c>
      <c r="B197" s="1" t="n">
        <v>45804.59694444444</v>
      </c>
      <c r="C197" s="1" t="n">
        <v>46052</v>
      </c>
      <c r="D197" t="inlineStr">
        <is>
          <t>VÄSTRA GÖTALANDS LÄN</t>
        </is>
      </c>
      <c r="E197" t="inlineStr">
        <is>
          <t>MARIESTAD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25800-2025</t>
        </is>
      </c>
      <c r="B198" s="1" t="n">
        <v>45804.40402777777</v>
      </c>
      <c r="C198" s="1" t="n">
        <v>46052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49200-2023</t>
        </is>
      </c>
      <c r="B199" s="1" t="n">
        <v>45210.59091435185</v>
      </c>
      <c r="C199" s="1" t="n">
        <v>46052</v>
      </c>
      <c r="D199" t="inlineStr">
        <is>
          <t>VÄSTRA GÖTALANDS LÄN</t>
        </is>
      </c>
      <c r="E199" t="inlineStr">
        <is>
          <t>MARIESTAD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25910-2025</t>
        </is>
      </c>
      <c r="B200" s="1" t="n">
        <v>45804.55891203704</v>
      </c>
      <c r="C200" s="1" t="n">
        <v>46052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25946-2025</t>
        </is>
      </c>
      <c r="B201" s="1" t="n">
        <v>45804.59502314815</v>
      </c>
      <c r="C201" s="1" t="n">
        <v>46052</v>
      </c>
      <c r="D201" t="inlineStr">
        <is>
          <t>VÄSTRA GÖTALANDS LÄN</t>
        </is>
      </c>
      <c r="E201" t="inlineStr">
        <is>
          <t>MARIESTAD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9795-2025</t>
        </is>
      </c>
      <c r="B202" s="1" t="n">
        <v>45716.55226851852</v>
      </c>
      <c r="C202" s="1" t="n">
        <v>46052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25912-2025</t>
        </is>
      </c>
      <c r="B203" s="1" t="n">
        <v>45804.56056712963</v>
      </c>
      <c r="C203" s="1" t="n">
        <v>46052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38800-2023</t>
        </is>
      </c>
      <c r="B204" s="1" t="n">
        <v>45163.45347222222</v>
      </c>
      <c r="C204" s="1" t="n">
        <v>46052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7033-2024</t>
        </is>
      </c>
      <c r="B205" s="1" t="n">
        <v>45343.59774305556</v>
      </c>
      <c r="C205" s="1" t="n">
        <v>46052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62772-2023</t>
        </is>
      </c>
      <c r="B206" s="1" t="n">
        <v>45268</v>
      </c>
      <c r="C206" s="1" t="n">
        <v>46052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16713-2025</t>
        </is>
      </c>
      <c r="B207" s="1" t="n">
        <v>45754.48366898148</v>
      </c>
      <c r="C207" s="1" t="n">
        <v>46052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11729-2024</t>
        </is>
      </c>
      <c r="B208" s="1" t="n">
        <v>45373.68430555556</v>
      </c>
      <c r="C208" s="1" t="n">
        <v>46052</v>
      </c>
      <c r="D208" t="inlineStr">
        <is>
          <t>VÄSTRA GÖTALANDS LÄN</t>
        </is>
      </c>
      <c r="E208" t="inlineStr">
        <is>
          <t>MARIESTAD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26815-2025</t>
        </is>
      </c>
      <c r="B209" s="1" t="n">
        <v>45810.63402777778</v>
      </c>
      <c r="C209" s="1" t="n">
        <v>46052</v>
      </c>
      <c r="D209" t="inlineStr">
        <is>
          <t>VÄSTRA GÖTALANDS LÄN</t>
        </is>
      </c>
      <c r="E209" t="inlineStr">
        <is>
          <t>MARIESTAD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46052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61601-2023</t>
        </is>
      </c>
      <c r="B211" s="1" t="n">
        <v>45265</v>
      </c>
      <c r="C211" s="1" t="n">
        <v>46052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39405-2025</t>
        </is>
      </c>
      <c r="B212" s="1" t="n">
        <v>45889</v>
      </c>
      <c r="C212" s="1" t="n">
        <v>46052</v>
      </c>
      <c r="D212" t="inlineStr">
        <is>
          <t>VÄSTRA GÖTALANDS LÄN</t>
        </is>
      </c>
      <c r="E212" t="inlineStr">
        <is>
          <t>MARIESTAD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28012-2025</t>
        </is>
      </c>
      <c r="B213" s="1" t="n">
        <v>45817.60978009259</v>
      </c>
      <c r="C213" s="1" t="n">
        <v>46052</v>
      </c>
      <c r="D213" t="inlineStr">
        <is>
          <t>VÄSTRA GÖTALANDS LÄN</t>
        </is>
      </c>
      <c r="E213" t="inlineStr">
        <is>
          <t>MARIESTAD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11345-2023</t>
        </is>
      </c>
      <c r="B214" s="1" t="n">
        <v>44993.37150462963</v>
      </c>
      <c r="C214" s="1" t="n">
        <v>46052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7161-2025</t>
        </is>
      </c>
      <c r="B215" s="1" t="n">
        <v>45702.38982638889</v>
      </c>
      <c r="C215" s="1" t="n">
        <v>46052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28313-2025</t>
        </is>
      </c>
      <c r="B216" s="1" t="n">
        <v>45818.62532407408</v>
      </c>
      <c r="C216" s="1" t="n">
        <v>46052</v>
      </c>
      <c r="D216" t="inlineStr">
        <is>
          <t>VÄSTRA GÖTALANDS LÄN</t>
        </is>
      </c>
      <c r="E216" t="inlineStr">
        <is>
          <t>MARIESTAD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28447-2025</t>
        </is>
      </c>
      <c r="B217" s="1" t="n">
        <v>45819.4</v>
      </c>
      <c r="C217" s="1" t="n">
        <v>46052</v>
      </c>
      <c r="D217" t="inlineStr">
        <is>
          <t>VÄSTRA GÖTALANDS LÄN</t>
        </is>
      </c>
      <c r="E217" t="inlineStr">
        <is>
          <t>MARIESTAD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28449-2025</t>
        </is>
      </c>
      <c r="B218" s="1" t="n">
        <v>45819.40282407407</v>
      </c>
      <c r="C218" s="1" t="n">
        <v>46052</v>
      </c>
      <c r="D218" t="inlineStr">
        <is>
          <t>VÄSTRA GÖTALANDS LÄN</t>
        </is>
      </c>
      <c r="E218" t="inlineStr">
        <is>
          <t>MARIESTAD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41390-2024</t>
        </is>
      </c>
      <c r="B219" s="1" t="n">
        <v>45560.31390046296</v>
      </c>
      <c r="C219" s="1" t="n">
        <v>46052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42161-2021</t>
        </is>
      </c>
      <c r="B220" s="1" t="n">
        <v>44426</v>
      </c>
      <c r="C220" s="1" t="n">
        <v>46052</v>
      </c>
      <c r="D220" t="inlineStr">
        <is>
          <t>VÄSTRA GÖTALANDS LÄN</t>
        </is>
      </c>
      <c r="E220" t="inlineStr">
        <is>
          <t>MARIESTAD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28050-2022</t>
        </is>
      </c>
      <c r="B221" s="1" t="n">
        <v>44746.41486111111</v>
      </c>
      <c r="C221" s="1" t="n">
        <v>46052</v>
      </c>
      <c r="D221" t="inlineStr">
        <is>
          <t>VÄSTRA GÖTALANDS LÄN</t>
        </is>
      </c>
      <c r="E221" t="inlineStr">
        <is>
          <t>MARIESTAD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28056-2022</t>
        </is>
      </c>
      <c r="B222" s="1" t="n">
        <v>44746.42554398148</v>
      </c>
      <c r="C222" s="1" t="n">
        <v>46052</v>
      </c>
      <c r="D222" t="inlineStr">
        <is>
          <t>VÄSTRA GÖTALANDS LÄN</t>
        </is>
      </c>
      <c r="E222" t="inlineStr">
        <is>
          <t>MARIESTAD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70259-2021</t>
        </is>
      </c>
      <c r="B223" s="1" t="n">
        <v>44536</v>
      </c>
      <c r="C223" s="1" t="n">
        <v>46052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28440-2025</t>
        </is>
      </c>
      <c r="B224" s="1" t="n">
        <v>45819.39317129629</v>
      </c>
      <c r="C224" s="1" t="n">
        <v>46052</v>
      </c>
      <c r="D224" t="inlineStr">
        <is>
          <t>VÄSTRA GÖTALANDS LÄN</t>
        </is>
      </c>
      <c r="E224" t="inlineStr">
        <is>
          <t>MARIESTAD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14288-2024</t>
        </is>
      </c>
      <c r="B225" s="1" t="n">
        <v>45393.62962962963</v>
      </c>
      <c r="C225" s="1" t="n">
        <v>46052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56344-2022</t>
        </is>
      </c>
      <c r="B226" s="1" t="n">
        <v>44890.6440162037</v>
      </c>
      <c r="C226" s="1" t="n">
        <v>46052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28956-2025</t>
        </is>
      </c>
      <c r="B227" s="1" t="n">
        <v>45821.30320601852</v>
      </c>
      <c r="C227" s="1" t="n">
        <v>46052</v>
      </c>
      <c r="D227" t="inlineStr">
        <is>
          <t>VÄSTRA GÖTALANDS LÄN</t>
        </is>
      </c>
      <c r="E227" t="inlineStr">
        <is>
          <t>MARIESTAD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18133-2025</t>
        </is>
      </c>
      <c r="B228" s="1" t="n">
        <v>45761.60090277778</v>
      </c>
      <c r="C228" s="1" t="n">
        <v>46052</v>
      </c>
      <c r="D228" t="inlineStr">
        <is>
          <t>VÄSTRA GÖTALANDS LÄN</t>
        </is>
      </c>
      <c r="E228" t="inlineStr">
        <is>
          <t>MARIESTAD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28899-2025</t>
        </is>
      </c>
      <c r="B229" s="1" t="n">
        <v>45820.63811342593</v>
      </c>
      <c r="C229" s="1" t="n">
        <v>46052</v>
      </c>
      <c r="D229" t="inlineStr">
        <is>
          <t>VÄSTRA GÖTALANDS LÄN</t>
        </is>
      </c>
      <c r="E229" t="inlineStr">
        <is>
          <t>MARIESTAD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28902-2025</t>
        </is>
      </c>
      <c r="B230" s="1" t="n">
        <v>45820.64241898148</v>
      </c>
      <c r="C230" s="1" t="n">
        <v>46052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29805-2025</t>
        </is>
      </c>
      <c r="B231" s="1" t="n">
        <v>45825</v>
      </c>
      <c r="C231" s="1" t="n">
        <v>46052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29448-2025</t>
        </is>
      </c>
      <c r="B232" s="1" t="n">
        <v>45824.66903935185</v>
      </c>
      <c r="C232" s="1" t="n">
        <v>46052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29245-2025</t>
        </is>
      </c>
      <c r="B233" s="1" t="n">
        <v>45824.3672337963</v>
      </c>
      <c r="C233" s="1" t="n">
        <v>46052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44447.32616898148</v>
      </c>
      <c r="C234" s="1" t="n">
        <v>46052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8771-2023</t>
        </is>
      </c>
      <c r="B235" s="1" t="n">
        <v>44973</v>
      </c>
      <c r="C235" s="1" t="n">
        <v>46052</v>
      </c>
      <c r="D235" t="inlineStr">
        <is>
          <t>VÄSTRA GÖTALANDS LÄN</t>
        </is>
      </c>
      <c r="E235" t="inlineStr">
        <is>
          <t>MARIESTAD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29494-2025</t>
        </is>
      </c>
      <c r="B236" s="1" t="n">
        <v>45824.82013888889</v>
      </c>
      <c r="C236" s="1" t="n">
        <v>46052</v>
      </c>
      <c r="D236" t="inlineStr">
        <is>
          <t>VÄSTRA GÖTALANDS LÄN</t>
        </is>
      </c>
      <c r="E236" t="inlineStr">
        <is>
          <t>MARIESTAD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58286-2022</t>
        </is>
      </c>
      <c r="B237" s="1" t="n">
        <v>44901.49652777778</v>
      </c>
      <c r="C237" s="1" t="n">
        <v>46052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29670-2025</t>
        </is>
      </c>
      <c r="B238" s="1" t="n">
        <v>45825.49831018518</v>
      </c>
      <c r="C238" s="1" t="n">
        <v>46052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29668-2025</t>
        </is>
      </c>
      <c r="B239" s="1" t="n">
        <v>45825.49658564815</v>
      </c>
      <c r="C239" s="1" t="n">
        <v>46052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29672-2025</t>
        </is>
      </c>
      <c r="B240" s="1" t="n">
        <v>45825.50122685185</v>
      </c>
      <c r="C240" s="1" t="n">
        <v>46052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58335-2023</t>
        </is>
      </c>
      <c r="B241" s="1" t="n">
        <v>45245</v>
      </c>
      <c r="C241" s="1" t="n">
        <v>46052</v>
      </c>
      <c r="D241" t="inlineStr">
        <is>
          <t>VÄSTRA GÖTALANDS LÄN</t>
        </is>
      </c>
      <c r="E241" t="inlineStr">
        <is>
          <t>MARIESTAD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8849-2022</t>
        </is>
      </c>
      <c r="B242" s="1" t="n">
        <v>44614</v>
      </c>
      <c r="C242" s="1" t="n">
        <v>46052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2280-2025</t>
        </is>
      </c>
      <c r="B243" s="1" t="n">
        <v>45673</v>
      </c>
      <c r="C243" s="1" t="n">
        <v>46052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30413-2025</t>
        </is>
      </c>
      <c r="B244" s="1" t="n">
        <v>45827.60287037037</v>
      </c>
      <c r="C244" s="1" t="n">
        <v>46052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38817-2022</t>
        </is>
      </c>
      <c r="B245" s="1" t="n">
        <v>44816.47021990741</v>
      </c>
      <c r="C245" s="1" t="n">
        <v>46052</v>
      </c>
      <c r="D245" t="inlineStr">
        <is>
          <t>VÄSTRA GÖTALANDS LÄN</t>
        </is>
      </c>
      <c r="E245" t="inlineStr">
        <is>
          <t>MARIESTAD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30404-2025</t>
        </is>
      </c>
      <c r="B246" s="1" t="n">
        <v>45827.59276620371</v>
      </c>
      <c r="C246" s="1" t="n">
        <v>46052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47009-2024</t>
        </is>
      </c>
      <c r="B247" s="1" t="n">
        <v>45583</v>
      </c>
      <c r="C247" s="1" t="n">
        <v>46052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54717-2022</t>
        </is>
      </c>
      <c r="B248" s="1" t="n">
        <v>44883.53908564815</v>
      </c>
      <c r="C248" s="1" t="n">
        <v>46052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39437-2021</t>
        </is>
      </c>
      <c r="B249" s="1" t="n">
        <v>44414.531875</v>
      </c>
      <c r="C249" s="1" t="n">
        <v>46052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2577-2023</t>
        </is>
      </c>
      <c r="B250" s="1" t="n">
        <v>44943.78166666667</v>
      </c>
      <c r="C250" s="1" t="n">
        <v>46052</v>
      </c>
      <c r="D250" t="inlineStr">
        <is>
          <t>VÄSTRA GÖTALANDS LÄN</t>
        </is>
      </c>
      <c r="E250" t="inlineStr">
        <is>
          <t>MARIESTAD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15206-2025</t>
        </is>
      </c>
      <c r="B251" s="1" t="n">
        <v>45744.57194444445</v>
      </c>
      <c r="C251" s="1" t="n">
        <v>46052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10500-2023</t>
        </is>
      </c>
      <c r="B252" s="1" t="n">
        <v>44981</v>
      </c>
      <c r="C252" s="1" t="n">
        <v>46052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49163-2023</t>
        </is>
      </c>
      <c r="B253" s="1" t="n">
        <v>45210.5324537037</v>
      </c>
      <c r="C253" s="1" t="n">
        <v>46052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29857-2022</t>
        </is>
      </c>
      <c r="B254" s="1" t="n">
        <v>44756.37861111111</v>
      </c>
      <c r="C254" s="1" t="n">
        <v>46052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3857-2025</t>
        </is>
      </c>
      <c r="B255" s="1" t="n">
        <v>45682</v>
      </c>
      <c r="C255" s="1" t="n">
        <v>46052</v>
      </c>
      <c r="D255" t="inlineStr">
        <is>
          <t>VÄSTRA GÖTALANDS LÄN</t>
        </is>
      </c>
      <c r="E255" t="inlineStr">
        <is>
          <t>MARIESTAD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17139-2024</t>
        </is>
      </c>
      <c r="B256" s="1" t="n">
        <v>45412.63122685185</v>
      </c>
      <c r="C256" s="1" t="n">
        <v>46052</v>
      </c>
      <c r="D256" t="inlineStr">
        <is>
          <t>VÄSTRA GÖTALANDS LÄN</t>
        </is>
      </c>
      <c r="E256" t="inlineStr">
        <is>
          <t>MARIESTAD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17165-2024</t>
        </is>
      </c>
      <c r="B257" s="1" t="n">
        <v>45412.85292824074</v>
      </c>
      <c r="C257" s="1" t="n">
        <v>46052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48187-2023</t>
        </is>
      </c>
      <c r="B258" s="1" t="n">
        <v>45199</v>
      </c>
      <c r="C258" s="1" t="n">
        <v>46052</v>
      </c>
      <c r="D258" t="inlineStr">
        <is>
          <t>VÄSTRA GÖTALANDS LÄN</t>
        </is>
      </c>
      <c r="E258" t="inlineStr">
        <is>
          <t>MARIESTAD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5011-2023</t>
        </is>
      </c>
      <c r="B259" s="1" t="n">
        <v>44958</v>
      </c>
      <c r="C259" s="1" t="n">
        <v>46052</v>
      </c>
      <c r="D259" t="inlineStr">
        <is>
          <t>VÄSTRA GÖTALANDS LÄN</t>
        </is>
      </c>
      <c r="E259" t="inlineStr">
        <is>
          <t>MARIESTAD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39046-2024</t>
        </is>
      </c>
      <c r="B260" s="1" t="n">
        <v>45548.48182870371</v>
      </c>
      <c r="C260" s="1" t="n">
        <v>46052</v>
      </c>
      <c r="D260" t="inlineStr">
        <is>
          <t>VÄSTRA GÖTALANDS LÄN</t>
        </is>
      </c>
      <c r="E260" t="inlineStr">
        <is>
          <t>MARIESTAD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33492-2025</t>
        </is>
      </c>
      <c r="B261" s="1" t="n">
        <v>45841.50793981482</v>
      </c>
      <c r="C261" s="1" t="n">
        <v>46052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6176-2023</t>
        </is>
      </c>
      <c r="B262" s="1" t="n">
        <v>44964.69994212963</v>
      </c>
      <c r="C262" s="1" t="n">
        <v>46052</v>
      </c>
      <c r="D262" t="inlineStr">
        <is>
          <t>VÄSTRA GÖTALANDS LÄN</t>
        </is>
      </c>
      <c r="E262" t="inlineStr">
        <is>
          <t>MARIESTAD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7168-2023</t>
        </is>
      </c>
      <c r="B263" s="1" t="n">
        <v>44965</v>
      </c>
      <c r="C263" s="1" t="n">
        <v>46052</v>
      </c>
      <c r="D263" t="inlineStr">
        <is>
          <t>VÄSTRA GÖTALANDS LÄN</t>
        </is>
      </c>
      <c r="E263" t="inlineStr">
        <is>
          <t>MARIESTAD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60376-2021</t>
        </is>
      </c>
      <c r="B264" s="1" t="n">
        <v>44496.35680555556</v>
      </c>
      <c r="C264" s="1" t="n">
        <v>46052</v>
      </c>
      <c r="D264" t="inlineStr">
        <is>
          <t>VÄSTRA GÖTALANDS LÄN</t>
        </is>
      </c>
      <c r="E264" t="inlineStr">
        <is>
          <t>MARIESTAD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46945-2023</t>
        </is>
      </c>
      <c r="B265" s="1" t="n">
        <v>45201</v>
      </c>
      <c r="C265" s="1" t="n">
        <v>46052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46873-2023</t>
        </is>
      </c>
      <c r="B266" s="1" t="n">
        <v>45200.84795138889</v>
      </c>
      <c r="C266" s="1" t="n">
        <v>46052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48269-2024</t>
        </is>
      </c>
      <c r="B267" s="1" t="n">
        <v>45590.43114583333</v>
      </c>
      <c r="C267" s="1" t="n">
        <v>46052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33202-2025</t>
        </is>
      </c>
      <c r="B268" s="1" t="n">
        <v>45840</v>
      </c>
      <c r="C268" s="1" t="n">
        <v>46052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8471-2025</t>
        </is>
      </c>
      <c r="B269" s="1" t="n">
        <v>45709.47332175926</v>
      </c>
      <c r="C269" s="1" t="n">
        <v>46052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33400-2025</t>
        </is>
      </c>
      <c r="B270" s="1" t="n">
        <v>45841.42353009259</v>
      </c>
      <c r="C270" s="1" t="n">
        <v>46052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Kyrkan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39766-2023</t>
        </is>
      </c>
      <c r="B271" s="1" t="n">
        <v>45167</v>
      </c>
      <c r="C271" s="1" t="n">
        <v>46052</v>
      </c>
      <c r="D271" t="inlineStr">
        <is>
          <t>VÄSTRA GÖTALANDS LÄN</t>
        </is>
      </c>
      <c r="E271" t="inlineStr">
        <is>
          <t>MARIESTAD</t>
        </is>
      </c>
      <c r="G271" t="n">
        <v>26.5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31384-2022</t>
        </is>
      </c>
      <c r="B272" s="1" t="n">
        <v>44774</v>
      </c>
      <c r="C272" s="1" t="n">
        <v>46052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1545-2023</t>
        </is>
      </c>
      <c r="B273" s="1" t="n">
        <v>44937</v>
      </c>
      <c r="C273" s="1" t="n">
        <v>46052</v>
      </c>
      <c r="D273" t="inlineStr">
        <is>
          <t>VÄSTRA GÖTALANDS LÄN</t>
        </is>
      </c>
      <c r="E273" t="inlineStr">
        <is>
          <t>MARIESTAD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31239-2025</t>
        </is>
      </c>
      <c r="B274" s="1" t="n">
        <v>45832.85302083333</v>
      </c>
      <c r="C274" s="1" t="n">
        <v>46052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52027-2024</t>
        </is>
      </c>
      <c r="B275" s="1" t="n">
        <v>45607.97825231482</v>
      </c>
      <c r="C275" s="1" t="n">
        <v>46052</v>
      </c>
      <c r="D275" t="inlineStr">
        <is>
          <t>VÄSTRA GÖTALANDS LÄN</t>
        </is>
      </c>
      <c r="E275" t="inlineStr">
        <is>
          <t>MARIESTAD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18962-2025</t>
        </is>
      </c>
      <c r="B276" s="1" t="n">
        <v>45764.52909722222</v>
      </c>
      <c r="C276" s="1" t="n">
        <v>46052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6387-2023</t>
        </is>
      </c>
      <c r="B277" s="1" t="n">
        <v>44965.64119212963</v>
      </c>
      <c r="C277" s="1" t="n">
        <v>46052</v>
      </c>
      <c r="D277" t="inlineStr">
        <is>
          <t>VÄSTRA GÖTALANDS LÄN</t>
        </is>
      </c>
      <c r="E277" t="inlineStr">
        <is>
          <t>MARIESTAD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11814-2023</t>
        </is>
      </c>
      <c r="B278" s="1" t="n">
        <v>44994.8055787037</v>
      </c>
      <c r="C278" s="1" t="n">
        <v>46052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36038-2021</t>
        </is>
      </c>
      <c r="B279" s="1" t="n">
        <v>44386</v>
      </c>
      <c r="C279" s="1" t="n">
        <v>46052</v>
      </c>
      <c r="D279" t="inlineStr">
        <is>
          <t>VÄSTRA GÖTALANDS LÄN</t>
        </is>
      </c>
      <c r="E279" t="inlineStr">
        <is>
          <t>MARIESTAD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13315-2022</t>
        </is>
      </c>
      <c r="B280" s="1" t="n">
        <v>44645</v>
      </c>
      <c r="C280" s="1" t="n">
        <v>46052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21503-2024</t>
        </is>
      </c>
      <c r="B281" s="1" t="n">
        <v>45441</v>
      </c>
      <c r="C281" s="1" t="n">
        <v>46052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49371-2023</t>
        </is>
      </c>
      <c r="B282" s="1" t="n">
        <v>45211.36153935185</v>
      </c>
      <c r="C282" s="1" t="n">
        <v>46052</v>
      </c>
      <c r="D282" t="inlineStr">
        <is>
          <t>VÄSTRA GÖTALANDS LÄN</t>
        </is>
      </c>
      <c r="E282" t="inlineStr">
        <is>
          <t>MARIESTAD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43466-2022</t>
        </is>
      </c>
      <c r="B283" s="1" t="n">
        <v>44836.73601851852</v>
      </c>
      <c r="C283" s="1" t="n">
        <v>46052</v>
      </c>
      <c r="D283" t="inlineStr">
        <is>
          <t>VÄSTRA GÖTALANDS LÄN</t>
        </is>
      </c>
      <c r="E283" t="inlineStr">
        <is>
          <t>MARIESTAD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31230-2023</t>
        </is>
      </c>
      <c r="B284" s="1" t="n">
        <v>45114.33414351852</v>
      </c>
      <c r="C284" s="1" t="n">
        <v>46052</v>
      </c>
      <c r="D284" t="inlineStr">
        <is>
          <t>VÄSTRA GÖTALANDS LÄN</t>
        </is>
      </c>
      <c r="E284" t="inlineStr">
        <is>
          <t>MARIESTAD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19261-2025</t>
        </is>
      </c>
      <c r="B285" s="1" t="n">
        <v>45769.51013888889</v>
      </c>
      <c r="C285" s="1" t="n">
        <v>46052</v>
      </c>
      <c r="D285" t="inlineStr">
        <is>
          <t>VÄSTRA GÖTALANDS LÄN</t>
        </is>
      </c>
      <c r="E285" t="inlineStr">
        <is>
          <t>MARIESTAD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19268-2025</t>
        </is>
      </c>
      <c r="B286" s="1" t="n">
        <v>45769.51427083334</v>
      </c>
      <c r="C286" s="1" t="n">
        <v>46052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10839-2025</t>
        </is>
      </c>
      <c r="B287" s="1" t="n">
        <v>45722.57290509259</v>
      </c>
      <c r="C287" s="1" t="n">
        <v>46052</v>
      </c>
      <c r="D287" t="inlineStr">
        <is>
          <t>VÄSTRA GÖTALANDS LÄN</t>
        </is>
      </c>
      <c r="E287" t="inlineStr">
        <is>
          <t>MARIESTAD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51776-2023</t>
        </is>
      </c>
      <c r="B288" s="1" t="n">
        <v>45222.73658564815</v>
      </c>
      <c r="C288" s="1" t="n">
        <v>46052</v>
      </c>
      <c r="D288" t="inlineStr">
        <is>
          <t>VÄSTRA GÖTALANDS LÄN</t>
        </is>
      </c>
      <c r="E288" t="inlineStr">
        <is>
          <t>MARIESTAD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58598-2021</t>
        </is>
      </c>
      <c r="B289" s="1" t="n">
        <v>44489</v>
      </c>
      <c r="C289" s="1" t="n">
        <v>46052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45636-2022</t>
        </is>
      </c>
      <c r="B290" s="1" t="n">
        <v>44843</v>
      </c>
      <c r="C290" s="1" t="n">
        <v>46052</v>
      </c>
      <c r="D290" t="inlineStr">
        <is>
          <t>VÄSTRA GÖTALANDS LÄN</t>
        </is>
      </c>
      <c r="E290" t="inlineStr">
        <is>
          <t>MARIESTAD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65197-2023</t>
        </is>
      </c>
      <c r="B291" s="1" t="n">
        <v>45289</v>
      </c>
      <c r="C291" s="1" t="n">
        <v>46052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49932-2022</t>
        </is>
      </c>
      <c r="B292" s="1" t="n">
        <v>44865</v>
      </c>
      <c r="C292" s="1" t="n">
        <v>46052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9783-2025</t>
        </is>
      </c>
      <c r="B293" s="1" t="n">
        <v>45716.50848379629</v>
      </c>
      <c r="C293" s="1" t="n">
        <v>46052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40952-2025</t>
        </is>
      </c>
      <c r="B294" s="1" t="n">
        <v>45897.66349537037</v>
      </c>
      <c r="C294" s="1" t="n">
        <v>46052</v>
      </c>
      <c r="D294" t="inlineStr">
        <is>
          <t>VÄSTRA GÖTALANDS LÄN</t>
        </is>
      </c>
      <c r="E294" t="inlineStr">
        <is>
          <t>MARIESTAD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39116-2024</t>
        </is>
      </c>
      <c r="B295" s="1" t="n">
        <v>45548.58743055556</v>
      </c>
      <c r="C295" s="1" t="n">
        <v>46052</v>
      </c>
      <c r="D295" t="inlineStr">
        <is>
          <t>VÄSTRA GÖTALANDS LÄN</t>
        </is>
      </c>
      <c r="E295" t="inlineStr">
        <is>
          <t>MARIESTAD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7578-2025</t>
        </is>
      </c>
      <c r="B296" s="1" t="n">
        <v>45705</v>
      </c>
      <c r="C296" s="1" t="n">
        <v>46052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36738-2025</t>
        </is>
      </c>
      <c r="B297" s="1" t="n">
        <v>45873.53010416667</v>
      </c>
      <c r="C297" s="1" t="n">
        <v>46052</v>
      </c>
      <c r="D297" t="inlineStr">
        <is>
          <t>VÄSTRA GÖTALANDS LÄN</t>
        </is>
      </c>
      <c r="E297" t="inlineStr">
        <is>
          <t>MARIESTAD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12532-2022</t>
        </is>
      </c>
      <c r="B298" s="1" t="n">
        <v>44638</v>
      </c>
      <c r="C298" s="1" t="n">
        <v>46052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21965-2024</t>
        </is>
      </c>
      <c r="B299" s="1" t="n">
        <v>45443.50011574074</v>
      </c>
      <c r="C299" s="1" t="n">
        <v>46052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1283-2023</t>
        </is>
      </c>
      <c r="B300" s="1" t="n">
        <v>44936</v>
      </c>
      <c r="C300" s="1" t="n">
        <v>46052</v>
      </c>
      <c r="D300" t="inlineStr">
        <is>
          <t>VÄSTRA GÖTALANDS LÄN</t>
        </is>
      </c>
      <c r="E300" t="inlineStr">
        <is>
          <t>MARIESTAD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37041-2025</t>
        </is>
      </c>
      <c r="B301" s="1" t="n">
        <v>45875</v>
      </c>
      <c r="C301" s="1" t="n">
        <v>46052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38114-2022</t>
        </is>
      </c>
      <c r="B302" s="1" t="n">
        <v>44812.31384259259</v>
      </c>
      <c r="C302" s="1" t="n">
        <v>46052</v>
      </c>
      <c r="D302" t="inlineStr">
        <is>
          <t>VÄSTRA GÖTALANDS LÄN</t>
        </is>
      </c>
      <c r="E302" t="inlineStr">
        <is>
          <t>MARIESTAD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49566-2023</t>
        </is>
      </c>
      <c r="B303" s="1" t="n">
        <v>45211.65027777778</v>
      </c>
      <c r="C303" s="1" t="n">
        <v>46052</v>
      </c>
      <c r="D303" t="inlineStr">
        <is>
          <t>VÄSTRA GÖTALANDS LÄN</t>
        </is>
      </c>
      <c r="E303" t="inlineStr">
        <is>
          <t>MARIESTAD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8321-2025</t>
        </is>
      </c>
      <c r="B304" s="1" t="n">
        <v>45708.62912037037</v>
      </c>
      <c r="C304" s="1" t="n">
        <v>46052</v>
      </c>
      <c r="D304" t="inlineStr">
        <is>
          <t>VÄSTRA GÖTALANDS LÄN</t>
        </is>
      </c>
      <c r="E304" t="inlineStr">
        <is>
          <t>MARIESTAD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37171-2025</t>
        </is>
      </c>
      <c r="B305" s="1" t="n">
        <v>45875.6099537037</v>
      </c>
      <c r="C305" s="1" t="n">
        <v>46052</v>
      </c>
      <c r="D305" t="inlineStr">
        <is>
          <t>VÄSTRA GÖTALANDS LÄN</t>
        </is>
      </c>
      <c r="E305" t="inlineStr">
        <is>
          <t>MARIESTAD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54225-2022</t>
        </is>
      </c>
      <c r="B306" s="1" t="n">
        <v>44881</v>
      </c>
      <c r="C306" s="1" t="n">
        <v>46052</v>
      </c>
      <c r="D306" t="inlineStr">
        <is>
          <t>VÄSTRA GÖTALANDS LÄN</t>
        </is>
      </c>
      <c r="E306" t="inlineStr">
        <is>
          <t>MARIESTAD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37098-2025</t>
        </is>
      </c>
      <c r="B307" s="1" t="n">
        <v>45875.4712037037</v>
      </c>
      <c r="C307" s="1" t="n">
        <v>46052</v>
      </c>
      <c r="D307" t="inlineStr">
        <is>
          <t>VÄSTRA GÖTALANDS LÄN</t>
        </is>
      </c>
      <c r="E307" t="inlineStr">
        <is>
          <t>MARIESTAD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28622-2021</t>
        </is>
      </c>
      <c r="B308" s="1" t="n">
        <v>44356</v>
      </c>
      <c r="C308" s="1" t="n">
        <v>46052</v>
      </c>
      <c r="D308" t="inlineStr">
        <is>
          <t>VÄSTRA GÖTALANDS LÄN</t>
        </is>
      </c>
      <c r="E308" t="inlineStr">
        <is>
          <t>MARIESTAD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46893-2023</t>
        </is>
      </c>
      <c r="B309" s="1" t="n">
        <v>45201.35621527778</v>
      </c>
      <c r="C309" s="1" t="n">
        <v>46052</v>
      </c>
      <c r="D309" t="inlineStr">
        <is>
          <t>VÄSTRA GÖTALANDS LÄN</t>
        </is>
      </c>
      <c r="E309" t="inlineStr">
        <is>
          <t>MARIESTAD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47777-2023</t>
        </is>
      </c>
      <c r="B310" s="1" t="n">
        <v>45203</v>
      </c>
      <c r="C310" s="1" t="n">
        <v>46052</v>
      </c>
      <c r="D310" t="inlineStr">
        <is>
          <t>VÄSTRA GÖTALANDS LÄN</t>
        </is>
      </c>
      <c r="E310" t="inlineStr">
        <is>
          <t>MARIESTAD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24765-2024</t>
        </is>
      </c>
      <c r="B311" s="1" t="n">
        <v>45460.6934837963</v>
      </c>
      <c r="C311" s="1" t="n">
        <v>46052</v>
      </c>
      <c r="D311" t="inlineStr">
        <is>
          <t>VÄSTRA GÖTALANDS LÄN</t>
        </is>
      </c>
      <c r="E311" t="inlineStr">
        <is>
          <t>MARIESTAD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34253-2024</t>
        </is>
      </c>
      <c r="B312" s="1" t="n">
        <v>45524.59075231481</v>
      </c>
      <c r="C312" s="1" t="n">
        <v>46052</v>
      </c>
      <c r="D312" t="inlineStr">
        <is>
          <t>VÄSTRA GÖTALANDS LÄN</t>
        </is>
      </c>
      <c r="E312" t="inlineStr">
        <is>
          <t>MARIESTAD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10182-2023</t>
        </is>
      </c>
      <c r="B313" s="1" t="n">
        <v>44986</v>
      </c>
      <c r="C313" s="1" t="n">
        <v>46052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74081-2021</t>
        </is>
      </c>
      <c r="B314" s="1" t="n">
        <v>44553</v>
      </c>
      <c r="C314" s="1" t="n">
        <v>46052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7288-2021</t>
        </is>
      </c>
      <c r="B315" s="1" t="n">
        <v>44238</v>
      </c>
      <c r="C315" s="1" t="n">
        <v>46052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48267-2024</t>
        </is>
      </c>
      <c r="B316" s="1" t="n">
        <v>45590.42981481482</v>
      </c>
      <c r="C316" s="1" t="n">
        <v>46052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9793-2022</t>
        </is>
      </c>
      <c r="B317" s="1" t="n">
        <v>44620.36565972222</v>
      </c>
      <c r="C317" s="1" t="n">
        <v>46052</v>
      </c>
      <c r="D317" t="inlineStr">
        <is>
          <t>VÄSTRA GÖTALANDS LÄN</t>
        </is>
      </c>
      <c r="E317" t="inlineStr">
        <is>
          <t>MARIESTAD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18244-2025</t>
        </is>
      </c>
      <c r="B318" s="1" t="n">
        <v>45762.32105324074</v>
      </c>
      <c r="C318" s="1" t="n">
        <v>46052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49389-2023</t>
        </is>
      </c>
      <c r="B319" s="1" t="n">
        <v>45211</v>
      </c>
      <c r="C319" s="1" t="n">
        <v>46052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41970-2025</t>
        </is>
      </c>
      <c r="B320" s="1" t="n">
        <v>45903.4885300926</v>
      </c>
      <c r="C320" s="1" t="n">
        <v>46052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49933-2024</t>
        </is>
      </c>
      <c r="B321" s="1" t="n">
        <v>45597.58248842593</v>
      </c>
      <c r="C321" s="1" t="n">
        <v>46052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41391-2024</t>
        </is>
      </c>
      <c r="B322" s="1" t="n">
        <v>45560.31561342593</v>
      </c>
      <c r="C322" s="1" t="n">
        <v>46052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49563-2023</t>
        </is>
      </c>
      <c r="B323" s="1" t="n">
        <v>45211</v>
      </c>
      <c r="C323" s="1" t="n">
        <v>46052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62089-2023</t>
        </is>
      </c>
      <c r="B324" s="1" t="n">
        <v>45266.87113425926</v>
      </c>
      <c r="C324" s="1" t="n">
        <v>46052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13798-2022</t>
        </is>
      </c>
      <c r="B325" s="1" t="n">
        <v>44649.55983796297</v>
      </c>
      <c r="C325" s="1" t="n">
        <v>46052</v>
      </c>
      <c r="D325" t="inlineStr">
        <is>
          <t>VÄSTRA GÖTALANDS LÄN</t>
        </is>
      </c>
      <c r="E325" t="inlineStr">
        <is>
          <t>MARIESTAD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42839-2025</t>
        </is>
      </c>
      <c r="B326" s="1" t="n">
        <v>45908.5827662037</v>
      </c>
      <c r="C326" s="1" t="n">
        <v>46052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43093-2025</t>
        </is>
      </c>
      <c r="B327" s="1" t="n">
        <v>45909.62569444445</v>
      </c>
      <c r="C327" s="1" t="n">
        <v>46052</v>
      </c>
      <c r="D327" t="inlineStr">
        <is>
          <t>VÄSTRA GÖTALANDS LÄN</t>
        </is>
      </c>
      <c r="E327" t="inlineStr">
        <is>
          <t>MARIESTAD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43099-2025</t>
        </is>
      </c>
      <c r="B328" s="1" t="n">
        <v>45909</v>
      </c>
      <c r="C328" s="1" t="n">
        <v>46052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43098-2025</t>
        </is>
      </c>
      <c r="B329" s="1" t="n">
        <v>45909.62886574074</v>
      </c>
      <c r="C329" s="1" t="n">
        <v>46052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43096-2025</t>
        </is>
      </c>
      <c r="B330" s="1" t="n">
        <v>45909.62775462963</v>
      </c>
      <c r="C330" s="1" t="n">
        <v>46052</v>
      </c>
      <c r="D330" t="inlineStr">
        <is>
          <t>VÄSTRA GÖTALANDS LÄN</t>
        </is>
      </c>
      <c r="E330" t="inlineStr">
        <is>
          <t>MARIESTAD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7612-2023</t>
        </is>
      </c>
      <c r="B331" s="1" t="n">
        <v>44972.48915509259</v>
      </c>
      <c r="C331" s="1" t="n">
        <v>46052</v>
      </c>
      <c r="D331" t="inlineStr">
        <is>
          <t>VÄSTRA GÖTALANDS LÄN</t>
        </is>
      </c>
      <c r="E331" t="inlineStr">
        <is>
          <t>MARIESTAD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9610-2022</t>
        </is>
      </c>
      <c r="B332" s="1" t="n">
        <v>44617</v>
      </c>
      <c r="C332" s="1" t="n">
        <v>46052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30652-2023</t>
        </is>
      </c>
      <c r="B333" s="1" t="n">
        <v>45112</v>
      </c>
      <c r="C333" s="1" t="n">
        <v>46052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Kommuner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43090-2025</t>
        </is>
      </c>
      <c r="B334" s="1" t="n">
        <v>45909.62460648148</v>
      </c>
      <c r="C334" s="1" t="n">
        <v>46052</v>
      </c>
      <c r="D334" t="inlineStr">
        <is>
          <t>VÄSTRA GÖTALANDS LÄN</t>
        </is>
      </c>
      <c r="E334" t="inlineStr">
        <is>
          <t>MARIESTAD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43570-2025</t>
        </is>
      </c>
      <c r="B335" s="1" t="n">
        <v>45911.63373842592</v>
      </c>
      <c r="C335" s="1" t="n">
        <v>46052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43575-2025</t>
        </is>
      </c>
      <c r="B336" s="1" t="n">
        <v>45911.63979166667</v>
      </c>
      <c r="C336" s="1" t="n">
        <v>46052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27452-2023</t>
        </is>
      </c>
      <c r="B337" s="1" t="n">
        <v>45097.4265162037</v>
      </c>
      <c r="C337" s="1" t="n">
        <v>46052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8146-2023</t>
        </is>
      </c>
      <c r="B338" s="1" t="n">
        <v>44974</v>
      </c>
      <c r="C338" s="1" t="n">
        <v>46052</v>
      </c>
      <c r="D338" t="inlineStr">
        <is>
          <t>VÄSTRA GÖTALANDS LÄN</t>
        </is>
      </c>
      <c r="E338" t="inlineStr">
        <is>
          <t>MARIESTAD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43573-2025</t>
        </is>
      </c>
      <c r="B339" s="1" t="n">
        <v>45911.63810185185</v>
      </c>
      <c r="C339" s="1" t="n">
        <v>46052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22236-2023</t>
        </is>
      </c>
      <c r="B340" s="1" t="n">
        <v>45070</v>
      </c>
      <c r="C340" s="1" t="n">
        <v>46052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43524-2025</t>
        </is>
      </c>
      <c r="B341" s="1" t="n">
        <v>45911.58439814814</v>
      </c>
      <c r="C341" s="1" t="n">
        <v>46052</v>
      </c>
      <c r="D341" t="inlineStr">
        <is>
          <t>VÄSTRA GÖTALANDS LÄN</t>
        </is>
      </c>
      <c r="E341" t="inlineStr">
        <is>
          <t>MARIESTAD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33571-2023</t>
        </is>
      </c>
      <c r="B342" s="1" t="n">
        <v>45131</v>
      </c>
      <c r="C342" s="1" t="n">
        <v>46052</v>
      </c>
      <c r="D342" t="inlineStr">
        <is>
          <t>VÄSTRA GÖTALANDS LÄN</t>
        </is>
      </c>
      <c r="E342" t="inlineStr">
        <is>
          <t>MARIESTAD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7771-2025</t>
        </is>
      </c>
      <c r="B343" s="1" t="n">
        <v>45706.56320601852</v>
      </c>
      <c r="C343" s="1" t="n">
        <v>46052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10842-2025</t>
        </is>
      </c>
      <c r="B344" s="1" t="n">
        <v>45722.57545138889</v>
      </c>
      <c r="C344" s="1" t="n">
        <v>46052</v>
      </c>
      <c r="D344" t="inlineStr">
        <is>
          <t>VÄSTRA GÖTALANDS LÄN</t>
        </is>
      </c>
      <c r="E344" t="inlineStr">
        <is>
          <t>MARIESTAD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633-2025</t>
        </is>
      </c>
      <c r="B345" s="1" t="n">
        <v>45664.63055555556</v>
      </c>
      <c r="C345" s="1" t="n">
        <v>46052</v>
      </c>
      <c r="D345" t="inlineStr">
        <is>
          <t>VÄSTRA GÖTALANDS LÄN</t>
        </is>
      </c>
      <c r="E345" t="inlineStr">
        <is>
          <t>MARIESTAD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9410-2022</t>
        </is>
      </c>
      <c r="B346" s="1" t="n">
        <v>44616</v>
      </c>
      <c r="C346" s="1" t="n">
        <v>46052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11815-2023</t>
        </is>
      </c>
      <c r="B347" s="1" t="n">
        <v>44994.81083333334</v>
      </c>
      <c r="C347" s="1" t="n">
        <v>46052</v>
      </c>
      <c r="D347" t="inlineStr">
        <is>
          <t>VÄSTRA GÖTALANDS LÄN</t>
        </is>
      </c>
      <c r="E347" t="inlineStr">
        <is>
          <t>MARIESTAD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16867-2023</t>
        </is>
      </c>
      <c r="B348" s="1" t="n">
        <v>45033</v>
      </c>
      <c r="C348" s="1" t="n">
        <v>46052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40651-2024</t>
        </is>
      </c>
      <c r="B349" s="1" t="n">
        <v>45558.33138888889</v>
      </c>
      <c r="C349" s="1" t="n">
        <v>46052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49188-2023</t>
        </is>
      </c>
      <c r="B350" s="1" t="n">
        <v>45210.57627314814</v>
      </c>
      <c r="C350" s="1" t="n">
        <v>46052</v>
      </c>
      <c r="D350" t="inlineStr">
        <is>
          <t>VÄSTRA GÖTALANDS LÄN</t>
        </is>
      </c>
      <c r="E350" t="inlineStr">
        <is>
          <t>MARIESTAD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49193-2023</t>
        </is>
      </c>
      <c r="B351" s="1" t="n">
        <v>45210.58008101852</v>
      </c>
      <c r="C351" s="1" t="n">
        <v>46052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2583-2023</t>
        </is>
      </c>
      <c r="B352" s="1" t="n">
        <v>44943</v>
      </c>
      <c r="C352" s="1" t="n">
        <v>46052</v>
      </c>
      <c r="D352" t="inlineStr">
        <is>
          <t>VÄSTRA GÖTALANDS LÄN</t>
        </is>
      </c>
      <c r="E352" t="inlineStr">
        <is>
          <t>MARIESTAD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44404-2025</t>
        </is>
      </c>
      <c r="B353" s="1" t="n">
        <v>45916.51296296297</v>
      </c>
      <c r="C353" s="1" t="n">
        <v>46052</v>
      </c>
      <c r="D353" t="inlineStr">
        <is>
          <t>VÄSTRA GÖTALANDS LÄN</t>
        </is>
      </c>
      <c r="E353" t="inlineStr">
        <is>
          <t>MARIESTAD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48273-2024</t>
        </is>
      </c>
      <c r="B354" s="1" t="n">
        <v>45590.43452546297</v>
      </c>
      <c r="C354" s="1" t="n">
        <v>46052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42647-2023</t>
        </is>
      </c>
      <c r="B355" s="1" t="n">
        <v>45181</v>
      </c>
      <c r="C355" s="1" t="n">
        <v>46052</v>
      </c>
      <c r="D355" t="inlineStr">
        <is>
          <t>VÄSTRA GÖTALANDS LÄN</t>
        </is>
      </c>
      <c r="E355" t="inlineStr">
        <is>
          <t>MARIESTAD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22360-2023</t>
        </is>
      </c>
      <c r="B356" s="1" t="n">
        <v>45070.58734953704</v>
      </c>
      <c r="C356" s="1" t="n">
        <v>46052</v>
      </c>
      <c r="D356" t="inlineStr">
        <is>
          <t>VÄSTRA GÖTALANDS LÄN</t>
        </is>
      </c>
      <c r="E356" t="inlineStr">
        <is>
          <t>MARIESTAD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16466-2025</t>
        </is>
      </c>
      <c r="B357" s="1" t="n">
        <v>45751.53894675926</v>
      </c>
      <c r="C357" s="1" t="n">
        <v>46052</v>
      </c>
      <c r="D357" t="inlineStr">
        <is>
          <t>VÄSTRA GÖTALANDS LÄN</t>
        </is>
      </c>
      <c r="E357" t="inlineStr">
        <is>
          <t>MARIESTAD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7032-2024</t>
        </is>
      </c>
      <c r="B358" s="1" t="n">
        <v>45343</v>
      </c>
      <c r="C358" s="1" t="n">
        <v>46052</v>
      </c>
      <c r="D358" t="inlineStr">
        <is>
          <t>VÄSTRA GÖTALANDS LÄN</t>
        </is>
      </c>
      <c r="E358" t="inlineStr">
        <is>
          <t>MARIESTAD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12361-2023</t>
        </is>
      </c>
      <c r="B359" s="1" t="n">
        <v>44999</v>
      </c>
      <c r="C359" s="1" t="n">
        <v>46052</v>
      </c>
      <c r="D359" t="inlineStr">
        <is>
          <t>VÄSTRA GÖTALANDS LÄN</t>
        </is>
      </c>
      <c r="E359" t="inlineStr">
        <is>
          <t>MARIESTAD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46875-2023</t>
        </is>
      </c>
      <c r="B360" s="1" t="n">
        <v>45200.85653935185</v>
      </c>
      <c r="C360" s="1" t="n">
        <v>46052</v>
      </c>
      <c r="D360" t="inlineStr">
        <is>
          <t>VÄSTRA GÖTALANDS LÄN</t>
        </is>
      </c>
      <c r="E360" t="inlineStr">
        <is>
          <t>MARIESTAD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35097-2024</t>
        </is>
      </c>
      <c r="B361" s="1" t="n">
        <v>45528.60868055555</v>
      </c>
      <c r="C361" s="1" t="n">
        <v>46052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49166-2023</t>
        </is>
      </c>
      <c r="B362" s="1" t="n">
        <v>45210.5391087963</v>
      </c>
      <c r="C362" s="1" t="n">
        <v>46052</v>
      </c>
      <c r="D362" t="inlineStr">
        <is>
          <t>VÄSTRA GÖTALANDS LÄN</t>
        </is>
      </c>
      <c r="E362" t="inlineStr">
        <is>
          <t>MARIESTAD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2551-2023</t>
        </is>
      </c>
      <c r="B363" s="1" t="n">
        <v>44943.665625</v>
      </c>
      <c r="C363" s="1" t="n">
        <v>46052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35581-2023</t>
        </is>
      </c>
      <c r="B364" s="1" t="n">
        <v>45135</v>
      </c>
      <c r="C364" s="1" t="n">
        <v>46052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8474-2025</t>
        </is>
      </c>
      <c r="B365" s="1" t="n">
        <v>45709.47657407408</v>
      </c>
      <c r="C365" s="1" t="n">
        <v>46052</v>
      </c>
      <c r="D365" t="inlineStr">
        <is>
          <t>VÄSTRA GÖTALANDS LÄN</t>
        </is>
      </c>
      <c r="E365" t="inlineStr">
        <is>
          <t>MARIESTAD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983-2023</t>
        </is>
      </c>
      <c r="B366" s="1" t="n">
        <v>44935.3791550926</v>
      </c>
      <c r="C366" s="1" t="n">
        <v>46052</v>
      </c>
      <c r="D366" t="inlineStr">
        <is>
          <t>VÄSTRA GÖTALANDS LÄN</t>
        </is>
      </c>
      <c r="E366" t="inlineStr">
        <is>
          <t>MARIESTAD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12767-2024</t>
        </is>
      </c>
      <c r="B367" s="1" t="n">
        <v>45384</v>
      </c>
      <c r="C367" s="1" t="n">
        <v>46052</v>
      </c>
      <c r="D367" t="inlineStr">
        <is>
          <t>VÄSTRA GÖTALANDS LÄN</t>
        </is>
      </c>
      <c r="E367" t="inlineStr">
        <is>
          <t>MARIESTAD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45036-2025</t>
        </is>
      </c>
      <c r="B368" s="1" t="n">
        <v>45918.70782407407</v>
      </c>
      <c r="C368" s="1" t="n">
        <v>46052</v>
      </c>
      <c r="D368" t="inlineStr">
        <is>
          <t>VÄSTRA GÖTALANDS LÄN</t>
        </is>
      </c>
      <c r="E368" t="inlineStr">
        <is>
          <t>MARIESTAD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46555-2022</t>
        </is>
      </c>
      <c r="B369" s="1" t="n">
        <v>44848.63724537037</v>
      </c>
      <c r="C369" s="1" t="n">
        <v>46052</v>
      </c>
      <c r="D369" t="inlineStr">
        <is>
          <t>VÄSTRA GÖTALANDS LÄN</t>
        </is>
      </c>
      <c r="E369" t="inlineStr">
        <is>
          <t>MARIESTAD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45347-2025</t>
        </is>
      </c>
      <c r="B370" s="1" t="n">
        <v>45922.35247685185</v>
      </c>
      <c r="C370" s="1" t="n">
        <v>46052</v>
      </c>
      <c r="D370" t="inlineStr">
        <is>
          <t>VÄSTRA GÖTALANDS LÄN</t>
        </is>
      </c>
      <c r="E370" t="inlineStr">
        <is>
          <t>MARIESTAD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60812-2023</t>
        </is>
      </c>
      <c r="B371" s="1" t="n">
        <v>45260</v>
      </c>
      <c r="C371" s="1" t="n">
        <v>46052</v>
      </c>
      <c r="D371" t="inlineStr">
        <is>
          <t>VÄSTRA GÖTALANDS LÄN</t>
        </is>
      </c>
      <c r="E371" t="inlineStr">
        <is>
          <t>MARIESTAD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13655-2023</t>
        </is>
      </c>
      <c r="B372" s="1" t="n">
        <v>45006</v>
      </c>
      <c r="C372" s="1" t="n">
        <v>46052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45484-2025</t>
        </is>
      </c>
      <c r="B373" s="1" t="n">
        <v>45922.54543981481</v>
      </c>
      <c r="C373" s="1" t="n">
        <v>46052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52626-2023</t>
        </is>
      </c>
      <c r="B374" s="1" t="n">
        <v>45225.63690972222</v>
      </c>
      <c r="C374" s="1" t="n">
        <v>46052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44219-2023</t>
        </is>
      </c>
      <c r="B375" s="1" t="n">
        <v>45188.55583333333</v>
      </c>
      <c r="C375" s="1" t="n">
        <v>46052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14291-2024</t>
        </is>
      </c>
      <c r="B376" s="1" t="n">
        <v>45393.63282407408</v>
      </c>
      <c r="C376" s="1" t="n">
        <v>46052</v>
      </c>
      <c r="D376" t="inlineStr">
        <is>
          <t>VÄSTRA GÖTALANDS LÄN</t>
        </is>
      </c>
      <c r="E376" t="inlineStr">
        <is>
          <t>MARIESTAD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4949-2024</t>
        </is>
      </c>
      <c r="B377" s="1" t="n">
        <v>45329.57056712963</v>
      </c>
      <c r="C377" s="1" t="n">
        <v>46052</v>
      </c>
      <c r="D377" t="inlineStr">
        <is>
          <t>VÄSTRA GÖTALANDS LÄN</t>
        </is>
      </c>
      <c r="E377" t="inlineStr">
        <is>
          <t>MARIESTAD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26688-2022</t>
        </is>
      </c>
      <c r="B378" s="1" t="n">
        <v>44739</v>
      </c>
      <c r="C378" s="1" t="n">
        <v>46052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56755-2024</t>
        </is>
      </c>
      <c r="B379" s="1" t="n">
        <v>45628.39192129629</v>
      </c>
      <c r="C379" s="1" t="n">
        <v>46052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18129-2025</t>
        </is>
      </c>
      <c r="B380" s="1" t="n">
        <v>45761.59930555556</v>
      </c>
      <c r="C380" s="1" t="n">
        <v>46052</v>
      </c>
      <c r="D380" t="inlineStr">
        <is>
          <t>VÄSTRA GÖTALANDS LÄN</t>
        </is>
      </c>
      <c r="E380" t="inlineStr">
        <is>
          <t>MARIESTAD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32794-2024</t>
        </is>
      </c>
      <c r="B381" s="1" t="n">
        <v>45516.55818287037</v>
      </c>
      <c r="C381" s="1" t="n">
        <v>46052</v>
      </c>
      <c r="D381" t="inlineStr">
        <is>
          <t>VÄSTRA GÖTALANDS LÄN</t>
        </is>
      </c>
      <c r="E381" t="inlineStr">
        <is>
          <t>MARIESTAD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28162-2022</t>
        </is>
      </c>
      <c r="B382" s="1" t="n">
        <v>44746.56627314815</v>
      </c>
      <c r="C382" s="1" t="n">
        <v>46052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15052-2023</t>
        </is>
      </c>
      <c r="B383" s="1" t="n">
        <v>45015.67859953704</v>
      </c>
      <c r="C383" s="1" t="n">
        <v>46052</v>
      </c>
      <c r="D383" t="inlineStr">
        <is>
          <t>VÄSTRA GÖTALANDS LÄN</t>
        </is>
      </c>
      <c r="E383" t="inlineStr">
        <is>
          <t>MARIESTAD</t>
        </is>
      </c>
      <c r="G383" t="n">
        <v>15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4241-2024</t>
        </is>
      </c>
      <c r="B384" s="1" t="n">
        <v>45324</v>
      </c>
      <c r="C384" s="1" t="n">
        <v>46052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29848-2022</t>
        </is>
      </c>
      <c r="B385" s="1" t="n">
        <v>44756.36030092592</v>
      </c>
      <c r="C385" s="1" t="n">
        <v>46052</v>
      </c>
      <c r="D385" t="inlineStr">
        <is>
          <t>VÄSTRA GÖTALANDS LÄN</t>
        </is>
      </c>
      <c r="E385" t="inlineStr">
        <is>
          <t>MARIESTAD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1315-2023</t>
        </is>
      </c>
      <c r="B386" s="1" t="n">
        <v>44936</v>
      </c>
      <c r="C386" s="1" t="n">
        <v>46052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32799-2024</t>
        </is>
      </c>
      <c r="B387" s="1" t="n">
        <v>45516.56393518519</v>
      </c>
      <c r="C387" s="1" t="n">
        <v>46052</v>
      </c>
      <c r="D387" t="inlineStr">
        <is>
          <t>VÄSTRA GÖTALANDS LÄN</t>
        </is>
      </c>
      <c r="E387" t="inlineStr">
        <is>
          <t>MARIESTAD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7491-2025</t>
        </is>
      </c>
      <c r="B388" s="1" t="n">
        <v>45705.48096064815</v>
      </c>
      <c r="C388" s="1" t="n">
        <v>46052</v>
      </c>
      <c r="D388" t="inlineStr">
        <is>
          <t>VÄSTRA GÖTALANDS LÄN</t>
        </is>
      </c>
      <c r="E388" t="inlineStr">
        <is>
          <t>MARIESTAD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7494-2025</t>
        </is>
      </c>
      <c r="B389" s="1" t="n">
        <v>45705.48537037037</v>
      </c>
      <c r="C389" s="1" t="n">
        <v>46052</v>
      </c>
      <c r="D389" t="inlineStr">
        <is>
          <t>VÄSTRA GÖTALANDS LÄN</t>
        </is>
      </c>
      <c r="E389" t="inlineStr">
        <is>
          <t>MARIESTAD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2391-2025</t>
        </is>
      </c>
      <c r="B390" s="1" t="n">
        <v>45674.33168981481</v>
      </c>
      <c r="C390" s="1" t="n">
        <v>46052</v>
      </c>
      <c r="D390" t="inlineStr">
        <is>
          <t>VÄSTRA GÖTALANDS LÄN</t>
        </is>
      </c>
      <c r="E390" t="inlineStr">
        <is>
          <t>MARIESTAD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61716-2022</t>
        </is>
      </c>
      <c r="B391" s="1" t="n">
        <v>44917</v>
      </c>
      <c r="C391" s="1" t="n">
        <v>46052</v>
      </c>
      <c r="D391" t="inlineStr">
        <is>
          <t>VÄSTRA GÖTALANDS LÄN</t>
        </is>
      </c>
      <c r="E391" t="inlineStr">
        <is>
          <t>MARIESTAD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59857-2024</t>
        </is>
      </c>
      <c r="B392" s="1" t="n">
        <v>45639.71925925926</v>
      </c>
      <c r="C392" s="1" t="n">
        <v>46052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41406-2024</t>
        </is>
      </c>
      <c r="B393" s="1" t="n">
        <v>45560.34092592593</v>
      </c>
      <c r="C393" s="1" t="n">
        <v>46052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55777-2023</t>
        </is>
      </c>
      <c r="B394" s="1" t="n">
        <v>45239.49313657408</v>
      </c>
      <c r="C394" s="1" t="n">
        <v>46052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36399-2024</t>
        </is>
      </c>
      <c r="B395" s="1" t="n">
        <v>45535.51828703703</v>
      </c>
      <c r="C395" s="1" t="n">
        <v>46052</v>
      </c>
      <c r="D395" t="inlineStr">
        <is>
          <t>VÄSTRA GÖTALANDS LÄN</t>
        </is>
      </c>
      <c r="E395" t="inlineStr">
        <is>
          <t>MARIESTAD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57692-2023</t>
        </is>
      </c>
      <c r="B396" s="1" t="n">
        <v>45243</v>
      </c>
      <c r="C396" s="1" t="n">
        <v>46052</v>
      </c>
      <c r="D396" t="inlineStr">
        <is>
          <t>VÄSTRA GÖTALANDS LÄN</t>
        </is>
      </c>
      <c r="E396" t="inlineStr">
        <is>
          <t>MARIESTAD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17143-2024</t>
        </is>
      </c>
      <c r="B397" s="1" t="n">
        <v>45412.63918981481</v>
      </c>
      <c r="C397" s="1" t="n">
        <v>46052</v>
      </c>
      <c r="D397" t="inlineStr">
        <is>
          <t>VÄSTRA GÖTALANDS LÄN</t>
        </is>
      </c>
      <c r="E397" t="inlineStr">
        <is>
          <t>MARIESTAD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17166-2024</t>
        </is>
      </c>
      <c r="B398" s="1" t="n">
        <v>45412.85439814815</v>
      </c>
      <c r="C398" s="1" t="n">
        <v>46052</v>
      </c>
      <c r="D398" t="inlineStr">
        <is>
          <t>VÄSTRA GÖTALANDS LÄN</t>
        </is>
      </c>
      <c r="E398" t="inlineStr">
        <is>
          <t>MARIESTAD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37917-2024</t>
        </is>
      </c>
      <c r="B399" s="1" t="n">
        <v>45544.47037037037</v>
      </c>
      <c r="C399" s="1" t="n">
        <v>46052</v>
      </c>
      <c r="D399" t="inlineStr">
        <is>
          <t>VÄSTRA GÖTALANDS LÄN</t>
        </is>
      </c>
      <c r="E399" t="inlineStr">
        <is>
          <t>MARIESTAD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62656-2023</t>
        </is>
      </c>
      <c r="B400" s="1" t="n">
        <v>45271.44229166667</v>
      </c>
      <c r="C400" s="1" t="n">
        <v>46052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62718-2023</t>
        </is>
      </c>
      <c r="B401" s="1" t="n">
        <v>45268</v>
      </c>
      <c r="C401" s="1" t="n">
        <v>46052</v>
      </c>
      <c r="D401" t="inlineStr">
        <is>
          <t>VÄSTRA GÖTALANDS LÄN</t>
        </is>
      </c>
      <c r="E401" t="inlineStr">
        <is>
          <t>MARIESTAD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35169-2024</t>
        </is>
      </c>
      <c r="B402" s="1" t="n">
        <v>45530.40872685185</v>
      </c>
      <c r="C402" s="1" t="n">
        <v>46052</v>
      </c>
      <c r="D402" t="inlineStr">
        <is>
          <t>VÄSTRA GÖTALANDS LÄN</t>
        </is>
      </c>
      <c r="E402" t="inlineStr">
        <is>
          <t>MARIESTAD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7162-2025</t>
        </is>
      </c>
      <c r="B403" s="1" t="n">
        <v>45702.39122685185</v>
      </c>
      <c r="C403" s="1" t="n">
        <v>46052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11551-2025</t>
        </is>
      </c>
      <c r="B404" s="1" t="n">
        <v>45727.34619212963</v>
      </c>
      <c r="C404" s="1" t="n">
        <v>46052</v>
      </c>
      <c r="D404" t="inlineStr">
        <is>
          <t>VÄSTRA GÖTALANDS LÄN</t>
        </is>
      </c>
      <c r="E404" t="inlineStr">
        <is>
          <t>MARIESTAD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5146-2025</t>
        </is>
      </c>
      <c r="B405" s="1" t="n">
        <v>45691.58796296296</v>
      </c>
      <c r="C405" s="1" t="n">
        <v>46052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61603-2023</t>
        </is>
      </c>
      <c r="B406" s="1" t="n">
        <v>45265</v>
      </c>
      <c r="C406" s="1" t="n">
        <v>46052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49178-2025</t>
        </is>
      </c>
      <c r="B407" s="1" t="n">
        <v>45938.3840625</v>
      </c>
      <c r="C407" s="1" t="n">
        <v>46052</v>
      </c>
      <c r="D407" t="inlineStr">
        <is>
          <t>VÄSTRA GÖTALANDS LÄN</t>
        </is>
      </c>
      <c r="E407" t="inlineStr">
        <is>
          <t>MARIESTAD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49015-2025</t>
        </is>
      </c>
      <c r="B408" s="1" t="n">
        <v>45937.61165509259</v>
      </c>
      <c r="C408" s="1" t="n">
        <v>46052</v>
      </c>
      <c r="D408" t="inlineStr">
        <is>
          <t>VÄSTRA GÖTALANDS LÄN</t>
        </is>
      </c>
      <c r="E408" t="inlineStr">
        <is>
          <t>MARIESTAD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10458-2025</t>
        </is>
      </c>
      <c r="B409" s="1" t="n">
        <v>45720</v>
      </c>
      <c r="C409" s="1" t="n">
        <v>46052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51222-2025</t>
        </is>
      </c>
      <c r="B410" s="1" t="n">
        <v>45947.65197916667</v>
      </c>
      <c r="C410" s="1" t="n">
        <v>46052</v>
      </c>
      <c r="D410" t="inlineStr">
        <is>
          <t>VÄSTRA GÖTALANDS LÄN</t>
        </is>
      </c>
      <c r="E410" t="inlineStr">
        <is>
          <t>MARIESTAD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53104-2025</t>
        </is>
      </c>
      <c r="B411" s="1" t="n">
        <v>45958.43296296296</v>
      </c>
      <c r="C411" s="1" t="n">
        <v>46052</v>
      </c>
      <c r="D411" t="inlineStr">
        <is>
          <t>VÄSTRA GÖTALANDS LÄN</t>
        </is>
      </c>
      <c r="E411" t="inlineStr">
        <is>
          <t>MARIESTAD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53116-2025</t>
        </is>
      </c>
      <c r="B412" s="1" t="n">
        <v>45958.44686342592</v>
      </c>
      <c r="C412" s="1" t="n">
        <v>46052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53118-2025</t>
        </is>
      </c>
      <c r="B413" s="1" t="n">
        <v>45958.44865740741</v>
      </c>
      <c r="C413" s="1" t="n">
        <v>46052</v>
      </c>
      <c r="D413" t="inlineStr">
        <is>
          <t>VÄSTRA GÖTALANDS LÄN</t>
        </is>
      </c>
      <c r="E413" t="inlineStr">
        <is>
          <t>MARIESTAD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53741-2025</t>
        </is>
      </c>
      <c r="B414" s="1" t="n">
        <v>45960.64665509259</v>
      </c>
      <c r="C414" s="1" t="n">
        <v>46052</v>
      </c>
      <c r="D414" t="inlineStr">
        <is>
          <t>VÄSTRA GÖTALANDS LÄN</t>
        </is>
      </c>
      <c r="E414" t="inlineStr">
        <is>
          <t>MARIESTAD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54447-2025</t>
        </is>
      </c>
      <c r="B415" s="1" t="n">
        <v>45965.53032407408</v>
      </c>
      <c r="C415" s="1" t="n">
        <v>46052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54828-2025</t>
        </is>
      </c>
      <c r="B416" s="1" t="n">
        <v>45966.67394675926</v>
      </c>
      <c r="C416" s="1" t="n">
        <v>46052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55744-2025</t>
        </is>
      </c>
      <c r="B417" s="1" t="n">
        <v>45972.57346064815</v>
      </c>
      <c r="C417" s="1" t="n">
        <v>46052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Övriga Aktiebolag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55951-2025</t>
        </is>
      </c>
      <c r="B418" s="1" t="n">
        <v>45973.47078703704</v>
      </c>
      <c r="C418" s="1" t="n">
        <v>46052</v>
      </c>
      <c r="D418" t="inlineStr">
        <is>
          <t>VÄSTRA GÖTALANDS LÄN</t>
        </is>
      </c>
      <c r="E418" t="inlineStr">
        <is>
          <t>MARIESTAD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57921-2025</t>
        </is>
      </c>
      <c r="B419" s="1" t="n">
        <v>45981.81599537037</v>
      </c>
      <c r="C419" s="1" t="n">
        <v>46052</v>
      </c>
      <c r="D419" t="inlineStr">
        <is>
          <t>VÄSTRA GÖTALANDS LÄN</t>
        </is>
      </c>
      <c r="E419" t="inlineStr">
        <is>
          <t>MARIESTAD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571-2026</t>
        </is>
      </c>
      <c r="B420" s="1" t="n">
        <v>46029.47251157407</v>
      </c>
      <c r="C420" s="1" t="n">
        <v>46052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573-2026</t>
        </is>
      </c>
      <c r="B421" s="1" t="n">
        <v>46029.47435185185</v>
      </c>
      <c r="C421" s="1" t="n">
        <v>46052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59316-2025</t>
        </is>
      </c>
      <c r="B422" s="1" t="n">
        <v>45989.31944444445</v>
      </c>
      <c r="C422" s="1" t="n">
        <v>46052</v>
      </c>
      <c r="D422" t="inlineStr">
        <is>
          <t>VÄSTRA GÖTALANDS LÄN</t>
        </is>
      </c>
      <c r="E422" t="inlineStr">
        <is>
          <t>MARIESTAD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1841-2026</t>
        </is>
      </c>
      <c r="B423" s="1" t="n">
        <v>46035.39893518519</v>
      </c>
      <c r="C423" s="1" t="n">
        <v>46052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2457-2026</t>
        </is>
      </c>
      <c r="B424" s="1" t="n">
        <v>46037.34707175926</v>
      </c>
      <c r="C424" s="1" t="n">
        <v>46052</v>
      </c>
      <c r="D424" t="inlineStr">
        <is>
          <t>VÄSTRA GÖTALANDS LÄN</t>
        </is>
      </c>
      <c r="E424" t="inlineStr">
        <is>
          <t>MARIESTAD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58154-2025</t>
        </is>
      </c>
      <c r="B425" s="1" t="n">
        <v>45982</v>
      </c>
      <c r="C425" s="1" t="n">
        <v>46052</v>
      </c>
      <c r="D425" t="inlineStr">
        <is>
          <t>VÄSTRA GÖTALANDS LÄN</t>
        </is>
      </c>
      <c r="E425" t="inlineStr">
        <is>
          <t>MARIESTAD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3464-2026</t>
        </is>
      </c>
      <c r="B426" s="1" t="n">
        <v>46042.52333333333</v>
      </c>
      <c r="C426" s="1" t="n">
        <v>46052</v>
      </c>
      <c r="D426" t="inlineStr">
        <is>
          <t>VÄSTRA GÖTALANDS LÄN</t>
        </is>
      </c>
      <c r="E426" t="inlineStr">
        <is>
          <t>MARIESTAD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61073-2025</t>
        </is>
      </c>
      <c r="B427" s="1" t="n">
        <v>46000.39114583333</v>
      </c>
      <c r="C427" s="1" t="n">
        <v>46052</v>
      </c>
      <c r="D427" t="inlineStr">
        <is>
          <t>VÄSTRA GÖTALANDS LÄN</t>
        </is>
      </c>
      <c r="E427" t="inlineStr">
        <is>
          <t>MARIESTAD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61852-2025</t>
        </is>
      </c>
      <c r="B428" s="1" t="n">
        <v>46003.38299768518</v>
      </c>
      <c r="C428" s="1" t="n">
        <v>46052</v>
      </c>
      <c r="D428" t="inlineStr">
        <is>
          <t>VÄSTRA GÖTALANDS LÄN</t>
        </is>
      </c>
      <c r="E428" t="inlineStr">
        <is>
          <t>MARIESTAD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61853-2025</t>
        </is>
      </c>
      <c r="B429" s="1" t="n">
        <v>46003.38445601852</v>
      </c>
      <c r="C429" s="1" t="n">
        <v>46052</v>
      </c>
      <c r="D429" t="inlineStr">
        <is>
          <t>VÄSTRA GÖTALANDS LÄN</t>
        </is>
      </c>
      <c r="E429" t="inlineStr">
        <is>
          <t>MARIESTAD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61855-2025</t>
        </is>
      </c>
      <c r="B430" s="1" t="n">
        <v>46003.3855787037</v>
      </c>
      <c r="C430" s="1" t="n">
        <v>46052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61863-2025</t>
        </is>
      </c>
      <c r="B431" s="1" t="n">
        <v>46003.3871412037</v>
      </c>
      <c r="C431" s="1" t="n">
        <v>46052</v>
      </c>
      <c r="D431" t="inlineStr">
        <is>
          <t>VÄSTRA GÖTALANDS LÄN</t>
        </is>
      </c>
      <c r="E431" t="inlineStr">
        <is>
          <t>MARIESTAD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62514-2025</t>
        </is>
      </c>
      <c r="B432" s="1" t="n">
        <v>46007.59984953704</v>
      </c>
      <c r="C432" s="1" t="n">
        <v>46052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62434-2025</t>
        </is>
      </c>
      <c r="B433" s="1" t="n">
        <v>46007.45995370371</v>
      </c>
      <c r="C433" s="1" t="n">
        <v>46052</v>
      </c>
      <c r="D433" t="inlineStr">
        <is>
          <t>VÄSTRA GÖTALANDS LÄN</t>
        </is>
      </c>
      <c r="E433" t="inlineStr">
        <is>
          <t>MARIESTAD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63287-2025</t>
        </is>
      </c>
      <c r="B434" s="1" t="n">
        <v>46009</v>
      </c>
      <c r="C434" s="1" t="n">
        <v>46052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Kyrkan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5408-2026</t>
        </is>
      </c>
      <c r="B435" s="1" t="n">
        <v>46050.52313657408</v>
      </c>
      <c r="C435" s="1" t="n">
        <v>46052</v>
      </c>
      <c r="D435" t="inlineStr">
        <is>
          <t>VÄSTRA GÖTALANDS LÄN</t>
        </is>
      </c>
      <c r="E435" t="inlineStr">
        <is>
          <t>MARIESTAD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5407-2026</t>
        </is>
      </c>
      <c r="B436" s="1" t="n">
        <v>46050.52133101852</v>
      </c>
      <c r="C436" s="1" t="n">
        <v>46052</v>
      </c>
      <c r="D436" t="inlineStr">
        <is>
          <t>VÄSTRA GÖTALANDS LÄN</t>
        </is>
      </c>
      <c r="E436" t="inlineStr">
        <is>
          <t>MARIESTAD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62633-2025</t>
        </is>
      </c>
      <c r="B437" s="1" t="n">
        <v>46008.36337962963</v>
      </c>
      <c r="C437" s="1" t="n">
        <v>46052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Kyrkan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5716-2026</t>
        </is>
      </c>
      <c r="B438" s="1" t="n">
        <v>46051.53651620371</v>
      </c>
      <c r="C438" s="1" t="n">
        <v>46052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Kyrkan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2026-01-30T10:59:22Z</dcterms:created>
  <dcterms:modified xmlns:dcterms="http://purl.org/dc/terms/" xmlns:xsi="http://www.w3.org/2001/XMLSchema-instance" xsi:type="dcterms:W3CDTF">2026-01-30T10:59:23Z</dcterms:modified>
</cp:coreProperties>
</file>