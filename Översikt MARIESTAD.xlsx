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46290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46290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46290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46290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46290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46290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46290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46290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46290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46290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46290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46290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46290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46290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50053-2023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46290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Grovticka</t>
        </is>
      </c>
      <c r="W19">
        <f>HYPERLINK("https://klasma.github.io/Logging_1493/artfynd/A 50053-2023 artfynd.xlsx", "A 50053-2023")</f>
        <v/>
      </c>
      <c r="X19">
        <f>HYPERLINK("https://klasma.github.io/Logging_1493/kartor/A 50053-2023 karta.png", "A 50053-2023")</f>
        <v/>
      </c>
      <c r="Y19">
        <f>HYPERLINK("https://klasma.github.io/Logging_1493/kartor_geotiff/A 50053-2023 georefererad karta.tif", "A 50053-2023")</f>
        <v/>
      </c>
      <c r="Z19">
        <f>HYPERLINK("https://klasma.github.io/Logging_1493/knärot/A 50053-2023 karta knärot.png", "A 50053-2023")</f>
        <v/>
      </c>
      <c r="AA19">
        <f>HYPERLINK("https://klasma.github.io/Logging_1493/klagomål/A 50053-2023 FSC-klagomål.docx", "A 50053-2023")</f>
        <v/>
      </c>
      <c r="AB19">
        <f>HYPERLINK("https://klasma.github.io/Logging_1493/klagomålsmail/A 50053-2023 FSC-klagomål mail.docx", "A 50053-2023")</f>
        <v/>
      </c>
      <c r="AC19">
        <f>HYPERLINK("https://klasma.github.io/Logging_1493/tillsyn/A 50053-2023 tillsynsbegäran.docx", "A 50053-2023")</f>
        <v/>
      </c>
      <c r="AD19">
        <f>HYPERLINK("https://klasma.github.io/Logging_1493/tillsynsmail/A 50053-2023 tillsynsbegäran mail.docx", "A 50053-2023")</f>
        <v/>
      </c>
    </row>
    <row r="20" ht="15" customHeight="1">
      <c r="A20" t="inlineStr">
        <is>
          <t>A 21503-2024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45441</v>
      </c>
      <c r="E20" s="1" t="n">
        <v>46290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Kommuner</t>
        </is>
      </c>
      <c r="I20" t="n">
        <v>3.3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Svinrot</t>
        </is>
      </c>
      <c r="W20">
        <f>HYPERLINK("https://klasma.github.io/Logging_1493/artfynd/A 21503-2024 artfynd.xlsx", "A 21503-2024")</f>
        <v/>
      </c>
      <c r="X20">
        <f>HYPERLINK("https://klasma.github.io/Logging_1493/kartor/A 21503-2024 karta.png", "A 21503-2024")</f>
        <v/>
      </c>
      <c r="Y20">
        <f>HYPERLINK("https://klasma.github.io/Logging_1493/kartor_geotiff/A 21503-2024 georefererad karta.tif", "A 21503-2024")</f>
        <v/>
      </c>
      <c r="AA20">
        <f>HYPERLINK("https://klasma.github.io/Logging_1493/klagomål/A 21503-2024 FSC-klagomål.docx", "A 21503-2024")</f>
        <v/>
      </c>
      <c r="AB20">
        <f>HYPERLINK("https://klasma.github.io/Logging_1493/klagomålsmail/A 21503-2024 FSC-klagomål mail.docx", "A 21503-2024")</f>
        <v/>
      </c>
      <c r="AC20">
        <f>HYPERLINK("https://klasma.github.io/Logging_1493/tillsyn/A 21503-2024 tillsynsbegäran.docx", "A 21503-2024")</f>
        <v/>
      </c>
      <c r="AD20">
        <f>HYPERLINK("https://klasma.github.io/Logging_1493/tillsynsmail/A 21503-2024 tillsynsbegäran mail.docx", "A 21503-2024")</f>
        <v/>
      </c>
    </row>
    <row r="21" ht="15" customHeight="1">
      <c r="A21" t="inlineStr">
        <is>
          <t>A 14947-2023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45015</v>
      </c>
      <c r="E21" s="1" t="n">
        <v>46290</v>
      </c>
      <c r="F21" t="inlineStr">
        <is>
          <t>VÄSTRA GÖTALANDS LÄN</t>
        </is>
      </c>
      <c r="G21" t="inlineStr">
        <is>
          <t>MARIESTAD</t>
        </is>
      </c>
      <c r="I21" t="n">
        <v>1.9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5</v>
      </c>
      <c r="U21" t="n">
        <v>0</v>
      </c>
      <c r="V21" s="2" t="inlineStr">
        <is>
          <t>Knärot
Grönpyrola</t>
        </is>
      </c>
      <c r="W21">
        <f>HYPERLINK("https://klasma.github.io/Logging_1493/artfynd/A 14947-2023 artfynd.xlsx", "A 14947-2023")</f>
        <v/>
      </c>
      <c r="X21">
        <f>HYPERLINK("https://klasma.github.io/Logging_1493/kartor/A 14947-2023 karta.png", "A 14947-2023")</f>
        <v/>
      </c>
      <c r="Y21">
        <f>HYPERLINK("https://klasma.github.io/Logging_1493/kartor_geotiff/A 14947-2023 georefererad karta.tif", "A 14947-2023")</f>
        <v/>
      </c>
      <c r="Z21">
        <f>HYPERLINK("https://klasma.github.io/Logging_1493/knärot/A 14947-2023 karta knärot.png", "A 14947-2023")</f>
        <v/>
      </c>
      <c r="AA21">
        <f>HYPERLINK("https://klasma.github.io/Logging_1493/klagomål/A 14947-2023 FSC-klagomål.docx", "A 14947-2023")</f>
        <v/>
      </c>
      <c r="AB21">
        <f>HYPERLINK("https://klasma.github.io/Logging_1493/klagomålsmail/A 14947-2023 FSC-klagomål mail.docx", "A 14947-2023")</f>
        <v/>
      </c>
      <c r="AC21">
        <f>HYPERLINK("https://klasma.github.io/Logging_1493/tillsyn/A 14947-2023 tillsynsbegäran.docx", "A 14947-2023")</f>
        <v/>
      </c>
      <c r="AD21">
        <f>HYPERLINK("https://klasma.github.io/Logging_1493/tillsynsmail/A 14947-2023 tillsynsbegäran mail.docx", "A 14947-2023")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46290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46290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46290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46290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46290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46290</v>
      </c>
      <c r="F27" t="inlineStr">
        <is>
          <t>VÄSTRA GÖTALANDS LÄN</t>
        </is>
      </c>
      <c r="G27" t="inlineStr">
        <is>
          <t>MARIESTAD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Skogsödla</t>
        </is>
      </c>
      <c r="W27">
        <f>HYPERLINK("https://klasma.github.io/Logging_1493/artfynd/A 7612-2023 artfynd.xlsx", "A 7612-2023")</f>
        <v/>
      </c>
      <c r="X27">
        <f>HYPERLINK("https://klasma.github.io/Logging_1493/kartor/A 7612-2023 karta.png", "A 7612-2023")</f>
        <v/>
      </c>
      <c r="Y27">
        <f>HYPERLINK("https://klasma.github.io/Logging_1493/kartor_geotiff/A 7612-2023 georefererad karta.tif", "A 7612-2023")</f>
        <v/>
      </c>
      <c r="AA27">
        <f>HYPERLINK("https://klasma.github.io/Logging_1493/klagomål/A 7612-2023 FSC-klagomål.docx", "A 7612-2023")</f>
        <v/>
      </c>
      <c r="AB27">
        <f>HYPERLINK("https://klasma.github.io/Logging_1493/klagomålsmail/A 7612-2023 FSC-klagomål mail.docx", "A 7612-2023")</f>
        <v/>
      </c>
      <c r="AC27">
        <f>HYPERLINK("https://klasma.github.io/Logging_1493/tillsyn/A 7612-2023 tillsynsbegäran.docx", "A 7612-2023")</f>
        <v/>
      </c>
      <c r="AD27">
        <f>HYPERLINK("https://klasma.github.io/Logging_1493/tillsynsmail/A 7612-2023 tillsynsbegäran mail.docx", "A 7612-2023")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46290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42647-2023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46290</v>
      </c>
      <c r="F29" t="inlineStr">
        <is>
          <t>VÄSTRA GÖTALANDS LÄN</t>
        </is>
      </c>
      <c r="G29" t="inlineStr">
        <is>
          <t>MARIESTAD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Ärtsångare</t>
        </is>
      </c>
      <c r="W29">
        <f>HYPERLINK("https://klasma.github.io/Logging_1493/artfynd/A 42647-2023 artfynd.xlsx", "A 42647-2023")</f>
        <v/>
      </c>
      <c r="X29">
        <f>HYPERLINK("https://klasma.github.io/Logging_1493/kartor/A 42647-2023 karta.png", "A 42647-2023")</f>
        <v/>
      </c>
      <c r="Y29">
        <f>HYPERLINK("https://klasma.github.io/Logging_1493/kartor_geotiff/A 42647-2023 georefererad karta.tif", "A 42647-2023")</f>
        <v/>
      </c>
      <c r="AA29">
        <f>HYPERLINK("https://klasma.github.io/Logging_1493/klagomål/A 42647-2023 FSC-klagomål.docx", "A 42647-2023")</f>
        <v/>
      </c>
      <c r="AB29">
        <f>HYPERLINK("https://klasma.github.io/Logging_1493/klagomålsmail/A 42647-2023 FSC-klagomål mail.docx", "A 42647-2023")</f>
        <v/>
      </c>
      <c r="AC29">
        <f>HYPERLINK("https://klasma.github.io/Logging_1493/tillsyn/A 42647-2023 tillsynsbegäran.docx", "A 42647-2023")</f>
        <v/>
      </c>
      <c r="AD29">
        <f>HYPERLINK("https://klasma.github.io/Logging_1493/tillsynsmail/A 42647-2023 tillsynsbegäran mail.docx", "A 42647-2023")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46290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46290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46290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12379-2026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46290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HYPERLINK("https://klasma.github.io/Logging_1493/artfynd/A 12379-2026 artfynd.xlsx", "A 12379-2026")</f>
        <v/>
      </c>
      <c r="X33">
        <f>HYPERLINK("https://klasma.github.io/Logging_1493/kartor/A 12379-2026 karta.png", "A 12379-2026")</f>
        <v/>
      </c>
      <c r="Y33">
        <f>HYPERLINK("https://klasma.github.io/Logging_1493/kartor_geotiff/A 12379-2026 georefererad karta.tif", "A 12379-2026")</f>
        <v/>
      </c>
      <c r="AA33">
        <f>HYPERLINK("https://klasma.github.io/Logging_1493/klagomål/A 12379-2026 FSC-klagomål.docx", "A 12379-2026")</f>
        <v/>
      </c>
      <c r="AB33">
        <f>HYPERLINK("https://klasma.github.io/Logging_1493/klagomålsmail/A 12379-2026 FSC-klagomål mail.docx", "A 12379-2026")</f>
        <v/>
      </c>
      <c r="AC33">
        <f>HYPERLINK("https://klasma.github.io/Logging_1493/tillsyn/A 12379-2026 tillsynsbegäran.docx", "A 12379-2026")</f>
        <v/>
      </c>
      <c r="AD33">
        <f>HYPERLINK("https://klasma.github.io/Logging_1493/tillsynsmail/A 12379-2026 tillsynsbegäran mail.docx", "A 12379-2026")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46290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46290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46290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46290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46290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46290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46290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46290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46290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46290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46290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46290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46290</v>
      </c>
      <c r="F47" t="inlineStr">
        <is>
          <t>VÄSTRA GÖTALANDS LÄN</t>
        </is>
      </c>
      <c r="G47" t="inlineStr">
        <is>
          <t>MARIESTAD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46290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46290</v>
      </c>
      <c r="F49" t="inlineStr">
        <is>
          <t>VÄSTRA GÖTALANDS LÄN</t>
        </is>
      </c>
      <c r="G49" t="inlineStr">
        <is>
          <t>MARIESTAD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46290</v>
      </c>
      <c r="F50" t="inlineStr">
        <is>
          <t>VÄSTRA GÖTALANDS LÄN</t>
        </is>
      </c>
      <c r="G50" t="inlineStr">
        <is>
          <t>MARIESTAD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46290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46290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46290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46290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46290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46290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46290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46290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46290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46290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46290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46290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46290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46290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46290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45674</v>
      </c>
      <c r="E66" s="1" t="n">
        <v>46290</v>
      </c>
      <c r="F66" t="inlineStr">
        <is>
          <t>VÄSTRA GÖTALANDS LÄN</t>
        </is>
      </c>
      <c r="G66" t="inlineStr">
        <is>
          <t>MARIESTAD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44630</v>
      </c>
      <c r="E67" s="1" t="n">
        <v>46290</v>
      </c>
      <c r="F67" t="inlineStr">
        <is>
          <t>VÄSTRA GÖTALANDS LÄN</t>
        </is>
      </c>
      <c r="G67" t="inlineStr">
        <is>
          <t>MARIESTAD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46290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Kyrkan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44843</v>
      </c>
      <c r="E69" s="1" t="n">
        <v>46290</v>
      </c>
      <c r="F69" t="inlineStr">
        <is>
          <t>VÄSTRA GÖTALANDS LÄN</t>
        </is>
      </c>
      <c r="G69" t="inlineStr">
        <is>
          <t>MARIESTAD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2908-2025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46290</v>
      </c>
      <c r="F70" t="inlineStr">
        <is>
          <t>VÄSTRA GÖTALANDS LÄN</t>
        </is>
      </c>
      <c r="G70" t="inlineStr">
        <is>
          <t>MARIESTAD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44830</v>
      </c>
      <c r="E71" s="1" t="n">
        <v>46290</v>
      </c>
      <c r="F71" t="inlineStr">
        <is>
          <t>VÄSTRA GÖTALANDS LÄN</t>
        </is>
      </c>
      <c r="G71" t="inlineStr">
        <is>
          <t>MARIESTAD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46290</v>
      </c>
      <c r="F72" t="inlineStr">
        <is>
          <t>VÄSTRA GÖTALANDS LÄN</t>
        </is>
      </c>
      <c r="G72" t="inlineStr">
        <is>
          <t>MARIESTAD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46290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46290</v>
      </c>
      <c r="F74" t="inlineStr">
        <is>
          <t>VÄSTRA GÖTALANDS LÄN</t>
        </is>
      </c>
      <c r="G74" t="inlineStr">
        <is>
          <t>MARIESTAD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46290</v>
      </c>
      <c r="F75" t="inlineStr">
        <is>
          <t>VÄSTRA GÖTALANDS LÄN</t>
        </is>
      </c>
      <c r="G75" t="inlineStr">
        <is>
          <t>MARIESTAD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46290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Kommuner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46290</v>
      </c>
      <c r="F77" t="inlineStr">
        <is>
          <t>VÄSTRA GÖTALANDS LÄN</t>
        </is>
      </c>
      <c r="G77" t="inlineStr">
        <is>
          <t>MARIESTAD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46290</v>
      </c>
      <c r="F78" t="inlineStr">
        <is>
          <t>VÄSTRA GÖTALANDS LÄN</t>
        </is>
      </c>
      <c r="G78" t="inlineStr">
        <is>
          <t>MARIESTAD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46290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46290</v>
      </c>
      <c r="F80" t="inlineStr">
        <is>
          <t>VÄSTRA GÖTALANDS LÄN</t>
        </is>
      </c>
      <c r="G80" t="inlineStr">
        <is>
          <t>MARIESTAD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46290</v>
      </c>
      <c r="F81" t="inlineStr">
        <is>
          <t>VÄSTRA GÖTALANDS LÄN</t>
        </is>
      </c>
      <c r="G81" t="inlineStr">
        <is>
          <t>MARIESTAD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66771-2021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44521</v>
      </c>
      <c r="E82" s="1" t="n">
        <v>46290</v>
      </c>
      <c r="F82" t="inlineStr">
        <is>
          <t>VÄSTRA GÖTALANDS LÄN</t>
        </is>
      </c>
      <c r="G82" t="inlineStr">
        <is>
          <t>MARIESTAD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45600</v>
      </c>
      <c r="E83" s="1" t="n">
        <v>46290</v>
      </c>
      <c r="F83" t="inlineStr">
        <is>
          <t>VÄSTRA GÖTALANDS LÄN</t>
        </is>
      </c>
      <c r="G83" t="inlineStr">
        <is>
          <t>MARIESTAD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46290</v>
      </c>
      <c r="F84" t="inlineStr">
        <is>
          <t>VÄSTRA GÖTALANDS LÄN</t>
        </is>
      </c>
      <c r="G84" t="inlineStr">
        <is>
          <t>MARIESTAD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46290</v>
      </c>
      <c r="F85" t="inlineStr">
        <is>
          <t>VÄSTRA GÖTALANDS LÄN</t>
        </is>
      </c>
      <c r="G85" t="inlineStr">
        <is>
          <t>MARIESTAD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44942</v>
      </c>
      <c r="E86" s="1" t="n">
        <v>46290</v>
      </c>
      <c r="F86" t="inlineStr">
        <is>
          <t>VÄSTRA GÖTALANDS LÄN</t>
        </is>
      </c>
      <c r="G86" t="inlineStr">
        <is>
          <t>MARIESTAD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44746</v>
      </c>
      <c r="E87" s="1" t="n">
        <v>46290</v>
      </c>
      <c r="F87" t="inlineStr">
        <is>
          <t>VÄSTRA GÖTALANDS LÄN</t>
        </is>
      </c>
      <c r="G87" t="inlineStr">
        <is>
          <t>MARIESTAD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19553-2022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46290</v>
      </c>
      <c r="F88" t="inlineStr">
        <is>
          <t>VÄSTRA GÖTALANDS LÄN</t>
        </is>
      </c>
      <c r="G88" t="inlineStr">
        <is>
          <t>MARIESTAD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70295-2021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46290</v>
      </c>
      <c r="F89" t="inlineStr">
        <is>
          <t>VÄSTRA GÖTALANDS LÄN</t>
        </is>
      </c>
      <c r="G89" t="inlineStr">
        <is>
          <t>MARIESTAD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45240</v>
      </c>
      <c r="E90" s="1" t="n">
        <v>46290</v>
      </c>
      <c r="F90" t="inlineStr">
        <is>
          <t>VÄSTRA GÖTALANDS LÄN</t>
        </is>
      </c>
      <c r="G90" t="inlineStr">
        <is>
          <t>MARIESTAD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44971</v>
      </c>
      <c r="E91" s="1" t="n">
        <v>46290</v>
      </c>
      <c r="F91" t="inlineStr">
        <is>
          <t>VÄSTRA GÖTALANDS LÄN</t>
        </is>
      </c>
      <c r="G91" t="inlineStr">
        <is>
          <t>MARIESTAD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46290</v>
      </c>
      <c r="F92" t="inlineStr">
        <is>
          <t>VÄSTRA GÖTALANDS LÄN</t>
        </is>
      </c>
      <c r="G92" t="inlineStr">
        <is>
          <t>MARIESTAD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46290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45268</v>
      </c>
      <c r="E94" s="1" t="n">
        <v>46290</v>
      </c>
      <c r="F94" t="inlineStr">
        <is>
          <t>VÄSTRA GÖTALANDS LÄN</t>
        </is>
      </c>
      <c r="G94" t="inlineStr">
        <is>
          <t>MARIESTAD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46290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46290</v>
      </c>
      <c r="F96" t="inlineStr">
        <is>
          <t>VÄSTRA GÖTALANDS LÄN</t>
        </is>
      </c>
      <c r="G96" t="inlineStr">
        <is>
          <t>MARIESTAD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46290</v>
      </c>
      <c r="F97" t="inlineStr">
        <is>
          <t>VÄSTRA GÖTALANDS LÄN</t>
        </is>
      </c>
      <c r="G97" t="inlineStr">
        <is>
          <t>MARIESTAD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61601-2023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45265</v>
      </c>
      <c r="E98" s="1" t="n">
        <v>46290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46290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70259-2021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46290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46290</v>
      </c>
      <c r="F101" t="inlineStr">
        <is>
          <t>VÄSTRA GÖTALANDS LÄN</t>
        </is>
      </c>
      <c r="G101" t="inlineStr">
        <is>
          <t>MARIESTAD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46290</v>
      </c>
      <c r="F102" t="inlineStr">
        <is>
          <t>VÄSTRA GÖTALANDS LÄN</t>
        </is>
      </c>
      <c r="G102" t="inlineStr">
        <is>
          <t>MARIESTAD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46290</v>
      </c>
      <c r="F103" t="inlineStr">
        <is>
          <t>VÄSTRA GÖTALANDS LÄN</t>
        </is>
      </c>
      <c r="G103" t="inlineStr">
        <is>
          <t>MARIESTAD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44901</v>
      </c>
      <c r="E104" s="1" t="n">
        <v>46290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Kyrkan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44883</v>
      </c>
      <c r="E105" s="1" t="n">
        <v>46290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46290</v>
      </c>
      <c r="F106" t="inlineStr">
        <is>
          <t>VÄSTRA GÖTALANDS LÄN</t>
        </is>
      </c>
      <c r="G106" t="inlineStr">
        <is>
          <t>MARIESTAD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45199</v>
      </c>
      <c r="E107" s="1" t="n">
        <v>46290</v>
      </c>
      <c r="F107" t="inlineStr">
        <is>
          <t>VÄSTRA GÖTALANDS LÄN</t>
        </is>
      </c>
      <c r="G107" t="inlineStr">
        <is>
          <t>MARIESTAD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46290</v>
      </c>
      <c r="F108" t="inlineStr">
        <is>
          <t>VÄSTRA GÖTALANDS LÄN</t>
        </is>
      </c>
      <c r="G108" t="inlineStr">
        <is>
          <t>MARIESTAD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46290</v>
      </c>
      <c r="F109" t="inlineStr">
        <is>
          <t>VÄSTRA GÖTALANDS LÄN</t>
        </is>
      </c>
      <c r="G109" t="inlineStr">
        <is>
          <t>MARIESTAD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46290</v>
      </c>
      <c r="F110" t="inlineStr">
        <is>
          <t>VÄSTRA GÖTALANDS LÄN</t>
        </is>
      </c>
      <c r="G110" t="inlineStr">
        <is>
          <t>MARIESTAD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46290</v>
      </c>
      <c r="F111" t="inlineStr">
        <is>
          <t>VÄSTRA GÖTALANDS LÄN</t>
        </is>
      </c>
      <c r="G111" t="inlineStr">
        <is>
          <t>MARIESTAD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46290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31384-2022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44774</v>
      </c>
      <c r="E113" s="1" t="n">
        <v>46290</v>
      </c>
      <c r="F113" t="inlineStr">
        <is>
          <t>VÄSTRA GÖTALANDS LÄN</t>
        </is>
      </c>
      <c r="G113" t="inlineStr">
        <is>
          <t>MARIESTAD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46290</v>
      </c>
      <c r="F114" t="inlineStr">
        <is>
          <t>VÄSTRA GÖTALANDS LÄN</t>
        </is>
      </c>
      <c r="G114" t="inlineStr">
        <is>
          <t>MARIESTAD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46290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46290</v>
      </c>
      <c r="F116" t="inlineStr">
        <is>
          <t>VÄSTRA GÖTALANDS LÄN</t>
        </is>
      </c>
      <c r="G116" t="inlineStr">
        <is>
          <t>MARIESTAD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46290</v>
      </c>
      <c r="F117" t="inlineStr">
        <is>
          <t>VÄSTRA GÖTALANDS LÄN</t>
        </is>
      </c>
      <c r="G117" t="inlineStr">
        <is>
          <t>MARIESTAD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46290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46290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44836</v>
      </c>
      <c r="E120" s="1" t="n">
        <v>46290</v>
      </c>
      <c r="F120" t="inlineStr">
        <is>
          <t>VÄSTRA GÖTALANDS LÄN</t>
        </is>
      </c>
      <c r="G120" t="inlineStr">
        <is>
          <t>MARIESTAD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46290</v>
      </c>
      <c r="F121" t="inlineStr">
        <is>
          <t>VÄSTRA GÖTALANDS LÄN</t>
        </is>
      </c>
      <c r="G121" t="inlineStr">
        <is>
          <t>MARIESTAD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40455-2023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45170</v>
      </c>
      <c r="E122" s="1" t="n">
        <v>46290</v>
      </c>
      <c r="F122" t="inlineStr">
        <is>
          <t>VÄSTRA GÖTALANDS LÄN</t>
        </is>
      </c>
      <c r="G122" t="inlineStr">
        <is>
          <t>MARIESTAD</t>
        </is>
      </c>
      <c r="I122" t="n">
        <v>34.9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45722</v>
      </c>
      <c r="E123" s="1" t="n">
        <v>46290</v>
      </c>
      <c r="F123" t="inlineStr">
        <is>
          <t>VÄSTRA GÖTALANDS LÄN</t>
        </is>
      </c>
      <c r="G123" t="inlineStr">
        <is>
          <t>MARIESTAD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46290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46290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44843</v>
      </c>
      <c r="E126" s="1" t="n">
        <v>46290</v>
      </c>
      <c r="F126" t="inlineStr">
        <is>
          <t>VÄSTRA GÖTALANDS LÄN</t>
        </is>
      </c>
      <c r="G126" t="inlineStr">
        <is>
          <t>MARIESTAD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46290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46290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46290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46290</v>
      </c>
      <c r="F130" t="inlineStr">
        <is>
          <t>VÄSTRA GÖTALANDS LÄN</t>
        </is>
      </c>
      <c r="G130" t="inlineStr">
        <is>
          <t>MARIESTAD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46290</v>
      </c>
      <c r="F131" t="inlineStr">
        <is>
          <t>VÄSTRA GÖTALANDS LÄN</t>
        </is>
      </c>
      <c r="G131" t="inlineStr">
        <is>
          <t>MARIESTAD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46290</v>
      </c>
      <c r="F132" t="inlineStr">
        <is>
          <t>VÄSTRA GÖTALANDS LÄN</t>
        </is>
      </c>
      <c r="G132" t="inlineStr">
        <is>
          <t>MARIESTAD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44638</v>
      </c>
      <c r="E133" s="1" t="n">
        <v>46290</v>
      </c>
      <c r="F133" t="inlineStr">
        <is>
          <t>VÄSTRA GÖTALANDS LÄN</t>
        </is>
      </c>
      <c r="G133" t="inlineStr">
        <is>
          <t>MARIESTAD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46290</v>
      </c>
      <c r="F134" t="inlineStr">
        <is>
          <t>VÄSTRA GÖTALANDS LÄN</t>
        </is>
      </c>
      <c r="G134" t="inlineStr">
        <is>
          <t>MARIESTAD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44936</v>
      </c>
      <c r="E135" s="1" t="n">
        <v>46290</v>
      </c>
      <c r="F135" t="inlineStr">
        <is>
          <t>VÄSTRA GÖTALANDS LÄN</t>
        </is>
      </c>
      <c r="G135" t="inlineStr">
        <is>
          <t>MARIESTAD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46290</v>
      </c>
      <c r="F136" t="inlineStr">
        <is>
          <t>VÄSTRA GÖTALANDS LÄN</t>
        </is>
      </c>
      <c r="G136" t="inlineStr">
        <is>
          <t>MARIESTAD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46290</v>
      </c>
      <c r="F137" t="inlineStr">
        <is>
          <t>VÄSTRA GÖTALANDS LÄN</t>
        </is>
      </c>
      <c r="G137" t="inlineStr">
        <is>
          <t>MARIESTAD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46290</v>
      </c>
      <c r="F138" t="inlineStr">
        <is>
          <t>VÄSTRA GÖTALANDS LÄN</t>
        </is>
      </c>
      <c r="G138" t="inlineStr">
        <is>
          <t>MARIESTAD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46290</v>
      </c>
      <c r="F139" t="inlineStr">
        <is>
          <t>VÄSTRA GÖTALANDS LÄN</t>
        </is>
      </c>
      <c r="G139" t="inlineStr">
        <is>
          <t>MARIESTAD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39766-2023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45167</v>
      </c>
      <c r="E140" s="1" t="n">
        <v>46290</v>
      </c>
      <c r="F140" t="inlineStr">
        <is>
          <t>VÄSTRA GÖTALANDS LÄN</t>
        </is>
      </c>
      <c r="G140" t="inlineStr">
        <is>
          <t>MARIESTAD</t>
        </is>
      </c>
      <c r="I140" t="n">
        <v>26.5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44620</v>
      </c>
      <c r="E141" s="1" t="n">
        <v>46290</v>
      </c>
      <c r="F141" t="inlineStr">
        <is>
          <t>VÄSTRA GÖTALANDS LÄN</t>
        </is>
      </c>
      <c r="G141" t="inlineStr">
        <is>
          <t>MARIESTAD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49389-2023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45211</v>
      </c>
      <c r="E142" s="1" t="n">
        <v>46290</v>
      </c>
      <c r="F142" t="inlineStr">
        <is>
          <t>VÄSTRA GÖTALANDS LÄN</t>
        </is>
      </c>
      <c r="G142" t="inlineStr">
        <is>
          <t>MARIESTAD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46290</v>
      </c>
      <c r="F143" t="inlineStr">
        <is>
          <t>VÄSTRA GÖTALANDS LÄN</t>
        </is>
      </c>
      <c r="G143" t="inlineStr">
        <is>
          <t>MARIESTAD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46290</v>
      </c>
      <c r="F144" t="inlineStr">
        <is>
          <t>VÄSTRA GÖTALANDS LÄN</t>
        </is>
      </c>
      <c r="G144" t="inlineStr">
        <is>
          <t>MARIESTAD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46290</v>
      </c>
      <c r="F145" t="inlineStr">
        <is>
          <t>VÄSTRA GÖTALANDS LÄN</t>
        </is>
      </c>
      <c r="G145" t="inlineStr">
        <is>
          <t>MARIESTAD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46290</v>
      </c>
      <c r="F146" t="inlineStr">
        <is>
          <t>VÄSTRA GÖTALANDS LÄN</t>
        </is>
      </c>
      <c r="G146" t="inlineStr">
        <is>
          <t>MARIESTAD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45070</v>
      </c>
      <c r="E147" s="1" t="n">
        <v>46290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33571-2023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45131</v>
      </c>
      <c r="E148" s="1" t="n">
        <v>46290</v>
      </c>
      <c r="F148" t="inlineStr">
        <is>
          <t>VÄSTRA GÖTALANDS LÄN</t>
        </is>
      </c>
      <c r="G148" t="inlineStr">
        <is>
          <t>MARIESTAD</t>
        </is>
      </c>
      <c r="I148" t="n">
        <v>16.1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46290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46290</v>
      </c>
      <c r="F150" t="inlineStr">
        <is>
          <t>VÄSTRA GÖTALANDS LÄN</t>
        </is>
      </c>
      <c r="G150" t="inlineStr">
        <is>
          <t>MARIESTAD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46290</v>
      </c>
      <c r="F151" t="inlineStr">
        <is>
          <t>VÄSTRA GÖTALANDS LÄN</t>
        </is>
      </c>
      <c r="G151" t="inlineStr">
        <is>
          <t>MARIESTAD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46290</v>
      </c>
      <c r="F152" t="inlineStr">
        <is>
          <t>VÄSTRA GÖTALANDS LÄN</t>
        </is>
      </c>
      <c r="G152" t="inlineStr">
        <is>
          <t>MARIESTAD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46290</v>
      </c>
      <c r="F153" t="inlineStr">
        <is>
          <t>VÄSTRA GÖTALANDS LÄN</t>
        </is>
      </c>
      <c r="G153" t="inlineStr">
        <is>
          <t>MARIESTAD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46290</v>
      </c>
      <c r="F154" t="inlineStr">
        <is>
          <t>VÄSTRA GÖTALANDS LÄN</t>
        </is>
      </c>
      <c r="G154" t="inlineStr">
        <is>
          <t>MARIESTAD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46290</v>
      </c>
      <c r="F155" t="inlineStr">
        <is>
          <t>VÄSTRA GÖTALANDS LÄN</t>
        </is>
      </c>
      <c r="G155" t="inlineStr">
        <is>
          <t>MARIESTAD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45210</v>
      </c>
      <c r="E156" s="1" t="n">
        <v>46290</v>
      </c>
      <c r="F156" t="inlineStr">
        <is>
          <t>VÄSTRA GÖTALANDS LÄN</t>
        </is>
      </c>
      <c r="G156" t="inlineStr">
        <is>
          <t>MARIESTAD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46290</v>
      </c>
      <c r="F157" t="inlineStr">
        <is>
          <t>VÄSTRA GÖTALANDS LÄN</t>
        </is>
      </c>
      <c r="G157" t="inlineStr">
        <is>
          <t>MARIESTAD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46290</v>
      </c>
      <c r="F158" t="inlineStr">
        <is>
          <t>VÄSTRA GÖTALANDS LÄN</t>
        </is>
      </c>
      <c r="G158" t="inlineStr">
        <is>
          <t>MARIESTAD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46290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46290</v>
      </c>
      <c r="F160" t="inlineStr">
        <is>
          <t>VÄSTRA GÖTALANDS LÄN</t>
        </is>
      </c>
      <c r="G160" t="inlineStr">
        <is>
          <t>MARIESTAD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46290</v>
      </c>
      <c r="F161" t="inlineStr">
        <is>
          <t>VÄSTRA GÖTALANDS LÄN</t>
        </is>
      </c>
      <c r="G161" t="inlineStr">
        <is>
          <t>MARIESTAD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46290</v>
      </c>
      <c r="F162" t="inlineStr">
        <is>
          <t>VÄSTRA GÖTALANDS LÄN</t>
        </is>
      </c>
      <c r="G162" t="inlineStr">
        <is>
          <t>MARIESTAD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46290</v>
      </c>
      <c r="F163" t="inlineStr">
        <is>
          <t>VÄSTRA GÖTALANDS LÄN</t>
        </is>
      </c>
      <c r="G163" t="inlineStr">
        <is>
          <t>MARIESTAD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46290</v>
      </c>
      <c r="F164" t="inlineStr">
        <is>
          <t>VÄSTRA GÖTALANDS LÄN</t>
        </is>
      </c>
      <c r="G164" t="inlineStr">
        <is>
          <t>MARIESTAD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46290</v>
      </c>
      <c r="F165" t="inlineStr">
        <is>
          <t>VÄSTRA GÖTALANDS LÄN</t>
        </is>
      </c>
      <c r="G165" t="inlineStr">
        <is>
          <t>MARIESTAD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46290</v>
      </c>
      <c r="F166" t="inlineStr">
        <is>
          <t>VÄSTRA GÖTALANDS LÄN</t>
        </is>
      </c>
      <c r="G166" t="inlineStr">
        <is>
          <t>MARIESTAD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46290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46290</v>
      </c>
      <c r="F168" t="inlineStr">
        <is>
          <t>VÄSTRA GÖTALANDS LÄN</t>
        </is>
      </c>
      <c r="G168" t="inlineStr">
        <is>
          <t>MARIESTAD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46290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46290</v>
      </c>
      <c r="F170" t="inlineStr">
        <is>
          <t>VÄSTRA GÖTALANDS LÄN</t>
        </is>
      </c>
      <c r="G170" t="inlineStr">
        <is>
          <t>MARIESTAD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46290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Övriga Aktiebolag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13655-2023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45006</v>
      </c>
      <c r="E172" s="1" t="n">
        <v>46290</v>
      </c>
      <c r="F172" t="inlineStr">
        <is>
          <t>VÄSTRA GÖTALANDS LÄN</t>
        </is>
      </c>
      <c r="G172" t="inlineStr">
        <is>
          <t>MARIESTAD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46290</v>
      </c>
      <c r="F173" t="inlineStr">
        <is>
          <t>VÄSTRA GÖTALANDS LÄN</t>
        </is>
      </c>
      <c r="G173" t="inlineStr">
        <is>
          <t>MARIESTAD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46290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46290</v>
      </c>
      <c r="F175" t="inlineStr">
        <is>
          <t>VÄSTRA GÖTALANDS LÄN</t>
        </is>
      </c>
      <c r="G175" t="inlineStr">
        <is>
          <t>MARIESTAD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44965</v>
      </c>
      <c r="E176" s="1" t="n">
        <v>46290</v>
      </c>
      <c r="F176" t="inlineStr">
        <is>
          <t>VÄSTRA GÖTALANDS LÄN</t>
        </is>
      </c>
      <c r="G176" t="inlineStr">
        <is>
          <t>MARIESTAD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26688-2022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44739</v>
      </c>
      <c r="E177" s="1" t="n">
        <v>46290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46290</v>
      </c>
      <c r="F178" t="inlineStr">
        <is>
          <t>VÄSTRA GÖTALANDS LÄN</t>
        </is>
      </c>
      <c r="G178" t="inlineStr">
        <is>
          <t>MARIESTAD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46290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44756</v>
      </c>
      <c r="E180" s="1" t="n">
        <v>46290</v>
      </c>
      <c r="F180" t="inlineStr">
        <is>
          <t>VÄSTRA GÖTALANDS LÄN</t>
        </is>
      </c>
      <c r="G180" t="inlineStr">
        <is>
          <t>MARIESTAD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44936</v>
      </c>
      <c r="E181" s="1" t="n">
        <v>46290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46290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46290</v>
      </c>
      <c r="F183" t="inlineStr">
        <is>
          <t>VÄSTRA GÖTALANDS LÄN</t>
        </is>
      </c>
      <c r="G183" t="inlineStr">
        <is>
          <t>MARIESTAD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36399-2024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45535</v>
      </c>
      <c r="E184" s="1" t="n">
        <v>46290</v>
      </c>
      <c r="F184" t="inlineStr">
        <is>
          <t>VÄSTRA GÖTALANDS LÄN</t>
        </is>
      </c>
      <c r="G184" t="inlineStr">
        <is>
          <t>MARIESTAD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57692-2023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46290</v>
      </c>
      <c r="F185" t="inlineStr">
        <is>
          <t>VÄSTRA GÖTALANDS LÄN</t>
        </is>
      </c>
      <c r="G185" t="inlineStr">
        <is>
          <t>MARIESTAD</t>
        </is>
      </c>
      <c r="I185" t="n">
        <v>9.699999999999999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45412</v>
      </c>
      <c r="E186" s="1" t="n">
        <v>46290</v>
      </c>
      <c r="F186" t="inlineStr">
        <is>
          <t>VÄSTRA GÖTALANDS LÄN</t>
        </is>
      </c>
      <c r="G186" t="inlineStr">
        <is>
          <t>MARIESTAD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45412</v>
      </c>
      <c r="E187" s="1" t="n">
        <v>46290</v>
      </c>
      <c r="F187" t="inlineStr">
        <is>
          <t>VÄSTRA GÖTALANDS LÄN</t>
        </is>
      </c>
      <c r="G187" t="inlineStr">
        <is>
          <t>MARIESTAD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22879-2026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46290</v>
      </c>
      <c r="F188" t="inlineStr">
        <is>
          <t>VÄSTRA GÖTALANDS LÄN</t>
        </is>
      </c>
      <c r="G188" t="inlineStr">
        <is>
          <t>MARIESTAD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22878-2026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46290</v>
      </c>
      <c r="F189" t="inlineStr">
        <is>
          <t>VÄSTRA GÖTALANDS LÄN</t>
        </is>
      </c>
      <c r="G189" t="inlineStr">
        <is>
          <t>MARIESTAD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46290</v>
      </c>
      <c r="F190" t="inlineStr">
        <is>
          <t>VÄSTRA GÖTALANDS LÄN</t>
        </is>
      </c>
      <c r="G190" t="inlineStr">
        <is>
          <t>MARIESTAD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46290</v>
      </c>
      <c r="F191" t="inlineStr">
        <is>
          <t>VÄSTRA GÖTALANDS LÄN</t>
        </is>
      </c>
      <c r="G191" t="inlineStr">
        <is>
          <t>MARIESTAD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46290</v>
      </c>
      <c r="F192" t="inlineStr">
        <is>
          <t>VÄSTRA GÖTALANDS LÄN</t>
        </is>
      </c>
      <c r="G192" t="inlineStr">
        <is>
          <t>MARIESTAD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46290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46290</v>
      </c>
      <c r="F194" t="inlineStr">
        <is>
          <t>VÄSTRA GÖTALANDS LÄN</t>
        </is>
      </c>
      <c r="G194" t="inlineStr">
        <is>
          <t>MARIESTAD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21361-2026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46142</v>
      </c>
      <c r="E195" s="1" t="n">
        <v>46290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44572</v>
      </c>
      <c r="E196" s="1" t="n">
        <v>46290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Naturvårdsverket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46290</v>
      </c>
      <c r="F197" t="inlineStr">
        <is>
          <t>VÄSTRA GÖTALANDS LÄN</t>
        </is>
      </c>
      <c r="G197" t="inlineStr">
        <is>
          <t>MARIESTAD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46290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46290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46290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46290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46290</v>
      </c>
      <c r="F202" t="inlineStr">
        <is>
          <t>VÄSTRA GÖTALANDS LÄN</t>
        </is>
      </c>
      <c r="G202" t="inlineStr">
        <is>
          <t>MARIESTAD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45217</v>
      </c>
      <c r="E203" s="1" t="n">
        <v>46290</v>
      </c>
      <c r="F203" t="inlineStr">
        <is>
          <t>VÄSTRA GÖTALANDS LÄN</t>
        </is>
      </c>
      <c r="G203" t="inlineStr">
        <is>
          <t>MARIESTAD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46290</v>
      </c>
      <c r="F204" t="inlineStr">
        <is>
          <t>VÄSTRA GÖTALANDS LÄN</t>
        </is>
      </c>
      <c r="G204" t="inlineStr">
        <is>
          <t>MARIESTAD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46290</v>
      </c>
      <c r="F205" t="inlineStr">
        <is>
          <t>VÄSTRA GÖTALANDS LÄN</t>
        </is>
      </c>
      <c r="G205" t="inlineStr">
        <is>
          <t>MARIESTAD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46290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46290</v>
      </c>
      <c r="F207" t="inlineStr">
        <is>
          <t>VÄSTRA GÖTALANDS LÄN</t>
        </is>
      </c>
      <c r="G207" t="inlineStr">
        <is>
          <t>MARIESTAD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46290</v>
      </c>
      <c r="F208" t="inlineStr">
        <is>
          <t>VÄSTRA GÖTALANDS LÄN</t>
        </is>
      </c>
      <c r="G208" t="inlineStr">
        <is>
          <t>MARIESTAD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46290</v>
      </c>
      <c r="F209" t="inlineStr">
        <is>
          <t>VÄSTRA GÖTALANDS LÄN</t>
        </is>
      </c>
      <c r="G209" t="inlineStr">
        <is>
          <t>MARIESTAD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44876</v>
      </c>
      <c r="E210" s="1" t="n">
        <v>46290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58077-2022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46290</v>
      </c>
      <c r="F211" t="inlineStr">
        <is>
          <t>VÄSTRA GÖTALANDS LÄN</t>
        </is>
      </c>
      <c r="G211" t="inlineStr">
        <is>
          <t>MARIESTAD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46290</v>
      </c>
      <c r="F212" t="inlineStr">
        <is>
          <t>VÄSTRA GÖTALANDS LÄN</t>
        </is>
      </c>
      <c r="G212" t="inlineStr">
        <is>
          <t>MARIESTAD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38108-2022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46290</v>
      </c>
      <c r="F213" t="inlineStr">
        <is>
          <t>VÄSTRA GÖTALANDS LÄN</t>
        </is>
      </c>
      <c r="G213" t="inlineStr">
        <is>
          <t>MARIESTAD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46290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Kyrkan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44957</v>
      </c>
      <c r="E215" s="1" t="n">
        <v>46290</v>
      </c>
      <c r="F215" t="inlineStr">
        <is>
          <t>VÄSTRA GÖTALANDS LÄN</t>
        </is>
      </c>
      <c r="G215" t="inlineStr">
        <is>
          <t>MARIESTAD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46290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11137-2024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45371</v>
      </c>
      <c r="E217" s="1" t="n">
        <v>46290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46290</v>
      </c>
      <c r="F218" t="inlineStr">
        <is>
          <t>VÄSTRA GÖTALANDS LÄN</t>
        </is>
      </c>
      <c r="G218" t="inlineStr">
        <is>
          <t>MARIESTAD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46061</v>
      </c>
      <c r="E219" s="1" t="n">
        <v>46290</v>
      </c>
      <c r="F219" t="inlineStr">
        <is>
          <t>VÄSTRA GÖTALANDS LÄN</t>
        </is>
      </c>
      <c r="G219" t="inlineStr">
        <is>
          <t>MARIESTAD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10192-2022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46290</v>
      </c>
      <c r="F220" t="inlineStr">
        <is>
          <t>VÄSTRA GÖTALANDS LÄN</t>
        </is>
      </c>
      <c r="G220" t="inlineStr">
        <is>
          <t>MARIESTAD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46290</v>
      </c>
      <c r="F221" t="inlineStr">
        <is>
          <t>VÄSTRA GÖTALANDS LÄN</t>
        </is>
      </c>
      <c r="G221" t="inlineStr">
        <is>
          <t>MARIESTAD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45516</v>
      </c>
      <c r="E222" s="1" t="n">
        <v>46290</v>
      </c>
      <c r="F222" t="inlineStr">
        <is>
          <t>VÄSTRA GÖTALANDS LÄN</t>
        </is>
      </c>
      <c r="G222" t="inlineStr">
        <is>
          <t>MARIESTAD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46290</v>
      </c>
      <c r="F223" t="inlineStr">
        <is>
          <t>VÄSTRA GÖTALANDS LÄN</t>
        </is>
      </c>
      <c r="G223" t="inlineStr">
        <is>
          <t>MARIESTAD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45268</v>
      </c>
      <c r="E224" s="1" t="n">
        <v>46290</v>
      </c>
      <c r="F224" t="inlineStr">
        <is>
          <t>VÄSTRA GÖTALANDS LÄN</t>
        </is>
      </c>
      <c r="G224" t="inlineStr">
        <is>
          <t>MARIESTAD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46290</v>
      </c>
      <c r="F225" t="inlineStr">
        <is>
          <t>VÄSTRA GÖTALANDS LÄN</t>
        </is>
      </c>
      <c r="G225" t="inlineStr">
        <is>
          <t>MARIESTAD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9558-2026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46071</v>
      </c>
      <c r="E226" s="1" t="n">
        <v>46290</v>
      </c>
      <c r="F226" t="inlineStr">
        <is>
          <t>VÄSTRA GÖTALANDS LÄN</t>
        </is>
      </c>
      <c r="G226" t="inlineStr">
        <is>
          <t>MARIESTAD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46290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46290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46290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46290</v>
      </c>
      <c r="F230" t="inlineStr">
        <is>
          <t>VÄSTRA GÖTALANDS LÄN</t>
        </is>
      </c>
      <c r="G230" t="inlineStr">
        <is>
          <t>MARIESTAD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46290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46077</v>
      </c>
      <c r="E232" s="1" t="n">
        <v>46290</v>
      </c>
      <c r="F232" t="inlineStr">
        <is>
          <t>VÄSTRA GÖTALANDS LÄN</t>
        </is>
      </c>
      <c r="G232" t="inlineStr">
        <is>
          <t>MARIESTAD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46290</v>
      </c>
      <c r="F233" t="inlineStr">
        <is>
          <t>VÄSTRA GÖTALANDS LÄN</t>
        </is>
      </c>
      <c r="G233" t="inlineStr">
        <is>
          <t>MARIESTAD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45350</v>
      </c>
      <c r="E234" s="1" t="n">
        <v>46290</v>
      </c>
      <c r="F234" t="inlineStr">
        <is>
          <t>VÄSTRA GÖTALANDS LÄN</t>
        </is>
      </c>
      <c r="G234" t="inlineStr">
        <is>
          <t>MARIESTAD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46290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46290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46290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46290</v>
      </c>
      <c r="F238" t="inlineStr">
        <is>
          <t>VÄSTRA GÖTALANDS LÄN</t>
        </is>
      </c>
      <c r="G238" t="inlineStr">
        <is>
          <t>MARIESTAD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46290</v>
      </c>
      <c r="F239" t="inlineStr">
        <is>
          <t>VÄSTRA GÖTALANDS LÄN</t>
        </is>
      </c>
      <c r="G239" t="inlineStr">
        <is>
          <t>MARIESTAD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26912-2026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46185</v>
      </c>
      <c r="E240" s="1" t="n">
        <v>46290</v>
      </c>
      <c r="F240" t="inlineStr">
        <is>
          <t>VÄSTRA GÖTALANDS LÄN</t>
        </is>
      </c>
      <c r="G240" t="inlineStr">
        <is>
          <t>MARIESTAD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46290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44993</v>
      </c>
      <c r="E242" s="1" t="n">
        <v>46290</v>
      </c>
      <c r="F242" t="inlineStr">
        <is>
          <t>VÄSTRA GÖTALANDS LÄN</t>
        </is>
      </c>
      <c r="G242" t="inlineStr">
        <is>
          <t>MARIESTAD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46290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56344-2022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44890</v>
      </c>
      <c r="E244" s="1" t="n">
        <v>46290</v>
      </c>
      <c r="F244" t="inlineStr">
        <is>
          <t>VÄSTRA GÖTALANDS LÄN</t>
        </is>
      </c>
      <c r="G244" t="inlineStr">
        <is>
          <t>MARIESTAD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46290</v>
      </c>
      <c r="F245" t="inlineStr">
        <is>
          <t>VÄSTRA GÖTALANDS LÄN</t>
        </is>
      </c>
      <c r="G245" t="inlineStr">
        <is>
          <t>MARIESTAD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46290</v>
      </c>
      <c r="F246" t="inlineStr">
        <is>
          <t>VÄSTRA GÖTALANDS LÄN</t>
        </is>
      </c>
      <c r="G246" t="inlineStr">
        <is>
          <t>MARIESTAD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46290</v>
      </c>
      <c r="F247" t="inlineStr">
        <is>
          <t>VÄSTRA GÖTALANDS LÄN</t>
        </is>
      </c>
      <c r="G247" t="inlineStr">
        <is>
          <t>MARIESTAD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44614</v>
      </c>
      <c r="E248" s="1" t="n">
        <v>46290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Kyrkan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44816</v>
      </c>
      <c r="E249" s="1" t="n">
        <v>46290</v>
      </c>
      <c r="F249" t="inlineStr">
        <is>
          <t>VÄSTRA GÖTALANDS LÄN</t>
        </is>
      </c>
      <c r="G249" t="inlineStr">
        <is>
          <t>MARIESTAD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46290</v>
      </c>
      <c r="F250" t="inlineStr">
        <is>
          <t>VÄSTRA GÖTALANDS LÄN</t>
        </is>
      </c>
      <c r="G250" t="inlineStr">
        <is>
          <t>MARIESTAD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46290</v>
      </c>
      <c r="F251" t="inlineStr">
        <is>
          <t>VÄSTRA GÖTALANDS LÄN</t>
        </is>
      </c>
      <c r="G251" t="inlineStr">
        <is>
          <t>MARIESTAD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44981</v>
      </c>
      <c r="E252" s="1" t="n">
        <v>46290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46290</v>
      </c>
      <c r="F253" t="inlineStr">
        <is>
          <t>VÄSTRA GÖTALANDS LÄN</t>
        </is>
      </c>
      <c r="G253" t="inlineStr">
        <is>
          <t>MARIESTAD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46290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46290</v>
      </c>
      <c r="F255" t="inlineStr">
        <is>
          <t>VÄSTRA GÖTALANDS LÄN</t>
        </is>
      </c>
      <c r="G255" t="inlineStr">
        <is>
          <t>MARIESTAD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45412</v>
      </c>
      <c r="E256" s="1" t="n">
        <v>46290</v>
      </c>
      <c r="F256" t="inlineStr">
        <is>
          <t>VÄSTRA GÖTALANDS LÄN</t>
        </is>
      </c>
      <c r="G256" t="inlineStr">
        <is>
          <t>MARIESTAD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7168-2023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44965</v>
      </c>
      <c r="E257" s="1" t="n">
        <v>46290</v>
      </c>
      <c r="F257" t="inlineStr">
        <is>
          <t>VÄSTRA GÖTALANDS LÄN</t>
        </is>
      </c>
      <c r="G257" t="inlineStr">
        <is>
          <t>MARIESTAD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60376-2021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46290</v>
      </c>
      <c r="F258" t="inlineStr">
        <is>
          <t>VÄSTRA GÖTALANDS LÄN</t>
        </is>
      </c>
      <c r="G258" t="inlineStr">
        <is>
          <t>MARIESTAD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45200</v>
      </c>
      <c r="E259" s="1" t="n">
        <v>46290</v>
      </c>
      <c r="F259" t="inlineStr">
        <is>
          <t>VÄSTRA GÖTALANDS LÄN</t>
        </is>
      </c>
      <c r="G259" t="inlineStr">
        <is>
          <t>MARIESTAD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46290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Kyrkan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45709</v>
      </c>
      <c r="E261" s="1" t="n">
        <v>46290</v>
      </c>
      <c r="F261" t="inlineStr">
        <is>
          <t>VÄSTRA GÖTALANDS LÄN</t>
        </is>
      </c>
      <c r="G261" t="inlineStr">
        <is>
          <t>MARIESTAD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46290</v>
      </c>
      <c r="F262" t="inlineStr">
        <is>
          <t>VÄSTRA GÖTALANDS LÄN</t>
        </is>
      </c>
      <c r="G262" t="inlineStr">
        <is>
          <t>MARIESTAD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46199</v>
      </c>
      <c r="E263" s="1" t="n">
        <v>46290</v>
      </c>
      <c r="F263" t="inlineStr">
        <is>
          <t>VÄSTRA GÖTALANDS LÄN</t>
        </is>
      </c>
      <c r="G263" t="inlineStr">
        <is>
          <t>MARIESTAD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46199</v>
      </c>
      <c r="E264" s="1" t="n">
        <v>46290</v>
      </c>
      <c r="F264" t="inlineStr">
        <is>
          <t>VÄSTRA GÖTALANDS LÄN</t>
        </is>
      </c>
      <c r="G264" t="inlineStr">
        <is>
          <t>MARIESTAD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46290</v>
      </c>
      <c r="F265" t="inlineStr">
        <is>
          <t>VÄSTRA GÖTALANDS LÄN</t>
        </is>
      </c>
      <c r="G265" t="inlineStr">
        <is>
          <t>MARIESTAD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46290</v>
      </c>
      <c r="F266" t="inlineStr">
        <is>
          <t>VÄSTRA GÖTALANDS LÄN</t>
        </is>
      </c>
      <c r="G266" t="inlineStr">
        <is>
          <t>MARIESTAD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46290</v>
      </c>
      <c r="F267" t="inlineStr">
        <is>
          <t>VÄSTRA GÖTALANDS LÄN</t>
        </is>
      </c>
      <c r="G267" t="inlineStr">
        <is>
          <t>MARIESTAD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46290</v>
      </c>
      <c r="F268" t="inlineStr">
        <is>
          <t>VÄSTRA GÖTALANDS LÄN</t>
        </is>
      </c>
      <c r="G268" t="inlineStr">
        <is>
          <t>MARIESTAD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58598-2021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44489</v>
      </c>
      <c r="E269" s="1" t="n">
        <v>46290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46206</v>
      </c>
      <c r="E270" s="1" t="n">
        <v>46290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65197-2023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45289</v>
      </c>
      <c r="E271" s="1" t="n">
        <v>46290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45548</v>
      </c>
      <c r="E272" s="1" t="n">
        <v>46290</v>
      </c>
      <c r="F272" t="inlineStr">
        <is>
          <t>VÄSTRA GÖTALANDS LÄN</t>
        </is>
      </c>
      <c r="G272" t="inlineStr">
        <is>
          <t>MARIESTAD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46253</v>
      </c>
      <c r="E273" s="1" t="n">
        <v>46290</v>
      </c>
      <c r="F273" t="inlineStr">
        <is>
          <t>VÄSTRA GÖTALANDS LÄN</t>
        </is>
      </c>
      <c r="G273" t="inlineStr">
        <is>
          <t>MARIESTAD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46290</v>
      </c>
      <c r="F274" t="inlineStr">
        <is>
          <t>VÄSTRA GÖTALANDS LÄN</t>
        </is>
      </c>
      <c r="G274" t="inlineStr">
        <is>
          <t>MARIESTAD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44881</v>
      </c>
      <c r="E275" s="1" t="n">
        <v>46290</v>
      </c>
      <c r="F275" t="inlineStr">
        <is>
          <t>VÄSTRA GÖTALANDS LÄN</t>
        </is>
      </c>
      <c r="G275" t="inlineStr">
        <is>
          <t>MARIESTAD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46290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46290</v>
      </c>
      <c r="F277" t="inlineStr">
        <is>
          <t>VÄSTRA GÖTALANDS LÄN</t>
        </is>
      </c>
      <c r="G277" t="inlineStr">
        <is>
          <t>MARIESTAD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74081-2021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44553</v>
      </c>
      <c r="E278" s="1" t="n">
        <v>46290</v>
      </c>
      <c r="F278" t="inlineStr">
        <is>
          <t>VÄSTRA GÖTALANDS LÄN</t>
        </is>
      </c>
      <c r="G278" t="inlineStr">
        <is>
          <t>MARIESTAD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46290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44649</v>
      </c>
      <c r="E280" s="1" t="n">
        <v>46290</v>
      </c>
      <c r="F280" t="inlineStr">
        <is>
          <t>VÄSTRA GÖTALANDS LÄN</t>
        </is>
      </c>
      <c r="G280" t="inlineStr">
        <is>
          <t>MARIESTAD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44617</v>
      </c>
      <c r="E281" s="1" t="n">
        <v>46290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Kyrkan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46261</v>
      </c>
      <c r="E282" s="1" t="n">
        <v>46290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46290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46261</v>
      </c>
      <c r="E284" s="1" t="n">
        <v>46290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46290</v>
      </c>
      <c r="F285" t="inlineStr">
        <is>
          <t>VÄSTRA GÖTALANDS LÄN</t>
        </is>
      </c>
      <c r="G285" t="inlineStr">
        <is>
          <t>MARIESTAD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46262</v>
      </c>
      <c r="E286" s="1" t="n">
        <v>46290</v>
      </c>
      <c r="F286" t="inlineStr">
        <is>
          <t>VÄSTRA GÖTALANDS LÄN</t>
        </is>
      </c>
      <c r="G286" t="inlineStr">
        <is>
          <t>MARIESTAD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45722</v>
      </c>
      <c r="E287" s="1" t="n">
        <v>46290</v>
      </c>
      <c r="F287" t="inlineStr">
        <is>
          <t>VÄSTRA GÖTALANDS LÄN</t>
        </is>
      </c>
      <c r="G287" t="inlineStr">
        <is>
          <t>MARIESTAD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44616</v>
      </c>
      <c r="E288" s="1" t="n">
        <v>46290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Kyrkan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46290</v>
      </c>
      <c r="F289" t="inlineStr">
        <is>
          <t>VÄSTRA GÖTALANDS LÄN</t>
        </is>
      </c>
      <c r="G289" t="inlineStr">
        <is>
          <t>MARIESTAD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46290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Kyrkan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46290</v>
      </c>
      <c r="F291" t="inlineStr">
        <is>
          <t>VÄSTRA GÖTALANDS LÄN</t>
        </is>
      </c>
      <c r="G291" t="inlineStr">
        <is>
          <t>MARIESTAD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45751</v>
      </c>
      <c r="E292" s="1" t="n">
        <v>46290</v>
      </c>
      <c r="F292" t="inlineStr">
        <is>
          <t>VÄSTRA GÖTALANDS LÄN</t>
        </is>
      </c>
      <c r="G292" t="inlineStr">
        <is>
          <t>MARIESTAD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44999</v>
      </c>
      <c r="E293" s="1" t="n">
        <v>46290</v>
      </c>
      <c r="F293" t="inlineStr">
        <is>
          <t>VÄSTRA GÖTALANDS LÄN</t>
        </is>
      </c>
      <c r="G293" t="inlineStr">
        <is>
          <t>MARIESTAD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45200</v>
      </c>
      <c r="E294" s="1" t="n">
        <v>46290</v>
      </c>
      <c r="F294" t="inlineStr">
        <is>
          <t>VÄSTRA GÖTALANDS LÄN</t>
        </is>
      </c>
      <c r="G294" t="inlineStr">
        <is>
          <t>MARIESTAD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45528</v>
      </c>
      <c r="E295" s="1" t="n">
        <v>46290</v>
      </c>
      <c r="F295" t="inlineStr">
        <is>
          <t>VÄSTRA GÖTALANDS LÄN</t>
        </is>
      </c>
      <c r="G295" t="inlineStr">
        <is>
          <t>MARIESTAD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46290</v>
      </c>
      <c r="F296" t="inlineStr">
        <is>
          <t>VÄSTRA GÖTALANDS LÄN</t>
        </is>
      </c>
      <c r="G296" t="inlineStr">
        <is>
          <t>MARIESTAD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44848</v>
      </c>
      <c r="E297" s="1" t="n">
        <v>46290</v>
      </c>
      <c r="F297" t="inlineStr">
        <is>
          <t>VÄSTRA GÖTALANDS LÄN</t>
        </is>
      </c>
      <c r="G297" t="inlineStr">
        <is>
          <t>MARIESTAD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60812-2023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45260</v>
      </c>
      <c r="E298" s="1" t="n">
        <v>46290</v>
      </c>
      <c r="F298" t="inlineStr">
        <is>
          <t>VÄSTRA GÖTALANDS LÄN</t>
        </is>
      </c>
      <c r="G298" t="inlineStr">
        <is>
          <t>MARIESTAD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46290</v>
      </c>
      <c r="F299" t="inlineStr">
        <is>
          <t>VÄSTRA GÖTALANDS LÄN</t>
        </is>
      </c>
      <c r="G299" t="inlineStr">
        <is>
          <t>MARIESTAD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45516</v>
      </c>
      <c r="E300" s="1" t="n">
        <v>46290</v>
      </c>
      <c r="F300" t="inlineStr">
        <is>
          <t>VÄSTRA GÖTALANDS LÄN</t>
        </is>
      </c>
      <c r="G300" t="inlineStr">
        <is>
          <t>MARIESTAD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44746</v>
      </c>
      <c r="E301" s="1" t="n">
        <v>46290</v>
      </c>
      <c r="F301" t="inlineStr">
        <is>
          <t>VÄSTRA GÖTALANDS LÄN</t>
        </is>
      </c>
      <c r="G301" t="inlineStr">
        <is>
          <t>MARIESTAD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45516</v>
      </c>
      <c r="E302" s="1" t="n">
        <v>46290</v>
      </c>
      <c r="F302" t="inlineStr">
        <is>
          <t>VÄSTRA GÖTALANDS LÄN</t>
        </is>
      </c>
      <c r="G302" t="inlineStr">
        <is>
          <t>MARIESTAD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45674</v>
      </c>
      <c r="E303" s="1" t="n">
        <v>46290</v>
      </c>
      <c r="F303" t="inlineStr">
        <is>
          <t>VÄSTRA GÖTALANDS LÄN</t>
        </is>
      </c>
      <c r="G303" t="inlineStr">
        <is>
          <t>MARIESTAD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46290</v>
      </c>
      <c r="F304" t="inlineStr">
        <is>
          <t>VÄSTRA GÖTALANDS LÄN</t>
        </is>
      </c>
      <c r="G304" t="inlineStr">
        <is>
          <t>MARIESTAD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46290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61603-2023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45265</v>
      </c>
      <c r="E306" s="1" t="n">
        <v>46290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45211</v>
      </c>
      <c r="E307" s="1" t="n">
        <v>46290</v>
      </c>
      <c r="F307" t="inlineStr">
        <is>
          <t>VÄSTRA GÖTALANDS LÄN</t>
        </is>
      </c>
      <c r="G307" t="inlineStr">
        <is>
          <t>MARIESTAD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45720</v>
      </c>
      <c r="E308" s="1" t="n">
        <v>46290</v>
      </c>
      <c r="F308" t="inlineStr">
        <is>
          <t>VÄSTRA GÖTALANDS LÄN</t>
        </is>
      </c>
      <c r="G308" t="inlineStr">
        <is>
          <t>MARIESTAD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46290</v>
      </c>
      <c r="F309" t="inlineStr">
        <is>
          <t>VÄSTRA GÖTALANDS LÄN</t>
        </is>
      </c>
      <c r="G309" t="inlineStr">
        <is>
          <t>MARIESTAD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45720</v>
      </c>
      <c r="E310" s="1" t="n">
        <v>46290</v>
      </c>
      <c r="F310" t="inlineStr">
        <is>
          <t>VÄSTRA GÖTALANDS LÄN</t>
        </is>
      </c>
      <c r="G310" t="inlineStr">
        <is>
          <t>MARIESTAD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46290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45307</v>
      </c>
      <c r="E312" s="1" t="n">
        <v>46290</v>
      </c>
      <c r="F312" t="inlineStr">
        <is>
          <t>VÄSTRA GÖTALANDS LÄN</t>
        </is>
      </c>
      <c r="G312" t="inlineStr">
        <is>
          <t>MARIESTAD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45516</v>
      </c>
      <c r="E313" s="1" t="n">
        <v>46290</v>
      </c>
      <c r="F313" t="inlineStr">
        <is>
          <t>VÄSTRA GÖTALANDS LÄN</t>
        </is>
      </c>
      <c r="G313" t="inlineStr">
        <is>
          <t>MARIESTAD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46290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46290</v>
      </c>
      <c r="F315" t="inlineStr">
        <is>
          <t>VÄSTRA GÖTALANDS LÄN</t>
        </is>
      </c>
      <c r="G315" t="inlineStr">
        <is>
          <t>MARIESTAD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66772-2021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44521</v>
      </c>
      <c r="E316" s="1" t="n">
        <v>46290</v>
      </c>
      <c r="F316" t="inlineStr">
        <is>
          <t>VÄSTRA GÖTALANDS LÄN</t>
        </is>
      </c>
      <c r="G316" t="inlineStr">
        <is>
          <t>MARIESTAD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45705</v>
      </c>
      <c r="E317" s="1" t="n">
        <v>46290</v>
      </c>
      <c r="F317" t="inlineStr">
        <is>
          <t>VÄSTRA GÖTALANDS LÄN</t>
        </is>
      </c>
      <c r="G317" t="inlineStr">
        <is>
          <t>MARIESTAD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46290</v>
      </c>
      <c r="F318" t="inlineStr">
        <is>
          <t>VÄSTRA GÖTALANDS LÄN</t>
        </is>
      </c>
      <c r="G318" t="inlineStr">
        <is>
          <t>MARIESTAD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49385-2023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45211</v>
      </c>
      <c r="E319" s="1" t="n">
        <v>46290</v>
      </c>
      <c r="F319" t="inlineStr">
        <is>
          <t>VÄSTRA GÖTALANDS LÄN</t>
        </is>
      </c>
      <c r="G319" t="inlineStr">
        <is>
          <t>MARIESTAD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45728</v>
      </c>
      <c r="E320" s="1" t="n">
        <v>46290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45502</v>
      </c>
      <c r="E321" s="1" t="n">
        <v>46290</v>
      </c>
      <c r="F321" t="inlineStr">
        <is>
          <t>VÄSTRA GÖTALANDS LÄN</t>
        </is>
      </c>
      <c r="G321" t="inlineStr">
        <is>
          <t>MARIESTAD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45709</v>
      </c>
      <c r="E322" s="1" t="n">
        <v>46290</v>
      </c>
      <c r="F322" t="inlineStr">
        <is>
          <t>VÄSTRA GÖTALANDS LÄN</t>
        </is>
      </c>
      <c r="G322" t="inlineStr">
        <is>
          <t>MARIESTAD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46290</v>
      </c>
      <c r="F323" t="inlineStr">
        <is>
          <t>VÄSTRA GÖTALANDS LÄN</t>
        </is>
      </c>
      <c r="G323" t="inlineStr">
        <is>
          <t>MARIESTAD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46290</v>
      </c>
      <c r="F324" t="inlineStr">
        <is>
          <t>VÄSTRA GÖTALANDS LÄN</t>
        </is>
      </c>
      <c r="G324" t="inlineStr">
        <is>
          <t>MARIESTAD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46290</v>
      </c>
      <c r="F325" t="inlineStr">
        <is>
          <t>VÄSTRA GÖTALANDS LÄN</t>
        </is>
      </c>
      <c r="G325" t="inlineStr">
        <is>
          <t>MARIESTAD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39286-2026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46288</v>
      </c>
      <c r="E326" s="1" t="n">
        <v>46290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45610</v>
      </c>
      <c r="E327" s="1" t="n">
        <v>46290</v>
      </c>
      <c r="F327" t="inlineStr">
        <is>
          <t>VÄSTRA GÖTALANDS LÄN</t>
        </is>
      </c>
      <c r="G327" t="inlineStr">
        <is>
          <t>MARIESTAD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46290</v>
      </c>
      <c r="F328" t="inlineStr">
        <is>
          <t>VÄSTRA GÖTALANDS LÄN</t>
        </is>
      </c>
      <c r="G328" t="inlineStr">
        <is>
          <t>MARIESTAD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46290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46290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39262-2026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46288</v>
      </c>
      <c r="E331" s="1" t="n">
        <v>46290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46290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Kyrkan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46290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46290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46288</v>
      </c>
      <c r="E335" s="1" t="n">
        <v>46290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46290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46290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45798</v>
      </c>
      <c r="E338" s="1" t="n">
        <v>46290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46290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45804</v>
      </c>
      <c r="E340" s="1" t="n">
        <v>46290</v>
      </c>
      <c r="F340" t="inlineStr">
        <is>
          <t>VÄSTRA GÖTALANDS LÄN</t>
        </is>
      </c>
      <c r="G340" t="inlineStr">
        <is>
          <t>MARIESTAD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45804</v>
      </c>
      <c r="E341" s="1" t="n">
        <v>46290</v>
      </c>
      <c r="F341" t="inlineStr">
        <is>
          <t>VÄSTRA GÖTALANDS LÄN</t>
        </is>
      </c>
      <c r="G341" t="inlineStr">
        <is>
          <t>MARIESTAD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45754</v>
      </c>
      <c r="E342" s="1" t="n">
        <v>46290</v>
      </c>
      <c r="F342" t="inlineStr">
        <is>
          <t>VÄSTRA GÖTALANDS LÄN</t>
        </is>
      </c>
      <c r="G342" t="inlineStr">
        <is>
          <t>MARIESTAD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46290</v>
      </c>
      <c r="F343" t="inlineStr">
        <is>
          <t>VÄSTRA GÖTALANDS LÄN</t>
        </is>
      </c>
      <c r="G343" t="inlineStr">
        <is>
          <t>MARIESTAD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46290</v>
      </c>
      <c r="F344" t="inlineStr">
        <is>
          <t>VÄSTRA GÖTALANDS LÄN</t>
        </is>
      </c>
      <c r="G344" t="inlineStr">
        <is>
          <t>MARIESTAD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45819</v>
      </c>
      <c r="E345" s="1" t="n">
        <v>46290</v>
      </c>
      <c r="F345" t="inlineStr">
        <is>
          <t>VÄSTRA GÖTALANDS LÄN</t>
        </is>
      </c>
      <c r="G345" t="inlineStr">
        <is>
          <t>MARIESTAD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45821</v>
      </c>
      <c r="E346" s="1" t="n">
        <v>46290</v>
      </c>
      <c r="F346" t="inlineStr">
        <is>
          <t>VÄSTRA GÖTALANDS LÄN</t>
        </is>
      </c>
      <c r="G346" t="inlineStr">
        <is>
          <t>MARIESTAD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45820</v>
      </c>
      <c r="E347" s="1" t="n">
        <v>46290</v>
      </c>
      <c r="F347" t="inlineStr">
        <is>
          <t>VÄSTRA GÖTALANDS LÄN</t>
        </is>
      </c>
      <c r="G347" t="inlineStr">
        <is>
          <t>MARIESTAD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45820</v>
      </c>
      <c r="E348" s="1" t="n">
        <v>46290</v>
      </c>
      <c r="F348" t="inlineStr">
        <is>
          <t>VÄSTRA GÖTALANDS LÄN</t>
        </is>
      </c>
      <c r="G348" t="inlineStr">
        <is>
          <t>MARIESTAD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45827</v>
      </c>
      <c r="E349" s="1" t="n">
        <v>46290</v>
      </c>
      <c r="F349" t="inlineStr">
        <is>
          <t>VÄSTRA GÖTALANDS LÄN</t>
        </is>
      </c>
      <c r="G349" t="inlineStr">
        <is>
          <t>MARIESTAD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45832</v>
      </c>
      <c r="E350" s="1" t="n">
        <v>46290</v>
      </c>
      <c r="F350" t="inlineStr">
        <is>
          <t>VÄSTRA GÖTALANDS LÄN</t>
        </is>
      </c>
      <c r="G350" t="inlineStr">
        <is>
          <t>MARIESTAD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46290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46290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46290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2026-09-25T02:03:00Z</dcterms:created>
  <dcterms:modified xmlns:dcterms="http://purl.org/dc/terms/" xmlns:xsi="http://www.w3.org/2001/XMLSchema-instance" xsi:type="dcterms:W3CDTF">2026-09-25T02:03:00Z</dcterms:modified>
</cp:coreProperties>
</file>