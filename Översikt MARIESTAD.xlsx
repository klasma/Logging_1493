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46326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46326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46326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46326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46326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46326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46326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46326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46326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46326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46326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46326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46326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46326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46326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46326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46326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17272-2023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45035</v>
      </c>
      <c r="E26" s="1" t="n">
        <v>46326</v>
      </c>
      <c r="F26" t="inlineStr">
        <is>
          <t>VÄSTRA GÖTALANDS LÄN</t>
        </is>
      </c>
      <c r="G26" t="inlineStr">
        <is>
          <t>MARIESTAD</t>
        </is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Gullklöver</t>
        </is>
      </c>
      <c r="W26">
        <f>HYPERLINK("https://klasma.github.io/Logging_1493/artfynd/A 17272-2023 artfynd.xlsx", "A 17272-2023")</f>
        <v/>
      </c>
      <c r="X26">
        <f>HYPERLINK("https://klasma.github.io/Logging_1493/kartor/A 17272-2023 karta.png", "A 17272-2023")</f>
        <v/>
      </c>
      <c r="Y26">
        <f>HYPERLINK("https://klasma.github.io/Logging_1493/kartor_geotiff/A 17272-2023 georefererad karta.tif", "A 17272-2023")</f>
        <v/>
      </c>
      <c r="AA26">
        <f>HYPERLINK("https://klasma.github.io/Logging_1493/klagomål/A 17272-2023 FSC-klagomål.docx", "A 17272-2023")</f>
        <v/>
      </c>
      <c r="AB26">
        <f>HYPERLINK("https://klasma.github.io/Logging_1493/klagomålsmail/A 17272-2023 FSC-klagomål mail.docx", "A 17272-2023")</f>
        <v/>
      </c>
      <c r="AC26">
        <f>HYPERLINK("https://klasma.github.io/Logging_1493/tillsyn/A 17272-2023 tillsynsbegäran.docx", "A 17272-2023")</f>
        <v/>
      </c>
      <c r="AD26">
        <f>HYPERLINK("https://klasma.github.io/Logging_1493/tillsynsmail/A 17272-2023 tillsynsbegäran mail.docx", "A 17272-2023")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46326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46326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46326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42647-2023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46326</v>
      </c>
      <c r="F30" t="inlineStr">
        <is>
          <t>VÄSTRA GÖTALANDS LÄN</t>
        </is>
      </c>
      <c r="G30" t="inlineStr">
        <is>
          <t>MARIESTAD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Ärtsångare</t>
        </is>
      </c>
      <c r="W30">
        <f>HYPERLINK("https://klasma.github.io/Logging_1493/artfynd/A 42647-2023 artfynd.xlsx", "A 42647-2023")</f>
        <v/>
      </c>
      <c r="X30">
        <f>HYPERLINK("https://klasma.github.io/Logging_1493/kartor/A 42647-2023 karta.png", "A 42647-2023")</f>
        <v/>
      </c>
      <c r="Y30">
        <f>HYPERLINK("https://klasma.github.io/Logging_1493/kartor_geotiff/A 42647-2023 georefererad karta.tif", "A 42647-2023")</f>
        <v/>
      </c>
      <c r="AA30">
        <f>HYPERLINK("https://klasma.github.io/Logging_1493/klagomål/A 42647-2023 FSC-klagomål.docx", "A 42647-2023")</f>
        <v/>
      </c>
      <c r="AB30">
        <f>HYPERLINK("https://klasma.github.io/Logging_1493/klagomålsmail/A 42647-2023 FSC-klagomål mail.docx", "A 42647-2023")</f>
        <v/>
      </c>
      <c r="AC30">
        <f>HYPERLINK("https://klasma.github.io/Logging_1493/tillsyn/A 42647-2023 tillsynsbegäran.docx", "A 42647-2023")</f>
        <v/>
      </c>
      <c r="AD30">
        <f>HYPERLINK("https://klasma.github.io/Logging_1493/tillsynsmail/A 42647-2023 tillsynsbegäran mail.docx", "A 42647-2023")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46326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46326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46326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46326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46326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9650-2025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46326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HYPERLINK("https://klasma.github.io/Logging_1493/artfynd/A 9650-2025 artfynd.xlsx", "A 9650-2025")</f>
        <v/>
      </c>
      <c r="X36">
        <f>HYPERLINK("https://klasma.github.io/Logging_1493/kartor/A 9650-2025 karta.png", "A 9650-2025")</f>
        <v/>
      </c>
      <c r="Y36">
        <f>HYPERLINK("https://klasma.github.io/Logging_1493/kartor_geotiff/A 9650-2025 georefererad karta.tif", "A 9650-2025")</f>
        <v/>
      </c>
      <c r="AA36">
        <f>HYPERLINK("https://klasma.github.io/Logging_1493/klagomål/A 9650-2025 FSC-klagomål.docx", "A 9650-2025")</f>
        <v/>
      </c>
      <c r="AB36">
        <f>HYPERLINK("https://klasma.github.io/Logging_1493/klagomålsmail/A 9650-2025 FSC-klagomål mail.docx", "A 9650-2025")</f>
        <v/>
      </c>
      <c r="AC36">
        <f>HYPERLINK("https://klasma.github.io/Logging_1493/tillsyn/A 9650-2025 tillsynsbegäran.docx", "A 9650-2025")</f>
        <v/>
      </c>
      <c r="AD36">
        <f>HYPERLINK("https://klasma.github.io/Logging_1493/tillsynsmail/A 9650-2025 tillsynsbegäran mail.docx", "A 9650-2025")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46326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46326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46326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46326</v>
      </c>
      <c r="F44" t="inlineStr">
        <is>
          <t>VÄSTRA GÖTALANDS LÄN</t>
        </is>
      </c>
      <c r="G44" t="inlineStr">
        <is>
          <t>MARIESTAD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46326</v>
      </c>
      <c r="F45" t="inlineStr">
        <is>
          <t>VÄSTRA GÖTALANDS LÄN</t>
        </is>
      </c>
      <c r="G45" t="inlineStr">
        <is>
          <t>MARIESTAD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46326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46326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46326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46326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46326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46326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44758</v>
      </c>
      <c r="E52" s="1" t="n">
        <v>46326</v>
      </c>
      <c r="F52" t="inlineStr">
        <is>
          <t>VÄSTRA GÖTALANDS LÄN</t>
        </is>
      </c>
      <c r="G52" t="inlineStr">
        <is>
          <t>MARIESTAD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46326</v>
      </c>
      <c r="F53" t="inlineStr">
        <is>
          <t>VÄSTRA GÖTALANDS LÄN</t>
        </is>
      </c>
      <c r="G53" t="inlineStr">
        <is>
          <t>MARIESTAD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46326</v>
      </c>
      <c r="F54" t="inlineStr">
        <is>
          <t>VÄSTRA GÖTALANDS LÄN</t>
        </is>
      </c>
      <c r="G54" t="inlineStr">
        <is>
          <t>MARIESTAD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44571</v>
      </c>
      <c r="E55" s="1" t="n">
        <v>46326</v>
      </c>
      <c r="F55" t="inlineStr">
        <is>
          <t>VÄSTRA GÖTALANDS LÄN</t>
        </is>
      </c>
      <c r="G55" t="inlineStr">
        <is>
          <t>MARIESTAD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46326</v>
      </c>
      <c r="F56" t="inlineStr">
        <is>
          <t>VÄSTRA GÖTALANDS LÄN</t>
        </is>
      </c>
      <c r="G56" t="inlineStr">
        <is>
          <t>MARIESTAD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68081-2021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46326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67142-2021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46326</v>
      </c>
      <c r="F58" t="inlineStr">
        <is>
          <t>VÄSTRA GÖTALANDS LÄN</t>
        </is>
      </c>
      <c r="G58" t="inlineStr">
        <is>
          <t>MARIESTAD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46326</v>
      </c>
      <c r="F59" t="inlineStr">
        <is>
          <t>VÄSTRA GÖTALANDS LÄN</t>
        </is>
      </c>
      <c r="G59" t="inlineStr">
        <is>
          <t>MARIESTAD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68922-2021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46326</v>
      </c>
      <c r="F60" t="inlineStr">
        <is>
          <t>VÄSTRA GÖTALANDS LÄN</t>
        </is>
      </c>
      <c r="G60" t="inlineStr">
        <is>
          <t>MARIESTAD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45674</v>
      </c>
      <c r="E61" s="1" t="n">
        <v>46326</v>
      </c>
      <c r="F61" t="inlineStr">
        <is>
          <t>VÄSTRA GÖTALANDS LÄN</t>
        </is>
      </c>
      <c r="G61" t="inlineStr">
        <is>
          <t>MARIESTAD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44630</v>
      </c>
      <c r="E62" s="1" t="n">
        <v>46326</v>
      </c>
      <c r="F62" t="inlineStr">
        <is>
          <t>VÄSTRA GÖTALANDS LÄN</t>
        </is>
      </c>
      <c r="G62" t="inlineStr">
        <is>
          <t>MARIESTAD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46326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Kyrkan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44843</v>
      </c>
      <c r="E64" s="1" t="n">
        <v>46326</v>
      </c>
      <c r="F64" t="inlineStr">
        <is>
          <t>VÄSTRA GÖTALANDS LÄN</t>
        </is>
      </c>
      <c r="G64" t="inlineStr">
        <is>
          <t>MARIESTAD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45677</v>
      </c>
      <c r="E65" s="1" t="n">
        <v>46326</v>
      </c>
      <c r="F65" t="inlineStr">
        <is>
          <t>VÄSTRA GÖTALANDS LÄN</t>
        </is>
      </c>
      <c r="G65" t="inlineStr">
        <is>
          <t>MARIESTAD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44574</v>
      </c>
      <c r="E66" s="1" t="n">
        <v>46326</v>
      </c>
      <c r="F66" t="inlineStr">
        <is>
          <t>VÄSTRA GÖTALANDS LÄN</t>
        </is>
      </c>
      <c r="G66" t="inlineStr">
        <is>
          <t>MARIESTAD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46326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46326</v>
      </c>
      <c r="F68" t="inlineStr">
        <is>
          <t>VÄSTRA GÖTALANDS LÄN</t>
        </is>
      </c>
      <c r="G68" t="inlineStr">
        <is>
          <t>MARIESTAD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46326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46326</v>
      </c>
      <c r="F70" t="inlineStr">
        <is>
          <t>VÄSTRA GÖTALANDS LÄN</t>
        </is>
      </c>
      <c r="G70" t="inlineStr">
        <is>
          <t>MARIESTAD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46326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46326</v>
      </c>
      <c r="F72" t="inlineStr">
        <is>
          <t>VÄSTRA GÖTALANDS LÄN</t>
        </is>
      </c>
      <c r="G72" t="inlineStr">
        <is>
          <t>MARIESTAD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46326</v>
      </c>
      <c r="F73" t="inlineStr">
        <is>
          <t>VÄSTRA GÖTALANDS LÄN</t>
        </is>
      </c>
      <c r="G73" t="inlineStr">
        <is>
          <t>MARIESTAD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45470</v>
      </c>
      <c r="E74" s="1" t="n">
        <v>46326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Kyrkan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46326</v>
      </c>
      <c r="F75" t="inlineStr">
        <is>
          <t>VÄSTRA GÖTALANDS LÄN</t>
        </is>
      </c>
      <c r="G75" t="inlineStr">
        <is>
          <t>MARIESTAD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46326</v>
      </c>
      <c r="F76" t="inlineStr">
        <is>
          <t>VÄSTRA GÖTALANDS LÄN</t>
        </is>
      </c>
      <c r="G76" t="inlineStr">
        <is>
          <t>MARIESTAD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46326</v>
      </c>
      <c r="F77" t="inlineStr">
        <is>
          <t>VÄSTRA GÖTALANDS LÄN</t>
        </is>
      </c>
      <c r="G77" t="inlineStr">
        <is>
          <t>MARIESTAD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46326</v>
      </c>
      <c r="F78" t="inlineStr">
        <is>
          <t>VÄSTRA GÖTALANDS LÄN</t>
        </is>
      </c>
      <c r="G78" t="inlineStr">
        <is>
          <t>MARIESTAD</t>
        </is>
      </c>
      <c r="I78" t="n">
        <v>9.1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46326</v>
      </c>
      <c r="F79" t="inlineStr">
        <is>
          <t>VÄSTRA GÖTALANDS LÄN</t>
        </is>
      </c>
      <c r="G79" t="inlineStr">
        <is>
          <t>MARIESTAD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46326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70295-2021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46326</v>
      </c>
      <c r="F81" t="inlineStr">
        <is>
          <t>VÄSTRA GÖTALANDS LÄN</t>
        </is>
      </c>
      <c r="G81" t="inlineStr">
        <is>
          <t>MARIESTAD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46326</v>
      </c>
      <c r="F82" t="inlineStr">
        <is>
          <t>VÄSTRA GÖTALANDS LÄN</t>
        </is>
      </c>
      <c r="G82" t="inlineStr">
        <is>
          <t>MARIESTAD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66771-2021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46326</v>
      </c>
      <c r="F83" t="inlineStr">
        <is>
          <t>VÄSTRA GÖTALANDS LÄN</t>
        </is>
      </c>
      <c r="G83" t="inlineStr">
        <is>
          <t>MARIESTAD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45240</v>
      </c>
      <c r="E84" s="1" t="n">
        <v>46326</v>
      </c>
      <c r="F84" t="inlineStr">
        <is>
          <t>VÄSTRA GÖTALANDS LÄN</t>
        </is>
      </c>
      <c r="G84" t="inlineStr">
        <is>
          <t>MARIESTAD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44797</v>
      </c>
      <c r="E85" s="1" t="n">
        <v>46326</v>
      </c>
      <c r="F85" t="inlineStr">
        <is>
          <t>VÄSTRA GÖTALANDS LÄN</t>
        </is>
      </c>
      <c r="G85" t="inlineStr">
        <is>
          <t>MARIESTAD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44942</v>
      </c>
      <c r="E86" s="1" t="n">
        <v>46326</v>
      </c>
      <c r="F86" t="inlineStr">
        <is>
          <t>VÄSTRA GÖTALANDS LÄN</t>
        </is>
      </c>
      <c r="G86" t="inlineStr">
        <is>
          <t>MARIESTAD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46326</v>
      </c>
      <c r="F87" t="inlineStr">
        <is>
          <t>VÄSTRA GÖTALANDS LÄN</t>
        </is>
      </c>
      <c r="G87" t="inlineStr">
        <is>
          <t>MARIESTAD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46326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46326</v>
      </c>
      <c r="F89" t="inlineStr">
        <is>
          <t>VÄSTRA GÖTALANDS LÄN</t>
        </is>
      </c>
      <c r="G89" t="inlineStr">
        <is>
          <t>MARIESTAD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46326</v>
      </c>
      <c r="F90" t="inlineStr">
        <is>
          <t>VÄSTRA GÖTALANDS LÄN</t>
        </is>
      </c>
      <c r="G90" t="inlineStr">
        <is>
          <t>MARIESTAD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46326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46326</v>
      </c>
      <c r="F92" t="inlineStr">
        <is>
          <t>VÄSTRA GÖTALANDS LÄN</t>
        </is>
      </c>
      <c r="G92" t="inlineStr">
        <is>
          <t>MARIESTAD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46326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46326</v>
      </c>
      <c r="F94" t="inlineStr">
        <is>
          <t>VÄSTRA GÖTALANDS LÄN</t>
        </is>
      </c>
      <c r="G94" t="inlineStr">
        <is>
          <t>MARIESTAD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45887</v>
      </c>
      <c r="E95" s="1" t="n">
        <v>46326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46326</v>
      </c>
      <c r="F96" t="inlineStr">
        <is>
          <t>VÄSTRA GÖTALANDS LÄN</t>
        </is>
      </c>
      <c r="G96" t="inlineStr">
        <is>
          <t>MARIESTAD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46326</v>
      </c>
      <c r="F97" t="inlineStr">
        <is>
          <t>VÄSTRA GÖTALANDS LÄN</t>
        </is>
      </c>
      <c r="G97" t="inlineStr">
        <is>
          <t>MARIESTAD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46326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46326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46326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46326</v>
      </c>
      <c r="F101" t="inlineStr">
        <is>
          <t>VÄSTRA GÖTALANDS LÄN</t>
        </is>
      </c>
      <c r="G101" t="inlineStr">
        <is>
          <t>MARIESTAD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45818</v>
      </c>
      <c r="E102" s="1" t="n">
        <v>46326</v>
      </c>
      <c r="F102" t="inlineStr">
        <is>
          <t>VÄSTRA GÖTALANDS LÄN</t>
        </is>
      </c>
      <c r="G102" t="inlineStr">
        <is>
          <t>MARIESTAD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46326</v>
      </c>
      <c r="F103" t="inlineStr">
        <is>
          <t>VÄSTRA GÖTALANDS LÄN</t>
        </is>
      </c>
      <c r="G103" t="inlineStr">
        <is>
          <t>MARIESTAD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46326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46326</v>
      </c>
      <c r="F105" t="inlineStr">
        <is>
          <t>VÄSTRA GÖTALANDS LÄN</t>
        </is>
      </c>
      <c r="G105" t="inlineStr">
        <is>
          <t>MARIESTAD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46326</v>
      </c>
      <c r="F106" t="inlineStr">
        <is>
          <t>VÄSTRA GÖTALANDS LÄN</t>
        </is>
      </c>
      <c r="G106" t="inlineStr">
        <is>
          <t>MARIESTAD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70259-2021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44536</v>
      </c>
      <c r="E107" s="1" t="n">
        <v>46326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45393</v>
      </c>
      <c r="E108" s="1" t="n">
        <v>46326</v>
      </c>
      <c r="F108" t="inlineStr">
        <is>
          <t>VÄSTRA GÖTALANDS LÄN</t>
        </is>
      </c>
      <c r="G108" t="inlineStr">
        <is>
          <t>MARIESTAD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46326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46326</v>
      </c>
      <c r="F110" t="inlineStr">
        <is>
          <t>VÄSTRA GÖTALANDS LÄN</t>
        </is>
      </c>
      <c r="G110" t="inlineStr">
        <is>
          <t>MARIESTAD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46326</v>
      </c>
      <c r="F111" t="inlineStr">
        <is>
          <t>VÄSTRA GÖTALANDS LÄN</t>
        </is>
      </c>
      <c r="G111" t="inlineStr">
        <is>
          <t>MARIESTAD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46326</v>
      </c>
      <c r="F112" t="inlineStr">
        <is>
          <t>VÄSTRA GÖTALANDS LÄN</t>
        </is>
      </c>
      <c r="G112" t="inlineStr">
        <is>
          <t>MARIESTAD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44901</v>
      </c>
      <c r="E113" s="1" t="n">
        <v>46326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Kyrkan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46326</v>
      </c>
      <c r="F114" t="inlineStr">
        <is>
          <t>VÄSTRA GÖTALANDS LÄN</t>
        </is>
      </c>
      <c r="G114" t="inlineStr">
        <is>
          <t>MARIESTAD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46326</v>
      </c>
      <c r="F115" t="inlineStr">
        <is>
          <t>VÄSTRA GÖTALANDS LÄN</t>
        </is>
      </c>
      <c r="G115" t="inlineStr">
        <is>
          <t>MARIESTAD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46326</v>
      </c>
      <c r="F116" t="inlineStr">
        <is>
          <t>VÄSTRA GÖTALANDS LÄN</t>
        </is>
      </c>
      <c r="G116" t="inlineStr">
        <is>
          <t>MARIESTAD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46326</v>
      </c>
      <c r="F117" t="inlineStr">
        <is>
          <t>VÄSTRA GÖTALANDS LÄN</t>
        </is>
      </c>
      <c r="G117" t="inlineStr">
        <is>
          <t>MARIESTAD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44883</v>
      </c>
      <c r="E118" s="1" t="n">
        <v>46326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46326</v>
      </c>
      <c r="F119" t="inlineStr">
        <is>
          <t>VÄSTRA GÖTALANDS LÄN</t>
        </is>
      </c>
      <c r="G119" t="inlineStr">
        <is>
          <t>MARIESTAD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45744</v>
      </c>
      <c r="E120" s="1" t="n">
        <v>46326</v>
      </c>
      <c r="F120" t="inlineStr">
        <is>
          <t>VÄSTRA GÖTALANDS LÄN</t>
        </is>
      </c>
      <c r="G120" t="inlineStr">
        <is>
          <t>MARIESTAD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45199</v>
      </c>
      <c r="E121" s="1" t="n">
        <v>46326</v>
      </c>
      <c r="F121" t="inlineStr">
        <is>
          <t>VÄSTRA GÖTALANDS LÄN</t>
        </is>
      </c>
      <c r="G121" t="inlineStr">
        <is>
          <t>MARIESTAD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46326</v>
      </c>
      <c r="F122" t="inlineStr">
        <is>
          <t>VÄSTRA GÖTALANDS LÄN</t>
        </is>
      </c>
      <c r="G122" t="inlineStr">
        <is>
          <t>MARIESTAD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46326</v>
      </c>
      <c r="F123" t="inlineStr">
        <is>
          <t>VÄSTRA GÖTALANDS LÄN</t>
        </is>
      </c>
      <c r="G123" t="inlineStr">
        <is>
          <t>MARIESTAD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46326</v>
      </c>
      <c r="F124" t="inlineStr">
        <is>
          <t>VÄSTRA GÖTALANDS LÄN</t>
        </is>
      </c>
      <c r="G124" t="inlineStr">
        <is>
          <t>MARIESTAD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46326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46326</v>
      </c>
      <c r="F126" t="inlineStr">
        <is>
          <t>VÄSTRA GÖTALANDS LÄN</t>
        </is>
      </c>
      <c r="G126" t="inlineStr">
        <is>
          <t>MARIESTAD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46326</v>
      </c>
      <c r="F127" t="inlineStr">
        <is>
          <t>VÄSTRA GÖTALANDS LÄN</t>
        </is>
      </c>
      <c r="G127" t="inlineStr">
        <is>
          <t>MARIESTAD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46326</v>
      </c>
      <c r="F128" t="inlineStr">
        <is>
          <t>VÄSTRA GÖTALANDS LÄN</t>
        </is>
      </c>
      <c r="G128" t="inlineStr">
        <is>
          <t>MARIESTAD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46326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46326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Kyrkan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46326</v>
      </c>
      <c r="F131" t="inlineStr">
        <is>
          <t>VÄSTRA GÖTALANDS LÄN</t>
        </is>
      </c>
      <c r="G131" t="inlineStr">
        <is>
          <t>MARIESTAD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11814-2023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46326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45873</v>
      </c>
      <c r="E133" s="1" t="n">
        <v>46326</v>
      </c>
      <c r="F133" t="inlineStr">
        <is>
          <t>VÄSTRA GÖTALANDS LÄN</t>
        </is>
      </c>
      <c r="G133" t="inlineStr">
        <is>
          <t>MARIESTAD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46326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46326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44836</v>
      </c>
      <c r="E136" s="1" t="n">
        <v>46326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45722</v>
      </c>
      <c r="E137" s="1" t="n">
        <v>46326</v>
      </c>
      <c r="F137" t="inlineStr">
        <is>
          <t>VÄSTRA GÖTALANDS LÄN</t>
        </is>
      </c>
      <c r="G137" t="inlineStr">
        <is>
          <t>MARIESTAD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46326</v>
      </c>
      <c r="F138" t="inlineStr">
        <is>
          <t>VÄSTRA GÖTALANDS LÄN</t>
        </is>
      </c>
      <c r="G138" t="inlineStr">
        <is>
          <t>MARIESTAD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44843</v>
      </c>
      <c r="E139" s="1" t="n">
        <v>46326</v>
      </c>
      <c r="F139" t="inlineStr">
        <is>
          <t>VÄSTRA GÖTALANDS LÄN</t>
        </is>
      </c>
      <c r="G139" t="inlineStr">
        <is>
          <t>MARIESTAD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46057</v>
      </c>
      <c r="E140" s="1" t="n">
        <v>46326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46326</v>
      </c>
      <c r="F141" t="inlineStr">
        <is>
          <t>VÄSTRA GÖTALANDS LÄN</t>
        </is>
      </c>
      <c r="G141" t="inlineStr">
        <is>
          <t>MARIESTAD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46326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46326</v>
      </c>
      <c r="F143" t="inlineStr">
        <is>
          <t>VÄSTRA GÖTALANDS LÄN</t>
        </is>
      </c>
      <c r="G143" t="inlineStr">
        <is>
          <t>MARIESTAD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46061</v>
      </c>
      <c r="E144" s="1" t="n">
        <v>46326</v>
      </c>
      <c r="F144" t="inlineStr">
        <is>
          <t>VÄSTRA GÖTALANDS LÄN</t>
        </is>
      </c>
      <c r="G144" t="inlineStr">
        <is>
          <t>MARIESTAD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44638</v>
      </c>
      <c r="E145" s="1" t="n">
        <v>46326</v>
      </c>
      <c r="F145" t="inlineStr">
        <is>
          <t>VÄSTRA GÖTALANDS LÄN</t>
        </is>
      </c>
      <c r="G145" t="inlineStr">
        <is>
          <t>MARIESTAD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46326</v>
      </c>
      <c r="F146" t="inlineStr">
        <is>
          <t>VÄSTRA GÖTALANDS LÄN</t>
        </is>
      </c>
      <c r="G146" t="inlineStr">
        <is>
          <t>MARIESTAD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46326</v>
      </c>
      <c r="F147" t="inlineStr">
        <is>
          <t>VÄSTRA GÖTALANDS LÄN</t>
        </is>
      </c>
      <c r="G147" t="inlineStr">
        <is>
          <t>MARIESTAD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46326</v>
      </c>
      <c r="F148" t="inlineStr">
        <is>
          <t>VÄSTRA GÖTALANDS LÄN</t>
        </is>
      </c>
      <c r="G148" t="inlineStr">
        <is>
          <t>MARIESTAD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46326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46326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46326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46326</v>
      </c>
      <c r="F152" t="inlineStr">
        <is>
          <t>VÄSTRA GÖTALANDS LÄN</t>
        </is>
      </c>
      <c r="G152" t="inlineStr">
        <is>
          <t>MARIESTAD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46326</v>
      </c>
      <c r="F153" t="inlineStr">
        <is>
          <t>VÄSTRA GÖTALANDS LÄN</t>
        </is>
      </c>
      <c r="G153" t="inlineStr">
        <is>
          <t>MARIESTAD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46326</v>
      </c>
      <c r="F154" t="inlineStr">
        <is>
          <t>VÄSTRA GÖTALANDS LÄN</t>
        </is>
      </c>
      <c r="G154" t="inlineStr">
        <is>
          <t>MARIESTAD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46326</v>
      </c>
      <c r="F155" t="inlineStr">
        <is>
          <t>VÄSTRA GÖTALANDS LÄN</t>
        </is>
      </c>
      <c r="G155" t="inlineStr">
        <is>
          <t>MARIESTAD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46326</v>
      </c>
      <c r="F156" t="inlineStr">
        <is>
          <t>VÄSTRA GÖTALANDS LÄN</t>
        </is>
      </c>
      <c r="G156" t="inlineStr">
        <is>
          <t>MARIESTAD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46326</v>
      </c>
      <c r="F157" t="inlineStr">
        <is>
          <t>VÄSTRA GÖTALANDS LÄN</t>
        </is>
      </c>
      <c r="G157" t="inlineStr">
        <is>
          <t>MARIESTAD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44986</v>
      </c>
      <c r="E158" s="1" t="n">
        <v>46326</v>
      </c>
      <c r="F158" t="inlineStr">
        <is>
          <t>VÄSTRA GÖTALANDS LÄN</t>
        </is>
      </c>
      <c r="G158" t="inlineStr">
        <is>
          <t>MARIESTAD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9558-2026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46071</v>
      </c>
      <c r="E159" s="1" t="n">
        <v>46326</v>
      </c>
      <c r="F159" t="inlineStr">
        <is>
          <t>VÄSTRA GÖTALANDS LÄN</t>
        </is>
      </c>
      <c r="G159" t="inlineStr">
        <is>
          <t>MARIESTAD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46326</v>
      </c>
      <c r="F160" t="inlineStr">
        <is>
          <t>VÄSTRA GÖTALANDS LÄN</t>
        </is>
      </c>
      <c r="G160" t="inlineStr">
        <is>
          <t>MARIESTAD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46326</v>
      </c>
      <c r="F161" t="inlineStr">
        <is>
          <t>VÄSTRA GÖTALANDS LÄN</t>
        </is>
      </c>
      <c r="G161" t="inlineStr">
        <is>
          <t>MARIESTAD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44620</v>
      </c>
      <c r="E162" s="1" t="n">
        <v>46326</v>
      </c>
      <c r="F162" t="inlineStr">
        <is>
          <t>VÄSTRA GÖTALANDS LÄN</t>
        </is>
      </c>
      <c r="G162" t="inlineStr">
        <is>
          <t>MARIESTAD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46326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46326</v>
      </c>
      <c r="F164" t="inlineStr">
        <is>
          <t>VÄSTRA GÖTALANDS LÄN</t>
        </is>
      </c>
      <c r="G164" t="inlineStr">
        <is>
          <t>MARIESTAD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49389-2023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45211</v>
      </c>
      <c r="E165" s="1" t="n">
        <v>46326</v>
      </c>
      <c r="F165" t="inlineStr">
        <is>
          <t>VÄSTRA GÖTALANDS LÄN</t>
        </is>
      </c>
      <c r="G165" t="inlineStr">
        <is>
          <t>MARIESTAD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46326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46326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46080</v>
      </c>
      <c r="E168" s="1" t="n">
        <v>46326</v>
      </c>
      <c r="F168" t="inlineStr">
        <is>
          <t>VÄSTRA GÖTALANDS LÄN</t>
        </is>
      </c>
      <c r="G168" t="inlineStr">
        <is>
          <t>MARIESTAD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46326</v>
      </c>
      <c r="F169" t="inlineStr">
        <is>
          <t>VÄSTRA GÖTALANDS LÄN</t>
        </is>
      </c>
      <c r="G169" t="inlineStr">
        <is>
          <t>MARIESTAD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46326</v>
      </c>
      <c r="F170" t="inlineStr">
        <is>
          <t>VÄSTRA GÖTALANDS LÄN</t>
        </is>
      </c>
      <c r="G170" t="inlineStr">
        <is>
          <t>MARIESTAD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46326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45131</v>
      </c>
      <c r="E172" s="1" t="n">
        <v>46326</v>
      </c>
      <c r="F172" t="inlineStr">
        <is>
          <t>VÄSTRA GÖTALANDS LÄN</t>
        </is>
      </c>
      <c r="G172" t="inlineStr">
        <is>
          <t>MARIESTAD</t>
        </is>
      </c>
      <c r="I172" t="n">
        <v>16.1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46326</v>
      </c>
      <c r="F173" t="inlineStr">
        <is>
          <t>VÄSTRA GÖTALANDS LÄN</t>
        </is>
      </c>
      <c r="G173" t="inlineStr">
        <is>
          <t>MARIESTAD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46326</v>
      </c>
      <c r="F174" t="inlineStr">
        <is>
          <t>VÄSTRA GÖTALANDS LÄN</t>
        </is>
      </c>
      <c r="G174" t="inlineStr">
        <is>
          <t>MARIESTAD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46326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46326</v>
      </c>
      <c r="F176" t="inlineStr">
        <is>
          <t>VÄSTRA GÖTALANDS LÄN</t>
        </is>
      </c>
      <c r="G176" t="inlineStr">
        <is>
          <t>MARIESTAD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46326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46326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44943</v>
      </c>
      <c r="E179" s="1" t="n">
        <v>46326</v>
      </c>
      <c r="F179" t="inlineStr">
        <is>
          <t>VÄSTRA GÖTALANDS LÄN</t>
        </is>
      </c>
      <c r="G179" t="inlineStr">
        <is>
          <t>MARIESTAD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46326</v>
      </c>
      <c r="F180" t="inlineStr">
        <is>
          <t>VÄSTRA GÖTALANDS LÄN</t>
        </is>
      </c>
      <c r="G180" t="inlineStr">
        <is>
          <t>MARIESTAD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45135</v>
      </c>
      <c r="E181" s="1" t="n">
        <v>46326</v>
      </c>
      <c r="F181" t="inlineStr">
        <is>
          <t>VÄSTRA GÖTALANDS LÄN</t>
        </is>
      </c>
      <c r="G181" t="inlineStr">
        <is>
          <t>MARIESTAD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44935</v>
      </c>
      <c r="E182" s="1" t="n">
        <v>46326</v>
      </c>
      <c r="F182" t="inlineStr">
        <is>
          <t>VÄSTRA GÖTALANDS LÄN</t>
        </is>
      </c>
      <c r="G182" t="inlineStr">
        <is>
          <t>MARIESTAD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46326</v>
      </c>
      <c r="F183" t="inlineStr">
        <is>
          <t>VÄSTRA GÖTALANDS LÄN</t>
        </is>
      </c>
      <c r="G183" t="inlineStr">
        <is>
          <t>MARIESTAD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46326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13655-2023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45006</v>
      </c>
      <c r="E185" s="1" t="n">
        <v>46326</v>
      </c>
      <c r="F185" t="inlineStr">
        <is>
          <t>VÄSTRA GÖTALANDS LÄN</t>
        </is>
      </c>
      <c r="G185" t="inlineStr">
        <is>
          <t>MARIESTAD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46326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46326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46326</v>
      </c>
      <c r="F188" t="inlineStr">
        <is>
          <t>VÄSTRA GÖTALANDS LÄN</t>
        </is>
      </c>
      <c r="G188" t="inlineStr">
        <is>
          <t>MARIESTAD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46326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26688-2022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44739</v>
      </c>
      <c r="E190" s="1" t="n">
        <v>46326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Kommuner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46100</v>
      </c>
      <c r="E191" s="1" t="n">
        <v>46326</v>
      </c>
      <c r="F191" t="inlineStr">
        <is>
          <t>VÄSTRA GÖTALANDS LÄN</t>
        </is>
      </c>
      <c r="G191" t="inlineStr">
        <is>
          <t>MARIESTAD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46326</v>
      </c>
      <c r="F192" t="inlineStr">
        <is>
          <t>VÄSTRA GÖTALANDS LÄN</t>
        </is>
      </c>
      <c r="G192" t="inlineStr">
        <is>
          <t>MARIESTAD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46326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44756</v>
      </c>
      <c r="E194" s="1" t="n">
        <v>46326</v>
      </c>
      <c r="F194" t="inlineStr">
        <is>
          <t>VÄSTRA GÖTALANDS LÄN</t>
        </is>
      </c>
      <c r="G194" t="inlineStr">
        <is>
          <t>MARIESTAD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46326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46326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36399-2024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45535</v>
      </c>
      <c r="E197" s="1" t="n">
        <v>46326</v>
      </c>
      <c r="F197" t="inlineStr">
        <is>
          <t>VÄSTRA GÖTALANDS LÄN</t>
        </is>
      </c>
      <c r="G197" t="inlineStr">
        <is>
          <t>MARIESTAD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46326</v>
      </c>
      <c r="F198" t="inlineStr">
        <is>
          <t>VÄSTRA GÖTALANDS LÄN</t>
        </is>
      </c>
      <c r="G198" t="inlineStr">
        <is>
          <t>MARIESTAD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46326</v>
      </c>
      <c r="F199" t="inlineStr">
        <is>
          <t>VÄSTRA GÖTALANDS LÄN</t>
        </is>
      </c>
      <c r="G199" t="inlineStr">
        <is>
          <t>MARIESTAD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45412</v>
      </c>
      <c r="E200" s="1" t="n">
        <v>46326</v>
      </c>
      <c r="F200" t="inlineStr">
        <is>
          <t>VÄSTRA GÖTALANDS LÄN</t>
        </is>
      </c>
      <c r="G200" t="inlineStr">
        <is>
          <t>MARIESTAD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46326</v>
      </c>
      <c r="F201" t="inlineStr">
        <is>
          <t>VÄSTRA GÖTALANDS LÄN</t>
        </is>
      </c>
      <c r="G201" t="inlineStr">
        <is>
          <t>MARIESTAD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46326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46326</v>
      </c>
      <c r="F203" t="inlineStr">
        <is>
          <t>VÄSTRA GÖTALANDS LÄN</t>
        </is>
      </c>
      <c r="G203" t="inlineStr">
        <is>
          <t>MARIESTAD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46326</v>
      </c>
      <c r="F204" t="inlineStr">
        <is>
          <t>VÄSTRA GÖTALANDS LÄN</t>
        </is>
      </c>
      <c r="G204" t="inlineStr">
        <is>
          <t>MARIESTAD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45530</v>
      </c>
      <c r="E205" s="1" t="n">
        <v>46326</v>
      </c>
      <c r="F205" t="inlineStr">
        <is>
          <t>VÄSTRA GÖTALANDS LÄN</t>
        </is>
      </c>
      <c r="G205" t="inlineStr">
        <is>
          <t>MARIESTAD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44572</v>
      </c>
      <c r="E206" s="1" t="n">
        <v>46326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Naturvårdsverket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46326</v>
      </c>
      <c r="F207" t="inlineStr">
        <is>
          <t>VÄSTRA GÖTALANDS LÄN</t>
        </is>
      </c>
      <c r="G207" t="inlineStr">
        <is>
          <t>MARIESTAD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46326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46326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45217</v>
      </c>
      <c r="E210" s="1" t="n">
        <v>46326</v>
      </c>
      <c r="F210" t="inlineStr">
        <is>
          <t>VÄSTRA GÖTALANDS LÄN</t>
        </is>
      </c>
      <c r="G210" t="inlineStr">
        <is>
          <t>MARIESTAD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46326</v>
      </c>
      <c r="F211" t="inlineStr">
        <is>
          <t>VÄSTRA GÖTALANDS LÄN</t>
        </is>
      </c>
      <c r="G211" t="inlineStr">
        <is>
          <t>MARIESTAD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46326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46326</v>
      </c>
      <c r="F213" t="inlineStr">
        <is>
          <t>VÄSTRA GÖTALANDS LÄN</t>
        </is>
      </c>
      <c r="G213" t="inlineStr">
        <is>
          <t>MARIESTAD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40455-2023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45170</v>
      </c>
      <c r="E214" s="1" t="n">
        <v>46326</v>
      </c>
      <c r="F214" t="inlineStr">
        <is>
          <t>VÄSTRA GÖTALANDS LÄN</t>
        </is>
      </c>
      <c r="G214" t="inlineStr">
        <is>
          <t>MARIESTAD</t>
        </is>
      </c>
      <c r="I214" t="n">
        <v>34.9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44876</v>
      </c>
      <c r="E215" s="1" t="n">
        <v>46326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58077-2022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44900</v>
      </c>
      <c r="E216" s="1" t="n">
        <v>46326</v>
      </c>
      <c r="F216" t="inlineStr">
        <is>
          <t>VÄSTRA GÖTALANDS LÄN</t>
        </is>
      </c>
      <c r="G216" t="inlineStr">
        <is>
          <t>MARIESTAD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46326</v>
      </c>
      <c r="F217" t="inlineStr">
        <is>
          <t>VÄSTRA GÖTALANDS LÄN</t>
        </is>
      </c>
      <c r="G217" t="inlineStr">
        <is>
          <t>MARIESTAD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39766-2023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45167</v>
      </c>
      <c r="E218" s="1" t="n">
        <v>46326</v>
      </c>
      <c r="F218" t="inlineStr">
        <is>
          <t>VÄSTRA GÖTALANDS LÄN</t>
        </is>
      </c>
      <c r="G218" t="inlineStr">
        <is>
          <t>MARIESTAD</t>
        </is>
      </c>
      <c r="I218" t="n">
        <v>26.5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46326</v>
      </c>
      <c r="F219" t="inlineStr">
        <is>
          <t>VÄSTRA GÖTALANDS LÄN</t>
        </is>
      </c>
      <c r="G219" t="inlineStr">
        <is>
          <t>MARIESTAD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46326</v>
      </c>
      <c r="F220" t="inlineStr">
        <is>
          <t>VÄSTRA GÖTALANDS LÄN</t>
        </is>
      </c>
      <c r="G220" t="inlineStr">
        <is>
          <t>MARIESTAD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10192-2022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46326</v>
      </c>
      <c r="F221" t="inlineStr">
        <is>
          <t>VÄSTRA GÖTALANDS LÄN</t>
        </is>
      </c>
      <c r="G221" t="inlineStr">
        <is>
          <t>MARIESTAD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45875</v>
      </c>
      <c r="E222" s="1" t="n">
        <v>46326</v>
      </c>
      <c r="F222" t="inlineStr">
        <is>
          <t>VÄSTRA GÖTALANDS LÄN</t>
        </is>
      </c>
      <c r="G222" t="inlineStr">
        <is>
          <t>MARIESTAD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45560</v>
      </c>
      <c r="E223" s="1" t="n">
        <v>46326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45516</v>
      </c>
      <c r="E224" s="1" t="n">
        <v>46326</v>
      </c>
      <c r="F224" t="inlineStr">
        <is>
          <t>VÄSTRA GÖTALANDS LÄN</t>
        </is>
      </c>
      <c r="G224" t="inlineStr">
        <is>
          <t>MARIESTAD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46326</v>
      </c>
      <c r="F225" t="inlineStr">
        <is>
          <t>VÄSTRA GÖTALANDS LÄN</t>
        </is>
      </c>
      <c r="G225" t="inlineStr">
        <is>
          <t>MARIESTAD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46326</v>
      </c>
      <c r="F226" t="inlineStr">
        <is>
          <t>VÄSTRA GÖTALANDS LÄN</t>
        </is>
      </c>
      <c r="G226" t="inlineStr">
        <is>
          <t>MARIESTAD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46326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46326</v>
      </c>
      <c r="F228" t="inlineStr">
        <is>
          <t>VÄSTRA GÖTALANDS LÄN</t>
        </is>
      </c>
      <c r="G228" t="inlineStr">
        <is>
          <t>MARIESTAD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46326</v>
      </c>
      <c r="F229" t="inlineStr">
        <is>
          <t>VÄSTRA GÖTALANDS LÄN</t>
        </is>
      </c>
      <c r="G229" t="inlineStr">
        <is>
          <t>MARIESTAD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46326</v>
      </c>
      <c r="F230" t="inlineStr">
        <is>
          <t>VÄSTRA GÖTALANDS LÄN</t>
        </is>
      </c>
      <c r="G230" t="inlineStr">
        <is>
          <t>MARIESTAD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46326</v>
      </c>
      <c r="F231" t="inlineStr">
        <is>
          <t>VÄSTRA GÖTALANDS LÄN</t>
        </is>
      </c>
      <c r="G231" t="inlineStr">
        <is>
          <t>MARIESTAD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46326</v>
      </c>
      <c r="F232" t="inlineStr">
        <is>
          <t>VÄSTRA GÖTALANDS LÄN</t>
        </is>
      </c>
      <c r="G232" t="inlineStr">
        <is>
          <t>MARIESTAD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46326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46326</v>
      </c>
      <c r="F234" t="inlineStr">
        <is>
          <t>VÄSTRA GÖTALANDS LÄN</t>
        </is>
      </c>
      <c r="G234" t="inlineStr">
        <is>
          <t>MARIESTAD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46326</v>
      </c>
      <c r="F235" t="inlineStr">
        <is>
          <t>VÄSTRA GÖTALANDS LÄN</t>
        </is>
      </c>
      <c r="G235" t="inlineStr">
        <is>
          <t>MARIESTAD</t>
        </is>
      </c>
      <c r="I235" t="n">
        <v>11.9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46326</v>
      </c>
      <c r="F236" t="inlineStr">
        <is>
          <t>VÄSTRA GÖTALANDS LÄN</t>
        </is>
      </c>
      <c r="G236" t="inlineStr">
        <is>
          <t>MARIESTAD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46326</v>
      </c>
      <c r="F237" t="inlineStr">
        <is>
          <t>VÄSTRA GÖTALANDS LÄN</t>
        </is>
      </c>
      <c r="G237" t="inlineStr">
        <is>
          <t>MARIESTAD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46326</v>
      </c>
      <c r="F238" t="inlineStr">
        <is>
          <t>VÄSTRA GÖTALANDS LÄN</t>
        </is>
      </c>
      <c r="G238" t="inlineStr">
        <is>
          <t>MARIESTAD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21361-2026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46142</v>
      </c>
      <c r="E239" s="1" t="n">
        <v>46326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44614</v>
      </c>
      <c r="E240" s="1" t="n">
        <v>46326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Kyrkan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44816</v>
      </c>
      <c r="E241" s="1" t="n">
        <v>46326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23453-2026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46326</v>
      </c>
      <c r="F242" t="inlineStr">
        <is>
          <t>VÄSTRA GÖTALANDS LÄN</t>
        </is>
      </c>
      <c r="G242" t="inlineStr">
        <is>
          <t>MARIESTAD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46326</v>
      </c>
      <c r="F243" t="inlineStr">
        <is>
          <t>VÄSTRA GÖTALANDS LÄN</t>
        </is>
      </c>
      <c r="G243" t="inlineStr">
        <is>
          <t>MARIESTAD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46326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46326</v>
      </c>
      <c r="F245" t="inlineStr">
        <is>
          <t>VÄSTRA GÖTALANDS LÄN</t>
        </is>
      </c>
      <c r="G245" t="inlineStr">
        <is>
          <t>MARIESTAD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44981</v>
      </c>
      <c r="E246" s="1" t="n">
        <v>46326</v>
      </c>
      <c r="F246" t="inlineStr">
        <is>
          <t>VÄSTRA GÖTALANDS LÄN</t>
        </is>
      </c>
      <c r="G246" t="inlineStr">
        <is>
          <t>MARIESTAD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46326</v>
      </c>
      <c r="F247" t="inlineStr">
        <is>
          <t>VÄSTRA GÖTALANDS LÄN</t>
        </is>
      </c>
      <c r="G247" t="inlineStr">
        <is>
          <t>MARIESTAD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44756</v>
      </c>
      <c r="E248" s="1" t="n">
        <v>46326</v>
      </c>
      <c r="F248" t="inlineStr">
        <is>
          <t>VÄSTRA GÖTALANDS LÄN</t>
        </is>
      </c>
      <c r="G248" t="inlineStr">
        <is>
          <t>MARIESTAD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46326</v>
      </c>
      <c r="F249" t="inlineStr">
        <is>
          <t>VÄSTRA GÖTALANDS LÄN</t>
        </is>
      </c>
      <c r="G249" t="inlineStr">
        <is>
          <t>MARIESTAD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46326</v>
      </c>
      <c r="F250" t="inlineStr">
        <is>
          <t>VÄSTRA GÖTALANDS LÄN</t>
        </is>
      </c>
      <c r="G250" t="inlineStr">
        <is>
          <t>MARIESTAD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45982</v>
      </c>
      <c r="E251" s="1" t="n">
        <v>46326</v>
      </c>
      <c r="F251" t="inlineStr">
        <is>
          <t>VÄSTRA GÖTALANDS LÄN</t>
        </is>
      </c>
      <c r="G251" t="inlineStr">
        <is>
          <t>MARIESTAD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46326</v>
      </c>
      <c r="F252" t="inlineStr">
        <is>
          <t>VÄSTRA GÖTALANDS LÄN</t>
        </is>
      </c>
      <c r="G252" t="inlineStr">
        <is>
          <t>MARIESTAD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46326</v>
      </c>
      <c r="F253" t="inlineStr">
        <is>
          <t>VÄSTRA GÖTALANDS LÄN</t>
        </is>
      </c>
      <c r="G253" t="inlineStr">
        <is>
          <t>MARIESTAD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46326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46326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46326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45200</v>
      </c>
      <c r="E257" s="1" t="n">
        <v>46326</v>
      </c>
      <c r="F257" t="inlineStr">
        <is>
          <t>VÄSTRA GÖTALANDS LÄN</t>
        </is>
      </c>
      <c r="G257" t="inlineStr">
        <is>
          <t>MARIESTAD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45590</v>
      </c>
      <c r="E258" s="1" t="n">
        <v>46326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Kyrkan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45709</v>
      </c>
      <c r="E259" s="1" t="n">
        <v>46326</v>
      </c>
      <c r="F259" t="inlineStr">
        <is>
          <t>VÄSTRA GÖTALANDS LÄN</t>
        </is>
      </c>
      <c r="G259" t="inlineStr">
        <is>
          <t>MARIESTAD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46326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46326</v>
      </c>
      <c r="F261" t="inlineStr">
        <is>
          <t>VÄSTRA GÖTALANDS LÄN</t>
        </is>
      </c>
      <c r="G261" t="inlineStr">
        <is>
          <t>MARIESTAD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46326</v>
      </c>
      <c r="F262" t="inlineStr">
        <is>
          <t>VÄSTRA GÖTALANDS LÄN</t>
        </is>
      </c>
      <c r="G262" t="inlineStr">
        <is>
          <t>MARIESTAD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65197-2023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45289</v>
      </c>
      <c r="E263" s="1" t="n">
        <v>46326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46326</v>
      </c>
      <c r="F264" t="inlineStr">
        <is>
          <t>VÄSTRA GÖTALANDS LÄN</t>
        </is>
      </c>
      <c r="G264" t="inlineStr">
        <is>
          <t>MARIESTAD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26912-2026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46185</v>
      </c>
      <c r="E265" s="1" t="n">
        <v>46326</v>
      </c>
      <c r="F265" t="inlineStr">
        <is>
          <t>VÄSTRA GÖTALANDS LÄN</t>
        </is>
      </c>
      <c r="G265" t="inlineStr">
        <is>
          <t>MARIESTAD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46326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46326</v>
      </c>
      <c r="F267" t="inlineStr">
        <is>
          <t>VÄSTRA GÖTALANDS LÄN</t>
        </is>
      </c>
      <c r="G267" t="inlineStr">
        <is>
          <t>MARIESTAD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54225-2022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46326</v>
      </c>
      <c r="F268" t="inlineStr">
        <is>
          <t>VÄSTRA GÖTALANDS LÄN</t>
        </is>
      </c>
      <c r="G268" t="inlineStr">
        <is>
          <t>MARIESTAD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46326</v>
      </c>
      <c r="F269" t="inlineStr">
        <is>
          <t>VÄSTRA GÖTALANDS LÄN</t>
        </is>
      </c>
      <c r="G269" t="inlineStr">
        <is>
          <t>MARIESTAD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45524</v>
      </c>
      <c r="E270" s="1" t="n">
        <v>46326</v>
      </c>
      <c r="F270" t="inlineStr">
        <is>
          <t>VÄSTRA GÖTALANDS LÄN</t>
        </is>
      </c>
      <c r="G270" t="inlineStr">
        <is>
          <t>MARIESTAD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74081-2021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44553</v>
      </c>
      <c r="E271" s="1" t="n">
        <v>46326</v>
      </c>
      <c r="F271" t="inlineStr">
        <is>
          <t>VÄSTRA GÖTALANDS LÄN</t>
        </is>
      </c>
      <c r="G271" t="inlineStr">
        <is>
          <t>MARIESTAD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45590</v>
      </c>
      <c r="E272" s="1" t="n">
        <v>46326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13798-2022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44649</v>
      </c>
      <c r="E273" s="1" t="n">
        <v>46326</v>
      </c>
      <c r="F273" t="inlineStr">
        <is>
          <t>VÄSTRA GÖTALANDS LÄN</t>
        </is>
      </c>
      <c r="G273" t="inlineStr">
        <is>
          <t>MARIESTAD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9610-2022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44617</v>
      </c>
      <c r="E274" s="1" t="n">
        <v>46326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Kyrkan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46326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46326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46326</v>
      </c>
      <c r="F277" t="inlineStr">
        <is>
          <t>VÄSTRA GÖTALANDS LÄN</t>
        </is>
      </c>
      <c r="G277" t="inlineStr">
        <is>
          <t>MARIESTAD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46326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46326</v>
      </c>
      <c r="F279" t="inlineStr">
        <is>
          <t>VÄSTRA GÖTALANDS LÄN</t>
        </is>
      </c>
      <c r="G279" t="inlineStr">
        <is>
          <t>MARIESTAD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46326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46326</v>
      </c>
      <c r="F281" t="inlineStr">
        <is>
          <t>VÄSTRA GÖTALANDS LÄN</t>
        </is>
      </c>
      <c r="G281" t="inlineStr">
        <is>
          <t>MARIESTAD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46326</v>
      </c>
      <c r="F282" t="inlineStr">
        <is>
          <t>VÄSTRA GÖTALANDS LÄN</t>
        </is>
      </c>
      <c r="G282" t="inlineStr">
        <is>
          <t>MARIESTAD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46326</v>
      </c>
      <c r="F283" t="inlineStr">
        <is>
          <t>VÄSTRA GÖTALANDS LÄN</t>
        </is>
      </c>
      <c r="G283" t="inlineStr">
        <is>
          <t>MARIESTAD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46326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45590</v>
      </c>
      <c r="E285" s="1" t="n">
        <v>46326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46326</v>
      </c>
      <c r="F286" t="inlineStr">
        <is>
          <t>VÄSTRA GÖTALANDS LÄN</t>
        </is>
      </c>
      <c r="G286" t="inlineStr">
        <is>
          <t>MARIESTAD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46326</v>
      </c>
      <c r="F287" t="inlineStr">
        <is>
          <t>VÄSTRA GÖTALANDS LÄN</t>
        </is>
      </c>
      <c r="G287" t="inlineStr">
        <is>
          <t>MARIESTAD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44999</v>
      </c>
      <c r="E288" s="1" t="n">
        <v>46326</v>
      </c>
      <c r="F288" t="inlineStr">
        <is>
          <t>VÄSTRA GÖTALANDS LÄN</t>
        </is>
      </c>
      <c r="G288" t="inlineStr">
        <is>
          <t>MARIESTAD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45200</v>
      </c>
      <c r="E289" s="1" t="n">
        <v>46326</v>
      </c>
      <c r="F289" t="inlineStr">
        <is>
          <t>VÄSTRA GÖTALANDS LÄN</t>
        </is>
      </c>
      <c r="G289" t="inlineStr">
        <is>
          <t>MARIESTAD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45528</v>
      </c>
      <c r="E290" s="1" t="n">
        <v>46326</v>
      </c>
      <c r="F290" t="inlineStr">
        <is>
          <t>VÄSTRA GÖTALANDS LÄN</t>
        </is>
      </c>
      <c r="G290" t="inlineStr">
        <is>
          <t>MARIESTAD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46326</v>
      </c>
      <c r="F291" t="inlineStr">
        <is>
          <t>VÄSTRA GÖTALANDS LÄN</t>
        </is>
      </c>
      <c r="G291" t="inlineStr">
        <is>
          <t>MARIESTAD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44848</v>
      </c>
      <c r="E292" s="1" t="n">
        <v>46326</v>
      </c>
      <c r="F292" t="inlineStr">
        <is>
          <t>VÄSTRA GÖTALANDS LÄN</t>
        </is>
      </c>
      <c r="G292" t="inlineStr">
        <is>
          <t>MARIESTAD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60812-2023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45260</v>
      </c>
      <c r="E293" s="1" t="n">
        <v>46326</v>
      </c>
      <c r="F293" t="inlineStr">
        <is>
          <t>VÄSTRA GÖTALANDS LÄN</t>
        </is>
      </c>
      <c r="G293" t="inlineStr">
        <is>
          <t>MARIESTAD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46326</v>
      </c>
      <c r="F294" t="inlineStr">
        <is>
          <t>VÄSTRA GÖTALANDS LÄN</t>
        </is>
      </c>
      <c r="G294" t="inlineStr">
        <is>
          <t>MARIESTAD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46326</v>
      </c>
      <c r="F295" t="inlineStr">
        <is>
          <t>VÄSTRA GÖTALANDS LÄN</t>
        </is>
      </c>
      <c r="G295" t="inlineStr">
        <is>
          <t>MARIESTAD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44746</v>
      </c>
      <c r="E296" s="1" t="n">
        <v>46326</v>
      </c>
      <c r="F296" t="inlineStr">
        <is>
          <t>VÄSTRA GÖTALANDS LÄN</t>
        </is>
      </c>
      <c r="G296" t="inlineStr">
        <is>
          <t>MARIESTAD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45516</v>
      </c>
      <c r="E297" s="1" t="n">
        <v>46326</v>
      </c>
      <c r="F297" t="inlineStr">
        <is>
          <t>VÄSTRA GÖTALANDS LÄN</t>
        </is>
      </c>
      <c r="G297" t="inlineStr">
        <is>
          <t>MARIESTAD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45674</v>
      </c>
      <c r="E298" s="1" t="n">
        <v>46326</v>
      </c>
      <c r="F298" t="inlineStr">
        <is>
          <t>VÄSTRA GÖTALANDS LÄN</t>
        </is>
      </c>
      <c r="G298" t="inlineStr">
        <is>
          <t>MARIESTAD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46326</v>
      </c>
      <c r="F299" t="inlineStr">
        <is>
          <t>VÄSTRA GÖTALANDS LÄN</t>
        </is>
      </c>
      <c r="G299" t="inlineStr">
        <is>
          <t>MARIESTAD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46326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61603-2023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45265</v>
      </c>
      <c r="E301" s="1" t="n">
        <v>46326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39286-2026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46288</v>
      </c>
      <c r="E302" s="1" t="n">
        <v>46326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46326</v>
      </c>
      <c r="F303" t="inlineStr">
        <is>
          <t>VÄSTRA GÖTALANDS LÄN</t>
        </is>
      </c>
      <c r="G303" t="inlineStr">
        <is>
          <t>MARIESTAD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46326</v>
      </c>
      <c r="F304" t="inlineStr">
        <is>
          <t>VÄSTRA GÖTALANDS LÄN</t>
        </is>
      </c>
      <c r="G304" t="inlineStr">
        <is>
          <t>MARIESTAD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45299</v>
      </c>
      <c r="E305" s="1" t="n">
        <v>46326</v>
      </c>
      <c r="F305" t="inlineStr">
        <is>
          <t>VÄSTRA GÖTALANDS LÄN</t>
        </is>
      </c>
      <c r="G305" t="inlineStr">
        <is>
          <t>MARIESTAD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46326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46326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Kyrkan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46326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46326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46326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46326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46326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46326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45684</v>
      </c>
      <c r="E314" s="1" t="n">
        <v>46326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46326</v>
      </c>
      <c r="F315" t="inlineStr">
        <is>
          <t>VÄSTRA GÖTALANDS LÄN</t>
        </is>
      </c>
      <c r="G315" t="inlineStr">
        <is>
          <t>MARIESTAD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45307</v>
      </c>
      <c r="E316" s="1" t="n">
        <v>46326</v>
      </c>
      <c r="F316" t="inlineStr">
        <is>
          <t>VÄSTRA GÖTALANDS LÄN</t>
        </is>
      </c>
      <c r="G316" t="inlineStr">
        <is>
          <t>MARIESTAD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46326</v>
      </c>
      <c r="F317" t="inlineStr">
        <is>
          <t>VÄSTRA GÖTALANDS LÄN</t>
        </is>
      </c>
      <c r="G317" t="inlineStr">
        <is>
          <t>MARIESTAD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46326</v>
      </c>
      <c r="F318" t="inlineStr">
        <is>
          <t>VÄSTRA GÖTALANDS LÄN</t>
        </is>
      </c>
      <c r="G318" t="inlineStr">
        <is>
          <t>MARIESTAD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45545</v>
      </c>
      <c r="E319" s="1" t="n">
        <v>46326</v>
      </c>
      <c r="F319" t="inlineStr">
        <is>
          <t>VÄSTRA GÖTALANDS LÄN</t>
        </is>
      </c>
      <c r="G319" t="inlineStr">
        <is>
          <t>MARIESTAD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46293</v>
      </c>
      <c r="E320" s="1" t="n">
        <v>46326</v>
      </c>
      <c r="F320" t="inlineStr">
        <is>
          <t>VÄSTRA GÖTALANDS LÄN</t>
        </is>
      </c>
      <c r="G320" t="inlineStr">
        <is>
          <t>MARIESTAD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66772-2021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44521</v>
      </c>
      <c r="E321" s="1" t="n">
        <v>46326</v>
      </c>
      <c r="F321" t="inlineStr">
        <is>
          <t>VÄSTRA GÖTALANDS LÄN</t>
        </is>
      </c>
      <c r="G321" t="inlineStr">
        <is>
          <t>MARIESTAD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45705</v>
      </c>
      <c r="E322" s="1" t="n">
        <v>46326</v>
      </c>
      <c r="F322" t="inlineStr">
        <is>
          <t>VÄSTRA GÖTALANDS LÄN</t>
        </is>
      </c>
      <c r="G322" t="inlineStr">
        <is>
          <t>MARIESTAD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45616</v>
      </c>
      <c r="E323" s="1" t="n">
        <v>46326</v>
      </c>
      <c r="F323" t="inlineStr">
        <is>
          <t>VÄSTRA GÖTALANDS LÄN</t>
        </is>
      </c>
      <c r="G323" t="inlineStr">
        <is>
          <t>MARIESTAD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49385-2023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45211</v>
      </c>
      <c r="E324" s="1" t="n">
        <v>46326</v>
      </c>
      <c r="F324" t="inlineStr">
        <is>
          <t>VÄSTRA GÖTALANDS LÄN</t>
        </is>
      </c>
      <c r="G324" t="inlineStr">
        <is>
          <t>MARIESTAD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45728</v>
      </c>
      <c r="E325" s="1" t="n">
        <v>46326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46326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45709</v>
      </c>
      <c r="E327" s="1" t="n">
        <v>46326</v>
      </c>
      <c r="F327" t="inlineStr">
        <is>
          <t>VÄSTRA GÖTALANDS LÄN</t>
        </is>
      </c>
      <c r="G327" t="inlineStr">
        <is>
          <t>MARIESTAD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45790</v>
      </c>
      <c r="E328" s="1" t="n">
        <v>46326</v>
      </c>
      <c r="F328" t="inlineStr">
        <is>
          <t>VÄSTRA GÖTALANDS LÄN</t>
        </is>
      </c>
      <c r="G328" t="inlineStr">
        <is>
          <t>MARIESTAD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46326</v>
      </c>
      <c r="F329" t="inlineStr">
        <is>
          <t>VÄSTRA GÖTALANDS LÄN</t>
        </is>
      </c>
      <c r="G329" t="inlineStr">
        <is>
          <t>MARIESTAD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46326</v>
      </c>
      <c r="F330" t="inlineStr">
        <is>
          <t>VÄSTRA GÖTALANDS LÄN</t>
        </is>
      </c>
      <c r="G330" t="inlineStr">
        <is>
          <t>MARIESTAD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45610</v>
      </c>
      <c r="E331" s="1" t="n">
        <v>46326</v>
      </c>
      <c r="F331" t="inlineStr">
        <is>
          <t>VÄSTRA GÖTALANDS LÄN</t>
        </is>
      </c>
      <c r="G331" t="inlineStr">
        <is>
          <t>MARIESTAD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45600</v>
      </c>
      <c r="E332" s="1" t="n">
        <v>46326</v>
      </c>
      <c r="F332" t="inlineStr">
        <is>
          <t>VÄSTRA GÖTALANDS LÄN</t>
        </is>
      </c>
      <c r="G332" t="inlineStr">
        <is>
          <t>MARIESTAD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46326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46326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46326</v>
      </c>
      <c r="F335" t="inlineStr">
        <is>
          <t>VÄSTRA GÖTALANDS LÄN</t>
        </is>
      </c>
      <c r="G335" t="inlineStr">
        <is>
          <t>MARIESTAD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46300</v>
      </c>
      <c r="E336" s="1" t="n">
        <v>46326</v>
      </c>
      <c r="F336" t="inlineStr">
        <is>
          <t>VÄSTRA GÖTALANDS LÄN</t>
        </is>
      </c>
      <c r="G336" t="inlineStr">
        <is>
          <t>MARIESTAD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46300</v>
      </c>
      <c r="E337" s="1" t="n">
        <v>46326</v>
      </c>
      <c r="F337" t="inlineStr">
        <is>
          <t>VÄSTRA GÖTALANDS LÄN</t>
        </is>
      </c>
      <c r="G337" t="inlineStr">
        <is>
          <t>MARIESTAD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46326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46326</v>
      </c>
      <c r="F339" t="inlineStr">
        <is>
          <t>VÄSTRA GÖTALANDS LÄN</t>
        </is>
      </c>
      <c r="G339" t="inlineStr">
        <is>
          <t>MARIESTAD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46326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46261</v>
      </c>
      <c r="E341" s="1" t="n">
        <v>46326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46262</v>
      </c>
      <c r="E342" s="1" t="n">
        <v>46326</v>
      </c>
      <c r="F342" t="inlineStr">
        <is>
          <t>VÄSTRA GÖTALANDS LÄN</t>
        </is>
      </c>
      <c r="G342" t="inlineStr">
        <is>
          <t>MARIESTAD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46262</v>
      </c>
      <c r="E343" s="1" t="n">
        <v>46326</v>
      </c>
      <c r="F343" t="inlineStr">
        <is>
          <t>VÄSTRA GÖTALANDS LÄN</t>
        </is>
      </c>
      <c r="G343" t="inlineStr">
        <is>
          <t>MARIESTAD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44943</v>
      </c>
      <c r="E344" s="1" t="n">
        <v>46326</v>
      </c>
      <c r="F344" t="inlineStr">
        <is>
          <t>VÄSTRA GÖTALANDS LÄN</t>
        </is>
      </c>
      <c r="G344" t="inlineStr">
        <is>
          <t>MARIESTAD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46326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46326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4868-2024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45618</v>
      </c>
      <c r="E347" s="1" t="n">
        <v>46326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1204-2025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45757</v>
      </c>
      <c r="E348" s="1" t="n">
        <v>46326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359-2026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46064</v>
      </c>
      <c r="E349" s="1" t="n">
        <v>46326</v>
      </c>
      <c r="F349" t="inlineStr">
        <is>
          <t>VÄSTRA GÖTALANDS LÄN</t>
        </is>
      </c>
      <c r="G349" t="inlineStr">
        <is>
          <t>MARIESTAD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2026-10-31T03:26:19Z</dcterms:created>
  <dcterms:modified xmlns:dcterms="http://purl.org/dc/terms/" xmlns:xsi="http://www.w3.org/2001/XMLSchema-instance" xsi:type="dcterms:W3CDTF">2026-10-31T03:26:19Z</dcterms:modified>
</cp:coreProperties>
</file>