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46317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46317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46317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46317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46317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46317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46317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46317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46317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46317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46317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46317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46317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46317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46317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46317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46317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27444-2023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45097</v>
      </c>
      <c r="E19" s="1" t="n">
        <v>46317</v>
      </c>
      <c r="F19" t="inlineStr">
        <is>
          <t>VÄSTRA GÖTALANDS LÄN</t>
        </is>
      </c>
      <c r="G19" t="inlineStr">
        <is>
          <t>MARIESTAD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Svinrot
Gullviva</t>
        </is>
      </c>
      <c r="W19">
        <f>HYPERLINK("https://klasma.github.io/Logging_1493/artfynd/A 27444-2023 artfynd.xlsx", "A 27444-2023")</f>
        <v/>
      </c>
      <c r="X19">
        <f>HYPERLINK("https://klasma.github.io/Logging_1493/kartor/A 27444-2023 karta.png", "A 27444-2023")</f>
        <v/>
      </c>
      <c r="Y19">
        <f>HYPERLINK("https://klasma.github.io/Logging_1493/kartor_geotiff/A 27444-2023 georefererad karta.tif", "A 27444-2023")</f>
        <v/>
      </c>
      <c r="AA19">
        <f>HYPERLINK("https://klasma.github.io/Logging_1493/klagomål/A 27444-2023 FSC-klagomål.docx", "A 27444-2023")</f>
        <v/>
      </c>
      <c r="AB19">
        <f>HYPERLINK("https://klasma.github.io/Logging_1493/klagomålsmail/A 27444-2023 FSC-klagomål mail.docx", "A 27444-2023")</f>
        <v/>
      </c>
      <c r="AC19">
        <f>HYPERLINK("https://klasma.github.io/Logging_1493/tillsyn/A 27444-2023 tillsynsbegäran.docx", "A 27444-2023")</f>
        <v/>
      </c>
      <c r="AD19">
        <f>HYPERLINK("https://klasma.github.io/Logging_1493/tillsynsmail/A 27444-2023 tillsynsbegäran mail.docx", "A 27444-2023")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46317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46317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46317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9650-2025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46317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Sveaskog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HYPERLINK("https://klasma.github.io/Logging_1493/artfynd/A 9650-2025 artfynd.xlsx", "A 9650-2025")</f>
        <v/>
      </c>
      <c r="X23">
        <f>HYPERLINK("https://klasma.github.io/Logging_1493/kartor/A 9650-2025 karta.png", "A 9650-2025")</f>
        <v/>
      </c>
      <c r="Y23">
        <f>HYPERLINK("https://klasma.github.io/Logging_1493/kartor_geotiff/A 9650-2025 georefererad karta.tif", "A 9650-2025")</f>
        <v/>
      </c>
      <c r="AA23">
        <f>HYPERLINK("https://klasma.github.io/Logging_1493/klagomål/A 9650-2025 FSC-klagomål.docx", "A 9650-2025")</f>
        <v/>
      </c>
      <c r="AB23">
        <f>HYPERLINK("https://klasma.github.io/Logging_1493/klagomålsmail/A 9650-2025 FSC-klagomål mail.docx", "A 9650-2025")</f>
        <v/>
      </c>
      <c r="AC23">
        <f>HYPERLINK("https://klasma.github.io/Logging_1493/tillsyn/A 9650-2025 tillsynsbegäran.docx", "A 9650-2025")</f>
        <v/>
      </c>
      <c r="AD23">
        <f>HYPERLINK("https://klasma.github.io/Logging_1493/tillsynsmail/A 9650-2025 tillsynsbegäran mail.docx", "A 9650-2025")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46317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46317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46317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46317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49233-2023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45210</v>
      </c>
      <c r="E28" s="1" t="n">
        <v>46317</v>
      </c>
      <c r="F28" t="inlineStr">
        <is>
          <t>VÄSTRA GÖTALANDS LÄN</t>
        </is>
      </c>
      <c r="G28" t="inlineStr">
        <is>
          <t>MARIESTAD</t>
        </is>
      </c>
      <c r="I28" t="n">
        <v>6.1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Lönnlav</t>
        </is>
      </c>
      <c r="W28">
        <f>HYPERLINK("https://klasma.github.io/Logging_1493/artfynd/A 49233-2023 artfynd.xlsx", "A 49233-2023")</f>
        <v/>
      </c>
      <c r="X28">
        <f>HYPERLINK("https://klasma.github.io/Logging_1493/kartor/A 49233-2023 karta.png", "A 49233-2023")</f>
        <v/>
      </c>
      <c r="Y28">
        <f>HYPERLINK("https://klasma.github.io/Logging_1493/kartor_geotiff/A 49233-2023 georefererad karta.tif", "A 49233-2023")</f>
        <v/>
      </c>
      <c r="AA28">
        <f>HYPERLINK("https://klasma.github.io/Logging_1493/klagomål/A 49233-2023 FSC-klagomål.docx", "A 49233-2023")</f>
        <v/>
      </c>
      <c r="AB28">
        <f>HYPERLINK("https://klasma.github.io/Logging_1493/klagomålsmail/A 49233-2023 FSC-klagomål mail.docx", "A 49233-2023")</f>
        <v/>
      </c>
      <c r="AC28">
        <f>HYPERLINK("https://klasma.github.io/Logging_1493/tillsyn/A 49233-2023 tillsynsbegäran.docx", "A 49233-2023")</f>
        <v/>
      </c>
      <c r="AD28">
        <f>HYPERLINK("https://klasma.github.io/Logging_1493/tillsynsmail/A 49233-2023 tillsynsbegäran mail.docx", "A 49233-2023")</f>
        <v/>
      </c>
    </row>
    <row r="29" ht="15" customHeight="1">
      <c r="A29" t="inlineStr">
        <is>
          <t>A 38580-2023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46317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Kommuner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1</v>
      </c>
      <c r="V29" s="2" t="inlineStr">
        <is>
          <t>Nattviol</t>
        </is>
      </c>
      <c r="W29">
        <f>HYPERLINK("https://klasma.github.io/Logging_1493/artfynd/A 38580-2023 artfynd.xlsx", "A 38580-2023")</f>
        <v/>
      </c>
      <c r="X29">
        <f>HYPERLINK("https://klasma.github.io/Logging_1493/kartor/A 38580-2023 karta.png", "A 38580-2023")</f>
        <v/>
      </c>
      <c r="Y29">
        <f>HYPERLINK("https://klasma.github.io/Logging_1493/kartor_geotiff/A 38580-2023 georefererad karta.tif", "A 38580-2023")</f>
        <v/>
      </c>
      <c r="AA29">
        <f>HYPERLINK("https://klasma.github.io/Logging_1493/klagomål/A 38580-2023 FSC-klagomål.docx", "A 38580-2023")</f>
        <v/>
      </c>
      <c r="AB29">
        <f>HYPERLINK("https://klasma.github.io/Logging_1493/klagomålsmail/A 38580-2023 FSC-klagomål mail.docx", "A 38580-2023")</f>
        <v/>
      </c>
      <c r="AC29">
        <f>HYPERLINK("https://klasma.github.io/Logging_1493/tillsyn/A 38580-2023 tillsynsbegäran.docx", "A 38580-2023")</f>
        <v/>
      </c>
      <c r="AD29">
        <f>HYPERLINK("https://klasma.github.io/Logging_1493/tillsynsmail/A 38580-2023 tillsynsbegäran mail.docx", "A 38580-2023")</f>
        <v/>
      </c>
    </row>
    <row r="30" ht="15" customHeight="1">
      <c r="A30" t="inlineStr">
        <is>
          <t>A 18176-2025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46317</v>
      </c>
      <c r="F30" t="inlineStr">
        <is>
          <t>VÄSTRA GÖTALANDS LÄN</t>
        </is>
      </c>
      <c r="G30" t="inlineStr">
        <is>
          <t>MARIESTAD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HYPERLINK("https://klasma.github.io/Logging_1493/artfynd/A 18176-2025 artfynd.xlsx", "A 18176-2025")</f>
        <v/>
      </c>
      <c r="X30">
        <f>HYPERLINK("https://klasma.github.io/Logging_1493/kartor/A 18176-2025 karta.png", "A 18176-2025")</f>
        <v/>
      </c>
      <c r="Y30">
        <f>HYPERLINK("https://klasma.github.io/Logging_1493/kartor_geotiff/A 18176-2025 georefererad karta.tif", "A 18176-2025")</f>
        <v/>
      </c>
      <c r="AA30">
        <f>HYPERLINK("https://klasma.github.io/Logging_1493/klagomål/A 18176-2025 FSC-klagomål.docx", "A 18176-2025")</f>
        <v/>
      </c>
      <c r="AB30">
        <f>HYPERLINK("https://klasma.github.io/Logging_1493/klagomålsmail/A 18176-2025 FSC-klagomål mail.docx", "A 18176-2025")</f>
        <v/>
      </c>
      <c r="AC30">
        <f>HYPERLINK("https://klasma.github.io/Logging_1493/tillsyn/A 18176-2025 tillsynsbegäran.docx", "A 18176-2025")</f>
        <v/>
      </c>
      <c r="AD30">
        <f>HYPERLINK("https://klasma.github.io/Logging_1493/tillsynsmail/A 18176-2025 tillsynsbegäran mail.docx", "A 18176-2025")</f>
        <v/>
      </c>
    </row>
    <row r="31" ht="15" customHeight="1">
      <c r="A31" t="inlineStr">
        <is>
          <t>A 7612-2023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46317</v>
      </c>
      <c r="F31" t="inlineStr">
        <is>
          <t>VÄSTRA GÖTALANDS LÄN</t>
        </is>
      </c>
      <c r="G31" t="inlineStr">
        <is>
          <t>MARIESTAD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Skogsödla</t>
        </is>
      </c>
      <c r="W31">
        <f>HYPERLINK("https://klasma.github.io/Logging_1493/artfynd/A 7612-2023 artfynd.xlsx", "A 7612-2023")</f>
        <v/>
      </c>
      <c r="X31">
        <f>HYPERLINK("https://klasma.github.io/Logging_1493/kartor/A 7612-2023 karta.png", "A 7612-2023")</f>
        <v/>
      </c>
      <c r="Y31">
        <f>HYPERLINK("https://klasma.github.io/Logging_1493/kartor_geotiff/A 7612-2023 georefererad karta.tif", "A 7612-2023")</f>
        <v/>
      </c>
      <c r="AA31">
        <f>HYPERLINK("https://klasma.github.io/Logging_1493/klagomål/A 7612-2023 FSC-klagomål.docx", "A 7612-2023")</f>
        <v/>
      </c>
      <c r="AB31">
        <f>HYPERLINK("https://klasma.github.io/Logging_1493/klagomålsmail/A 7612-2023 FSC-klagomål mail.docx", "A 7612-2023")</f>
        <v/>
      </c>
      <c r="AC31">
        <f>HYPERLINK("https://klasma.github.io/Logging_1493/tillsyn/A 7612-2023 tillsynsbegäran.docx", "A 7612-2023")</f>
        <v/>
      </c>
      <c r="AD31">
        <f>HYPERLINK("https://klasma.github.io/Logging_1493/tillsynsmail/A 7612-2023 tillsynsbegäran mail.docx", "A 7612-2023")</f>
        <v/>
      </c>
    </row>
    <row r="32" ht="15" customHeight="1">
      <c r="A32" t="inlineStr">
        <is>
          <t>A 30652-2023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46317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2.6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30652-2023 artfynd.xlsx", "A 30652-2023")</f>
        <v/>
      </c>
      <c r="X32">
        <f>HYPERLINK("https://klasma.github.io/Logging_1493/kartor/A 30652-2023 karta.png", "A 30652-2023")</f>
        <v/>
      </c>
      <c r="Y32">
        <f>HYPERLINK("https://klasma.github.io/Logging_1493/kartor_geotiff/A 30652-2023 georefererad karta.tif", "A 30652-2023")</f>
        <v/>
      </c>
      <c r="AA32">
        <f>HYPERLINK("https://klasma.github.io/Logging_1493/klagomål/A 30652-2023 FSC-klagomål.docx", "A 30652-2023")</f>
        <v/>
      </c>
      <c r="AB32">
        <f>HYPERLINK("https://klasma.github.io/Logging_1493/klagomålsmail/A 30652-2023 FSC-klagomål mail.docx", "A 30652-2023")</f>
        <v/>
      </c>
      <c r="AC32">
        <f>HYPERLINK("https://klasma.github.io/Logging_1493/tillsyn/A 30652-2023 tillsynsbegäran.docx", "A 30652-2023")</f>
        <v/>
      </c>
      <c r="AD32">
        <f>HYPERLINK("https://klasma.github.io/Logging_1493/tillsynsmail/A 30652-2023 tillsynsbegäran mail.docx", "A 30652-2023")</f>
        <v/>
      </c>
    </row>
    <row r="33" ht="15" customHeight="1">
      <c r="A33" t="inlineStr">
        <is>
          <t>A 15052-2023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46317</v>
      </c>
      <c r="F33" t="inlineStr">
        <is>
          <t>VÄSTRA GÖTALANDS LÄN</t>
        </is>
      </c>
      <c r="G33" t="inlineStr">
        <is>
          <t>MARIESTAD</t>
        </is>
      </c>
      <c r="I33" t="n">
        <v>15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HYPERLINK("https://klasma.github.io/Logging_1493/artfynd/A 15052-2023 artfynd.xlsx", "A 15052-2023")</f>
        <v/>
      </c>
      <c r="X33">
        <f>HYPERLINK("https://klasma.github.io/Logging_1493/kartor/A 15052-2023 karta.png", "A 15052-2023")</f>
        <v/>
      </c>
      <c r="Y33">
        <f>HYPERLINK("https://klasma.github.io/Logging_1493/kartor_geotiff/A 15052-2023 georefererad karta.tif", "A 15052-2023")</f>
        <v/>
      </c>
      <c r="AA33">
        <f>HYPERLINK("https://klasma.github.io/Logging_1493/klagomål/A 15052-2023 FSC-klagomål.docx", "A 15052-2023")</f>
        <v/>
      </c>
      <c r="AB33">
        <f>HYPERLINK("https://klasma.github.io/Logging_1493/klagomålsmail/A 15052-2023 FSC-klagomål mail.docx", "A 15052-2023")</f>
        <v/>
      </c>
      <c r="AC33">
        <f>HYPERLINK("https://klasma.github.io/Logging_1493/tillsyn/A 15052-2023 tillsynsbegäran.docx", "A 15052-2023")</f>
        <v/>
      </c>
      <c r="AD33">
        <f>HYPERLINK("https://klasma.github.io/Logging_1493/tillsynsmail/A 15052-2023 tillsynsbegäran mail.docx", "A 15052-2023")</f>
        <v/>
      </c>
      <c r="AE33">
        <f>HYPERLINK("https://klasma.github.io/Logging_1493/fåglar/A 15052-2023 prioriterade fågelarter.docx", "A 15052-2023")</f>
        <v/>
      </c>
    </row>
    <row r="34" ht="15" customHeight="1">
      <c r="A34" t="inlineStr">
        <is>
          <t>A 17272-2023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46317</v>
      </c>
      <c r="F34" t="inlineStr">
        <is>
          <t>VÄSTRA GÖTALANDS LÄN</t>
        </is>
      </c>
      <c r="G34" t="inlineStr">
        <is>
          <t>MARIESTAD</t>
        </is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HYPERLINK("https://klasma.github.io/Logging_1493/artfynd/A 17272-2023 artfynd.xlsx", "A 17272-2023")</f>
        <v/>
      </c>
      <c r="X34">
        <f>HYPERLINK("https://klasma.github.io/Logging_1493/kartor/A 17272-2023 karta.png", "A 17272-2023")</f>
        <v/>
      </c>
      <c r="Y34">
        <f>HYPERLINK("https://klasma.github.io/Logging_1493/kartor_geotiff/A 17272-2023 georefererad karta.tif", "A 17272-2023")</f>
        <v/>
      </c>
      <c r="AA34">
        <f>HYPERLINK("https://klasma.github.io/Logging_1493/klagomål/A 17272-2023 FSC-klagomål.docx", "A 17272-2023")</f>
        <v/>
      </c>
      <c r="AB34">
        <f>HYPERLINK("https://klasma.github.io/Logging_1493/klagomålsmail/A 17272-2023 FSC-klagomål mail.docx", "A 17272-2023")</f>
        <v/>
      </c>
      <c r="AC34">
        <f>HYPERLINK("https://klasma.github.io/Logging_1493/tillsyn/A 17272-2023 tillsynsbegäran.docx", "A 17272-2023")</f>
        <v/>
      </c>
      <c r="AD34">
        <f>HYPERLINK("https://klasma.github.io/Logging_1493/tillsynsmail/A 17272-2023 tillsynsbegäran mail.docx", "A 17272-2023")</f>
        <v/>
      </c>
    </row>
    <row r="35" ht="15" customHeight="1">
      <c r="A35" t="inlineStr">
        <is>
          <t>A 20438-2024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45435</v>
      </c>
      <c r="E35" s="1" t="n">
        <v>46317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Griffelblomfluga</t>
        </is>
      </c>
      <c r="W35">
        <f>HYPERLINK("https://klasma.github.io/Logging_1493/artfynd/A 20438-2024 artfynd.xlsx", "A 20438-2024")</f>
        <v/>
      </c>
      <c r="X35">
        <f>HYPERLINK("https://klasma.github.io/Logging_1493/kartor/A 20438-2024 karta.png", "A 20438-2024")</f>
        <v/>
      </c>
      <c r="Y35">
        <f>HYPERLINK("https://klasma.github.io/Logging_1493/kartor_geotiff/A 20438-2024 georefererad karta.tif", "A 20438-2024")</f>
        <v/>
      </c>
      <c r="AA35">
        <f>HYPERLINK("https://klasma.github.io/Logging_1493/klagomål/A 20438-2024 FSC-klagomål.docx", "A 20438-2024")</f>
        <v/>
      </c>
      <c r="AB35">
        <f>HYPERLINK("https://klasma.github.io/Logging_1493/klagomålsmail/A 20438-2024 FSC-klagomål mail.docx", "A 20438-2024")</f>
        <v/>
      </c>
      <c r="AC35">
        <f>HYPERLINK("https://klasma.github.io/Logging_1493/tillsyn/A 20438-2024 tillsynsbegäran.docx", "A 20438-2024")</f>
        <v/>
      </c>
      <c r="AD35">
        <f>HYPERLINK("https://klasma.github.io/Logging_1493/tillsynsmail/A 20438-2024 tillsynsbegäran mail.docx", "A 20438-2024")</f>
        <v/>
      </c>
    </row>
    <row r="36" ht="15" customHeight="1">
      <c r="A36" t="inlineStr">
        <is>
          <t>A 42647-2023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46317</v>
      </c>
      <c r="F36" t="inlineStr">
        <is>
          <t>VÄSTRA GÖTALANDS LÄN</t>
        </is>
      </c>
      <c r="G36" t="inlineStr">
        <is>
          <t>MARIESTAD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Ärtsångare</t>
        </is>
      </c>
      <c r="W36">
        <f>HYPERLINK("https://klasma.github.io/Logging_1493/artfynd/A 42647-2023 artfynd.xlsx", "A 42647-2023")</f>
        <v/>
      </c>
      <c r="X36">
        <f>HYPERLINK("https://klasma.github.io/Logging_1493/kartor/A 42647-2023 karta.png", "A 42647-2023")</f>
        <v/>
      </c>
      <c r="Y36">
        <f>HYPERLINK("https://klasma.github.io/Logging_1493/kartor_geotiff/A 42647-2023 georefererad karta.tif", "A 42647-2023")</f>
        <v/>
      </c>
      <c r="AA36">
        <f>HYPERLINK("https://klasma.github.io/Logging_1493/klagomål/A 42647-2023 FSC-klagomål.docx", "A 42647-2023")</f>
        <v/>
      </c>
      <c r="AB36">
        <f>HYPERLINK("https://klasma.github.io/Logging_1493/klagomålsmail/A 42647-2023 FSC-klagomål mail.docx", "A 42647-2023")</f>
        <v/>
      </c>
      <c r="AC36">
        <f>HYPERLINK("https://klasma.github.io/Logging_1493/tillsyn/A 42647-2023 tillsynsbegäran.docx", "A 42647-2023")</f>
        <v/>
      </c>
      <c r="AD36">
        <f>HYPERLINK("https://klasma.github.io/Logging_1493/tillsynsmail/A 42647-2023 tillsynsbegäran mail.docx", "A 42647-2023")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46317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46317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46317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46317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46317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46317</v>
      </c>
      <c r="F43" t="inlineStr">
        <is>
          <t>VÄSTRA GÖTALANDS LÄN</t>
        </is>
      </c>
      <c r="G43" t="inlineStr">
        <is>
          <t>MARIESTAD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46317</v>
      </c>
      <c r="F44" t="inlineStr">
        <is>
          <t>VÄSTRA GÖTALANDS LÄN</t>
        </is>
      </c>
      <c r="G44" t="inlineStr">
        <is>
          <t>MARIESTAD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46317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46317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46317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46317</v>
      </c>
      <c r="F48" t="inlineStr">
        <is>
          <t>VÄSTRA GÖTALANDS LÄN</t>
        </is>
      </c>
      <c r="G48" t="inlineStr">
        <is>
          <t>MARIESTAD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46317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46317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46317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46317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46317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46317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46317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46317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46317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46317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46317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46317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46317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8471-2025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46317</v>
      </c>
      <c r="F62" t="inlineStr">
        <is>
          <t>VÄSTRA GÖTALANDS LÄN</t>
        </is>
      </c>
      <c r="G62" t="inlineStr">
        <is>
          <t>MARIESTAD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45343</v>
      </c>
      <c r="E63" s="1" t="n">
        <v>46317</v>
      </c>
      <c r="F63" t="inlineStr">
        <is>
          <t>VÄSTRA GÖTALANDS LÄN</t>
        </is>
      </c>
      <c r="G63" t="inlineStr">
        <is>
          <t>MARIESTAD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46317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46317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46317</v>
      </c>
      <c r="F66" t="inlineStr">
        <is>
          <t>VÄSTRA GÖTALANDS LÄN</t>
        </is>
      </c>
      <c r="G66" t="inlineStr">
        <is>
          <t>MARIESTAD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46317</v>
      </c>
      <c r="F67" t="inlineStr">
        <is>
          <t>VÄSTRA GÖTALANDS LÄN</t>
        </is>
      </c>
      <c r="G67" t="inlineStr">
        <is>
          <t>MARIESTAD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44848</v>
      </c>
      <c r="E68" s="1" t="n">
        <v>46317</v>
      </c>
      <c r="F68" t="inlineStr">
        <is>
          <t>VÄSTRA GÖTALANDS LÄN</t>
        </is>
      </c>
      <c r="G68" t="inlineStr">
        <is>
          <t>MARIESTAD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46317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46317</v>
      </c>
      <c r="F70" t="inlineStr">
        <is>
          <t>VÄSTRA GÖTALANDS LÄN</t>
        </is>
      </c>
      <c r="G70" t="inlineStr">
        <is>
          <t>MARIESTAD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46317</v>
      </c>
      <c r="F71" t="inlineStr">
        <is>
          <t>VÄSTRA GÖTALANDS LÄN</t>
        </is>
      </c>
      <c r="G71" t="inlineStr">
        <is>
          <t>MARIESTAD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46317</v>
      </c>
      <c r="F72" t="inlineStr">
        <is>
          <t>VÄSTRA GÖTALANDS LÄN</t>
        </is>
      </c>
      <c r="G72" t="inlineStr">
        <is>
          <t>MARIESTAD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46317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46317</v>
      </c>
      <c r="F74" t="inlineStr">
        <is>
          <t>VÄSTRA GÖTALANDS LÄN</t>
        </is>
      </c>
      <c r="G74" t="inlineStr">
        <is>
          <t>MARIESTAD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46317</v>
      </c>
      <c r="F75" t="inlineStr">
        <is>
          <t>VÄSTRA GÖTALANDS LÄN</t>
        </is>
      </c>
      <c r="G75" t="inlineStr">
        <is>
          <t>MARIESTAD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45307</v>
      </c>
      <c r="E76" s="1" t="n">
        <v>46317</v>
      </c>
      <c r="F76" t="inlineStr">
        <is>
          <t>VÄSTRA GÖTALANDS LÄN</t>
        </is>
      </c>
      <c r="G76" t="inlineStr">
        <is>
          <t>MARIESTAD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46317</v>
      </c>
      <c r="F77" t="inlineStr">
        <is>
          <t>VÄSTRA GÖTALANDS LÄN</t>
        </is>
      </c>
      <c r="G77" t="inlineStr">
        <is>
          <t>MARIESTAD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45790</v>
      </c>
      <c r="E78" s="1" t="n">
        <v>46317</v>
      </c>
      <c r="F78" t="inlineStr">
        <is>
          <t>VÄSTRA GÖTALANDS LÄN</t>
        </is>
      </c>
      <c r="G78" t="inlineStr">
        <is>
          <t>MARIESTAD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74081-2021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44553</v>
      </c>
      <c r="E79" s="1" t="n">
        <v>46317</v>
      </c>
      <c r="F79" t="inlineStr">
        <is>
          <t>VÄSTRA GÖTALANDS LÄN</t>
        </is>
      </c>
      <c r="G79" t="inlineStr">
        <is>
          <t>MARIESTAD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33571-2023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45131</v>
      </c>
      <c r="E80" s="1" t="n">
        <v>46317</v>
      </c>
      <c r="F80" t="inlineStr">
        <is>
          <t>VÄSTRA GÖTALANDS LÄN</t>
        </is>
      </c>
      <c r="G80" t="inlineStr">
        <is>
          <t>MARIESTAD</t>
        </is>
      </c>
      <c r="I80" t="n">
        <v>16.1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49385-2023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45211</v>
      </c>
      <c r="E81" s="1" t="n">
        <v>46317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66772-2021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44521</v>
      </c>
      <c r="E82" s="1" t="n">
        <v>46317</v>
      </c>
      <c r="F82" t="inlineStr">
        <is>
          <t>VÄSTRA GÖTALANDS LÄN</t>
        </is>
      </c>
      <c r="G82" t="inlineStr">
        <is>
          <t>MARIESTAD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45502</v>
      </c>
      <c r="E83" s="1" t="n">
        <v>46317</v>
      </c>
      <c r="F83" t="inlineStr">
        <is>
          <t>VÄSTRA GÖTALANDS LÄN</t>
        </is>
      </c>
      <c r="G83" t="inlineStr">
        <is>
          <t>MARIESTAD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46317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45331</v>
      </c>
      <c r="E85" s="1" t="n">
        <v>46317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46317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46317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46317</v>
      </c>
      <c r="F88" t="inlineStr">
        <is>
          <t>VÄSTRA GÖTALANDS LÄN</t>
        </is>
      </c>
      <c r="G88" t="inlineStr">
        <is>
          <t>MARIESTAD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46317</v>
      </c>
      <c r="F89" t="inlineStr">
        <is>
          <t>VÄSTRA GÖTALANDS LÄN</t>
        </is>
      </c>
      <c r="G89" t="inlineStr">
        <is>
          <t>MARIESTAD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45705</v>
      </c>
      <c r="E90" s="1" t="n">
        <v>46317</v>
      </c>
      <c r="F90" t="inlineStr">
        <is>
          <t>VÄSTRA GÖTALANDS LÄN</t>
        </is>
      </c>
      <c r="G90" t="inlineStr">
        <is>
          <t>MARIESTAD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46317</v>
      </c>
      <c r="F91" t="inlineStr">
        <is>
          <t>VÄSTRA GÖTALANDS LÄN</t>
        </is>
      </c>
      <c r="G91" t="inlineStr">
        <is>
          <t>MARIESTAD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46317</v>
      </c>
      <c r="F92" t="inlineStr">
        <is>
          <t>VÄSTRA GÖTALANDS LÄN</t>
        </is>
      </c>
      <c r="G92" t="inlineStr">
        <is>
          <t>MARIESTAD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45516</v>
      </c>
      <c r="E93" s="1" t="n">
        <v>46317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52869-2024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45610</v>
      </c>
      <c r="E94" s="1" t="n">
        <v>46317</v>
      </c>
      <c r="F94" t="inlineStr">
        <is>
          <t>VÄSTRA GÖTALANDS LÄN</t>
        </is>
      </c>
      <c r="G94" t="inlineStr">
        <is>
          <t>MARIESTAD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46317</v>
      </c>
      <c r="F95" t="inlineStr">
        <is>
          <t>VÄSTRA GÖTALANDS LÄN</t>
        </is>
      </c>
      <c r="G95" t="inlineStr">
        <is>
          <t>MARIESTAD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46317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46317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46317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46317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46317</v>
      </c>
      <c r="F100" t="inlineStr">
        <is>
          <t>VÄSTRA GÖTALANDS LÄN</t>
        </is>
      </c>
      <c r="G100" t="inlineStr">
        <is>
          <t>MARIESTAD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46317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46317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46317</v>
      </c>
      <c r="F103" t="inlineStr">
        <is>
          <t>VÄSTRA GÖTALANDS LÄN</t>
        </is>
      </c>
      <c r="G103" t="inlineStr">
        <is>
          <t>MARIESTAD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46317</v>
      </c>
      <c r="F104" t="inlineStr">
        <is>
          <t>VÄSTRA GÖTALANDS LÄN</t>
        </is>
      </c>
      <c r="G104" t="inlineStr">
        <is>
          <t>MARIESTAD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45798</v>
      </c>
      <c r="E105" s="1" t="n">
        <v>46317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46317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46317</v>
      </c>
      <c r="F107" t="inlineStr">
        <is>
          <t>VÄSTRA GÖTALANDS LÄN</t>
        </is>
      </c>
      <c r="G107" t="inlineStr">
        <is>
          <t>MARIESTAD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46317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46317</v>
      </c>
      <c r="F109" t="inlineStr">
        <is>
          <t>VÄSTRA GÖTALANDS LÄN</t>
        </is>
      </c>
      <c r="G109" t="inlineStr">
        <is>
          <t>MARIESTAD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46317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46317</v>
      </c>
      <c r="F111" t="inlineStr">
        <is>
          <t>VÄSTRA GÖTALANDS LÄN</t>
        </is>
      </c>
      <c r="G111" t="inlineStr">
        <is>
          <t>MARIESTAD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46317</v>
      </c>
      <c r="F112" t="inlineStr">
        <is>
          <t>VÄSTRA GÖTALANDS LÄN</t>
        </is>
      </c>
      <c r="G112" t="inlineStr">
        <is>
          <t>MARIESTAD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46317</v>
      </c>
      <c r="F113" t="inlineStr">
        <is>
          <t>VÄSTRA GÖTALANDS LÄN</t>
        </is>
      </c>
      <c r="G113" t="inlineStr">
        <is>
          <t>MARIESTAD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46317</v>
      </c>
      <c r="F114" t="inlineStr">
        <is>
          <t>VÄSTRA GÖTALANDS LÄN</t>
        </is>
      </c>
      <c r="G114" t="inlineStr">
        <is>
          <t>MARIESTAD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46317</v>
      </c>
      <c r="F115" t="inlineStr">
        <is>
          <t>VÄSTRA GÖTALANDS LÄN</t>
        </is>
      </c>
      <c r="G115" t="inlineStr">
        <is>
          <t>MARIESTAD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46317</v>
      </c>
      <c r="F116" t="inlineStr">
        <is>
          <t>VÄSTRA GÖTALANDS LÄN</t>
        </is>
      </c>
      <c r="G116" t="inlineStr">
        <is>
          <t>MARIESTAD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46317</v>
      </c>
      <c r="F117" t="inlineStr">
        <is>
          <t>VÄSTRA GÖTALANDS LÄN</t>
        </is>
      </c>
      <c r="G117" t="inlineStr">
        <is>
          <t>MARIESTAD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46317</v>
      </c>
      <c r="F118" t="inlineStr">
        <is>
          <t>VÄSTRA GÖTALANDS LÄN</t>
        </is>
      </c>
      <c r="G118" t="inlineStr">
        <is>
          <t>MARIESTAD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46317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46317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46317</v>
      </c>
      <c r="F121" t="inlineStr">
        <is>
          <t>VÄSTRA GÖTALANDS LÄN</t>
        </is>
      </c>
      <c r="G121" t="inlineStr">
        <is>
          <t>MARIESTAD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46317</v>
      </c>
      <c r="F122" t="inlineStr">
        <is>
          <t>VÄSTRA GÖTALANDS LÄN</t>
        </is>
      </c>
      <c r="G122" t="inlineStr">
        <is>
          <t>MARIESTAD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46317</v>
      </c>
      <c r="F123" t="inlineStr">
        <is>
          <t>VÄSTRA GÖTALANDS LÄN</t>
        </is>
      </c>
      <c r="G123" t="inlineStr">
        <is>
          <t>MARIESTAD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46317</v>
      </c>
      <c r="F124" t="inlineStr">
        <is>
          <t>VÄSTRA GÖTALANDS LÄN</t>
        </is>
      </c>
      <c r="G124" t="inlineStr">
        <is>
          <t>MARIESTAD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46317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46317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Kyrkan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46317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46317</v>
      </c>
      <c r="F128" t="inlineStr">
        <is>
          <t>VÄSTRA GÖTALANDS LÄN</t>
        </is>
      </c>
      <c r="G128" t="inlineStr">
        <is>
          <t>MARIESTAD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60812-2023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45260</v>
      </c>
      <c r="E129" s="1" t="n">
        <v>46317</v>
      </c>
      <c r="F129" t="inlineStr">
        <is>
          <t>VÄSTRA GÖTALANDS LÄN</t>
        </is>
      </c>
      <c r="G129" t="inlineStr">
        <is>
          <t>MARIESTAD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46317</v>
      </c>
      <c r="F130" t="inlineStr">
        <is>
          <t>VÄSTRA GÖTALANDS LÄN</t>
        </is>
      </c>
      <c r="G130" t="inlineStr">
        <is>
          <t>MARIESTAD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45516</v>
      </c>
      <c r="E131" s="1" t="n">
        <v>46317</v>
      </c>
      <c r="F131" t="inlineStr">
        <is>
          <t>VÄSTRA GÖTALANDS LÄN</t>
        </is>
      </c>
      <c r="G131" t="inlineStr">
        <is>
          <t>MARIESTAD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46317</v>
      </c>
      <c r="F132" t="inlineStr">
        <is>
          <t>VÄSTRA GÖTALANDS LÄN</t>
        </is>
      </c>
      <c r="G132" t="inlineStr">
        <is>
          <t>MARIESTAD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46317</v>
      </c>
      <c r="F133" t="inlineStr">
        <is>
          <t>VÄSTRA GÖTALANDS LÄN</t>
        </is>
      </c>
      <c r="G133" t="inlineStr">
        <is>
          <t>MARIESTAD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46317</v>
      </c>
      <c r="F134" t="inlineStr">
        <is>
          <t>VÄSTRA GÖTALANDS LÄN</t>
        </is>
      </c>
      <c r="G134" t="inlineStr">
        <is>
          <t>MARIESTAD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45033</v>
      </c>
      <c r="E135" s="1" t="n">
        <v>46317</v>
      </c>
      <c r="F135" t="inlineStr">
        <is>
          <t>VÄSTRA GÖTALANDS LÄN</t>
        </is>
      </c>
      <c r="G135" t="inlineStr">
        <is>
          <t>MARIESTAD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46317</v>
      </c>
      <c r="F136" t="inlineStr">
        <is>
          <t>VÄSTRA GÖTALANDS LÄN</t>
        </is>
      </c>
      <c r="G136" t="inlineStr">
        <is>
          <t>MARIESTAD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46317</v>
      </c>
      <c r="F137" t="inlineStr">
        <is>
          <t>VÄSTRA GÖTALANDS LÄN</t>
        </is>
      </c>
      <c r="G137" t="inlineStr">
        <is>
          <t>MARIESTAD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45560</v>
      </c>
      <c r="E138" s="1" t="n">
        <v>46317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46317</v>
      </c>
      <c r="F139" t="inlineStr">
        <is>
          <t>VÄSTRA GÖTALANDS LÄN</t>
        </is>
      </c>
      <c r="G139" t="inlineStr">
        <is>
          <t>MARIESTAD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46317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46317</v>
      </c>
      <c r="F141" t="inlineStr">
        <is>
          <t>VÄSTRA GÖTALANDS LÄN</t>
        </is>
      </c>
      <c r="G141" t="inlineStr">
        <is>
          <t>MARIESTAD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44876</v>
      </c>
      <c r="E142" s="1" t="n">
        <v>46317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48267-2024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46317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Kyrkan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46317</v>
      </c>
      <c r="F144" t="inlineStr">
        <is>
          <t>VÄSTRA GÖTALANDS LÄN</t>
        </is>
      </c>
      <c r="G144" t="inlineStr">
        <is>
          <t>MARIESTAD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46317</v>
      </c>
      <c r="F145" t="inlineStr">
        <is>
          <t>VÄSTRA GÖTALANDS LÄN</t>
        </is>
      </c>
      <c r="G145" t="inlineStr">
        <is>
          <t>MARIESTAD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46317</v>
      </c>
      <c r="F146" t="inlineStr">
        <is>
          <t>VÄSTRA GÖTALANDS LÄN</t>
        </is>
      </c>
      <c r="G146" t="inlineStr">
        <is>
          <t>MARIESTAD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46317</v>
      </c>
      <c r="F147" t="inlineStr">
        <is>
          <t>VÄSTRA GÖTALANDS LÄN</t>
        </is>
      </c>
      <c r="G147" t="inlineStr">
        <is>
          <t>MARIESTAD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45873</v>
      </c>
      <c r="E148" s="1" t="n">
        <v>46317</v>
      </c>
      <c r="F148" t="inlineStr">
        <is>
          <t>VÄSTRA GÖTALANDS LÄN</t>
        </is>
      </c>
      <c r="G148" t="inlineStr">
        <is>
          <t>MARIESTAD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46317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46317</v>
      </c>
      <c r="F150" t="inlineStr">
        <is>
          <t>VÄSTRA GÖTALANDS LÄN</t>
        </is>
      </c>
      <c r="G150" t="inlineStr">
        <is>
          <t>MARIESTAD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46317</v>
      </c>
      <c r="F151" t="inlineStr">
        <is>
          <t>VÄSTRA GÖTALANDS LÄN</t>
        </is>
      </c>
      <c r="G151" t="inlineStr">
        <is>
          <t>MARIESTAD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46317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45199</v>
      </c>
      <c r="E153" s="1" t="n">
        <v>46317</v>
      </c>
      <c r="F153" t="inlineStr">
        <is>
          <t>VÄSTRA GÖTALANDS LÄN</t>
        </is>
      </c>
      <c r="G153" t="inlineStr">
        <is>
          <t>MARIESTAD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46317</v>
      </c>
      <c r="F154" t="inlineStr">
        <is>
          <t>VÄSTRA GÖTALANDS LÄN</t>
        </is>
      </c>
      <c r="G154" t="inlineStr">
        <is>
          <t>MARIESTAD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46317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46317</v>
      </c>
      <c r="F156" t="inlineStr">
        <is>
          <t>VÄSTRA GÖTALANDS LÄN</t>
        </is>
      </c>
      <c r="G156" t="inlineStr">
        <is>
          <t>MARIESTAD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26688-2022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44739</v>
      </c>
      <c r="E157" s="1" t="n">
        <v>46317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44993</v>
      </c>
      <c r="E158" s="1" t="n">
        <v>46317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46317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46317</v>
      </c>
      <c r="F160" t="inlineStr">
        <is>
          <t>VÄSTRA GÖTALANDS LÄN</t>
        </is>
      </c>
      <c r="G160" t="inlineStr">
        <is>
          <t>MARIESTAD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46317</v>
      </c>
      <c r="F161" t="inlineStr">
        <is>
          <t>VÄSTRA GÖTALANDS LÄN</t>
        </is>
      </c>
      <c r="G161" t="inlineStr">
        <is>
          <t>MARIESTAD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46317</v>
      </c>
      <c r="F162" t="inlineStr">
        <is>
          <t>VÄSTRA GÖTALANDS LÄN</t>
        </is>
      </c>
      <c r="G162" t="inlineStr">
        <is>
          <t>MARIESTAD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46317</v>
      </c>
      <c r="F163" t="inlineStr">
        <is>
          <t>VÄSTRA GÖTALANDS LÄN</t>
        </is>
      </c>
      <c r="G163" t="inlineStr">
        <is>
          <t>MARIESTAD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46317</v>
      </c>
      <c r="F164" t="inlineStr">
        <is>
          <t>VÄSTRA GÖTALANDS LÄN</t>
        </is>
      </c>
      <c r="G164" t="inlineStr">
        <is>
          <t>MARIESTAD</t>
        </is>
      </c>
      <c r="H164" t="inlineStr">
        <is>
          <t>Kyrkan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46317</v>
      </c>
      <c r="F165" t="inlineStr">
        <is>
          <t>VÄSTRA GÖTALANDS LÄN</t>
        </is>
      </c>
      <c r="G165" t="inlineStr">
        <is>
          <t>MARIESTAD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46317</v>
      </c>
      <c r="F166" t="inlineStr">
        <is>
          <t>VÄSTRA GÖTALANDS LÄN</t>
        </is>
      </c>
      <c r="G166" t="inlineStr">
        <is>
          <t>MARIESTAD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13655-2023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45006</v>
      </c>
      <c r="E167" s="1" t="n">
        <v>46317</v>
      </c>
      <c r="F167" t="inlineStr">
        <is>
          <t>VÄSTRA GÖTALANDS LÄN</t>
        </is>
      </c>
      <c r="G167" t="inlineStr">
        <is>
          <t>MARIESTAD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46317</v>
      </c>
      <c r="F168" t="inlineStr">
        <is>
          <t>VÄSTRA GÖTALANDS LÄN</t>
        </is>
      </c>
      <c r="G168" t="inlineStr">
        <is>
          <t>MARIESTAD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44986</v>
      </c>
      <c r="E169" s="1" t="n">
        <v>46317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46317</v>
      </c>
      <c r="F170" t="inlineStr">
        <is>
          <t>VÄSTRA GÖTALANDS LÄN</t>
        </is>
      </c>
      <c r="G170" t="inlineStr">
        <is>
          <t>MARIESTAD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46317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Kyrkan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44993</v>
      </c>
      <c r="E172" s="1" t="n">
        <v>46317</v>
      </c>
      <c r="F172" t="inlineStr">
        <is>
          <t>VÄSTRA GÖTALANDS LÄN</t>
        </is>
      </c>
      <c r="G172" t="inlineStr">
        <is>
          <t>MARIESTAD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46317</v>
      </c>
      <c r="F173" t="inlineStr">
        <is>
          <t>VÄSTRA GÖTALANDS LÄN</t>
        </is>
      </c>
      <c r="G173" t="inlineStr">
        <is>
          <t>MARIESTAD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46317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46317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Kyrkan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46317</v>
      </c>
      <c r="F176" t="inlineStr">
        <is>
          <t>VÄSTRA GÖTALANDS LÄN</t>
        </is>
      </c>
      <c r="G176" t="inlineStr">
        <is>
          <t>MARIESTAD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46317</v>
      </c>
      <c r="F177" t="inlineStr">
        <is>
          <t>VÄSTRA GÖTALANDS LÄN</t>
        </is>
      </c>
      <c r="G177" t="inlineStr">
        <is>
          <t>MARIESTAD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46061</v>
      </c>
      <c r="E178" s="1" t="n">
        <v>46317</v>
      </c>
      <c r="F178" t="inlineStr">
        <is>
          <t>VÄSTRA GÖTALANDS LÄN</t>
        </is>
      </c>
      <c r="G178" t="inlineStr">
        <is>
          <t>MARIESTAD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46317</v>
      </c>
      <c r="F179" t="inlineStr">
        <is>
          <t>VÄSTRA GÖTALANDS LÄN</t>
        </is>
      </c>
      <c r="G179" t="inlineStr">
        <is>
          <t>MARIESTAD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46317</v>
      </c>
      <c r="F180" t="inlineStr">
        <is>
          <t>VÄSTRA GÖTALANDS LÄN</t>
        </is>
      </c>
      <c r="G180" t="inlineStr">
        <is>
          <t>MARIESTAD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46317</v>
      </c>
      <c r="F181" t="inlineStr">
        <is>
          <t>VÄSTRA GÖTALANDS LÄN</t>
        </is>
      </c>
      <c r="G181" t="inlineStr">
        <is>
          <t>MARIESTAD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46317</v>
      </c>
      <c r="F182" t="inlineStr">
        <is>
          <t>VÄSTRA GÖTALANDS LÄN</t>
        </is>
      </c>
      <c r="G182" t="inlineStr">
        <is>
          <t>MARIESTAD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9558-2026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46071</v>
      </c>
      <c r="E183" s="1" t="n">
        <v>46317</v>
      </c>
      <c r="F183" t="inlineStr">
        <is>
          <t>VÄSTRA GÖTALANDS LÄN</t>
        </is>
      </c>
      <c r="G183" t="inlineStr">
        <is>
          <t>MARIESTAD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46317</v>
      </c>
      <c r="F184" t="inlineStr">
        <is>
          <t>VÄSTRA GÖTALANDS LÄN</t>
        </is>
      </c>
      <c r="G184" t="inlineStr">
        <is>
          <t>MARIESTAD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46317</v>
      </c>
      <c r="F185" t="inlineStr">
        <is>
          <t>VÄSTRA GÖTALANDS LÄN</t>
        </is>
      </c>
      <c r="G185" t="inlineStr">
        <is>
          <t>MARIESTAD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46317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46317</v>
      </c>
      <c r="F187" t="inlineStr">
        <is>
          <t>VÄSTRA GÖTALANDS LÄN</t>
        </is>
      </c>
      <c r="G187" t="inlineStr">
        <is>
          <t>MARIESTAD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46317</v>
      </c>
      <c r="F188" t="inlineStr">
        <is>
          <t>VÄSTRA GÖTALANDS LÄN</t>
        </is>
      </c>
      <c r="G188" t="inlineStr">
        <is>
          <t>MARIESTAD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46317</v>
      </c>
      <c r="F189" t="inlineStr">
        <is>
          <t>VÄSTRA GÖTALANDS LÄN</t>
        </is>
      </c>
      <c r="G189" t="inlineStr">
        <is>
          <t>MARIESTAD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46317</v>
      </c>
      <c r="F190" t="inlineStr">
        <is>
          <t>VÄSTRA GÖTALANDS LÄN</t>
        </is>
      </c>
      <c r="G190" t="inlineStr">
        <is>
          <t>MARIESTAD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44843</v>
      </c>
      <c r="E191" s="1" t="n">
        <v>46317</v>
      </c>
      <c r="F191" t="inlineStr">
        <is>
          <t>VÄSTRA GÖTALANDS LÄN</t>
        </is>
      </c>
      <c r="G191" t="inlineStr">
        <is>
          <t>MARIESTAD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45070</v>
      </c>
      <c r="E192" s="1" t="n">
        <v>46317</v>
      </c>
      <c r="F192" t="inlineStr">
        <is>
          <t>VÄSTRA GÖTALANDS LÄN</t>
        </is>
      </c>
      <c r="G192" t="inlineStr">
        <is>
          <t>MARIESTAD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44847</v>
      </c>
      <c r="E193" s="1" t="n">
        <v>46317</v>
      </c>
      <c r="F193" t="inlineStr">
        <is>
          <t>VÄSTRA GÖTALANDS LÄN</t>
        </is>
      </c>
      <c r="G193" t="inlineStr">
        <is>
          <t>MARIESTAD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46317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45535</v>
      </c>
      <c r="E195" s="1" t="n">
        <v>46317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46317</v>
      </c>
      <c r="F196" t="inlineStr">
        <is>
          <t>VÄSTRA GÖTALANDS LÄN</t>
        </is>
      </c>
      <c r="G196" t="inlineStr">
        <is>
          <t>MARIESTAD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46317</v>
      </c>
      <c r="F197" t="inlineStr">
        <is>
          <t>VÄSTRA GÖTALANDS LÄN</t>
        </is>
      </c>
      <c r="G197" t="inlineStr">
        <is>
          <t>MARIESTAD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46317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Kyrkan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46317</v>
      </c>
      <c r="F199" t="inlineStr">
        <is>
          <t>VÄSTRA GÖTALANDS LÄN</t>
        </is>
      </c>
      <c r="G199" t="inlineStr">
        <is>
          <t>MARIESTAD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44836</v>
      </c>
      <c r="E200" s="1" t="n">
        <v>46317</v>
      </c>
      <c r="F200" t="inlineStr">
        <is>
          <t>VÄSTRA GÖTALANDS LÄN</t>
        </is>
      </c>
      <c r="G200" t="inlineStr">
        <is>
          <t>MARIESTAD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46317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46317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45200</v>
      </c>
      <c r="E203" s="1" t="n">
        <v>46317</v>
      </c>
      <c r="F203" t="inlineStr">
        <is>
          <t>VÄSTRA GÖTALANDS LÄN</t>
        </is>
      </c>
      <c r="G203" t="inlineStr">
        <is>
          <t>MARIESTAD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46317</v>
      </c>
      <c r="F204" t="inlineStr">
        <is>
          <t>VÄSTRA GÖTALANDS LÄN</t>
        </is>
      </c>
      <c r="G204" t="inlineStr">
        <is>
          <t>MARIESTAD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46317</v>
      </c>
      <c r="F205" t="inlineStr">
        <is>
          <t>VÄSTRA GÖTALANDS LÄN</t>
        </is>
      </c>
      <c r="G205" t="inlineStr">
        <is>
          <t>MARIESTAD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46317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46317</v>
      </c>
      <c r="F207" t="inlineStr">
        <is>
          <t>VÄSTRA GÖTALANDS LÄN</t>
        </is>
      </c>
      <c r="G207" t="inlineStr">
        <is>
          <t>MARIESTAD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46317</v>
      </c>
      <c r="F208" t="inlineStr">
        <is>
          <t>VÄSTRA GÖTALANDS LÄN</t>
        </is>
      </c>
      <c r="G208" t="inlineStr">
        <is>
          <t>MARIESTAD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46317</v>
      </c>
      <c r="F209" t="inlineStr">
        <is>
          <t>VÄSTRA GÖTALANDS LÄN</t>
        </is>
      </c>
      <c r="G209" t="inlineStr">
        <is>
          <t>MARIESTAD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46317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39766-2023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45167</v>
      </c>
      <c r="E211" s="1" t="n">
        <v>46317</v>
      </c>
      <c r="F211" t="inlineStr">
        <is>
          <t>VÄSTRA GÖTALANDS LÄN</t>
        </is>
      </c>
      <c r="G211" t="inlineStr">
        <is>
          <t>MARIESTAD</t>
        </is>
      </c>
      <c r="I211" t="n">
        <v>26.5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44620</v>
      </c>
      <c r="E212" s="1" t="n">
        <v>46317</v>
      </c>
      <c r="F212" t="inlineStr">
        <is>
          <t>VÄSTRA GÖTALANDS LÄN</t>
        </is>
      </c>
      <c r="G212" t="inlineStr">
        <is>
          <t>MARIESTAD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46317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70259-2021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44536</v>
      </c>
      <c r="E214" s="1" t="n">
        <v>46317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45560</v>
      </c>
      <c r="E215" s="1" t="n">
        <v>46317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45470</v>
      </c>
      <c r="E216" s="1" t="n">
        <v>46317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46317</v>
      </c>
      <c r="F217" t="inlineStr">
        <is>
          <t>VÄSTRA GÖTALANDS LÄN</t>
        </is>
      </c>
      <c r="G217" t="inlineStr">
        <is>
          <t>MARIESTAD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46317</v>
      </c>
      <c r="F218" t="inlineStr">
        <is>
          <t>VÄSTRA GÖTALANDS LÄN</t>
        </is>
      </c>
      <c r="G218" t="inlineStr">
        <is>
          <t>MARIESTAD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40455-2023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45170</v>
      </c>
      <c r="E219" s="1" t="n">
        <v>46317</v>
      </c>
      <c r="F219" t="inlineStr">
        <is>
          <t>VÄSTRA GÖTALANDS LÄN</t>
        </is>
      </c>
      <c r="G219" t="inlineStr">
        <is>
          <t>MARIESTAD</t>
        </is>
      </c>
      <c r="I219" t="n">
        <v>34.9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45548</v>
      </c>
      <c r="E220" s="1" t="n">
        <v>46317</v>
      </c>
      <c r="F220" t="inlineStr">
        <is>
          <t>VÄSTRA GÖTALANDS LÄN</t>
        </is>
      </c>
      <c r="G220" t="inlineStr">
        <is>
          <t>MARIESTAD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46317</v>
      </c>
      <c r="F221" t="inlineStr">
        <is>
          <t>VÄSTRA GÖTALANDS LÄN</t>
        </is>
      </c>
      <c r="G221" t="inlineStr">
        <is>
          <t>MARIESTAD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46317</v>
      </c>
      <c r="F222" t="inlineStr">
        <is>
          <t>VÄSTRA GÖTALANDS LÄN</t>
        </is>
      </c>
      <c r="G222" t="inlineStr">
        <is>
          <t>MARIESTAD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46317</v>
      </c>
      <c r="F223" t="inlineStr">
        <is>
          <t>VÄSTRA GÖTALANDS LÄN</t>
        </is>
      </c>
      <c r="G223" t="inlineStr">
        <is>
          <t>MARIESTAD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46317</v>
      </c>
      <c r="F224" t="inlineStr">
        <is>
          <t>VÄSTRA GÖTALANDS LÄN</t>
        </is>
      </c>
      <c r="G224" t="inlineStr">
        <is>
          <t>MARIESTAD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50579-2023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45217</v>
      </c>
      <c r="E225" s="1" t="n">
        <v>46317</v>
      </c>
      <c r="F225" t="inlineStr">
        <is>
          <t>VÄSTRA GÖTALANDS LÄN</t>
        </is>
      </c>
      <c r="G225" t="inlineStr">
        <is>
          <t>MARIESTAD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44649</v>
      </c>
      <c r="E226" s="1" t="n">
        <v>46317</v>
      </c>
      <c r="F226" t="inlineStr">
        <is>
          <t>VÄSTRA GÖTALANDS LÄN</t>
        </is>
      </c>
      <c r="G226" t="inlineStr">
        <is>
          <t>MARIESTAD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44629</v>
      </c>
      <c r="E227" s="1" t="n">
        <v>46317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Kommuner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44645</v>
      </c>
      <c r="E228" s="1" t="n">
        <v>46317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44638</v>
      </c>
      <c r="E229" s="1" t="n">
        <v>46317</v>
      </c>
      <c r="F229" t="inlineStr">
        <is>
          <t>VÄSTRA GÖTALANDS LÄN</t>
        </is>
      </c>
      <c r="G229" t="inlineStr">
        <is>
          <t>MARIESTAD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46875-2023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45200</v>
      </c>
      <c r="E230" s="1" t="n">
        <v>46317</v>
      </c>
      <c r="F230" t="inlineStr">
        <is>
          <t>VÄSTRA GÖTALANDS LÄN</t>
        </is>
      </c>
      <c r="G230" t="inlineStr">
        <is>
          <t>MARIESTAD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21361-2026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46142</v>
      </c>
      <c r="E231" s="1" t="n">
        <v>46317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Kyrkan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46317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46317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46317</v>
      </c>
      <c r="F234" t="inlineStr">
        <is>
          <t>VÄSTRA GÖTALANDS LÄN</t>
        </is>
      </c>
      <c r="G234" t="inlineStr">
        <is>
          <t>MARIESTAD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46317</v>
      </c>
      <c r="F235" t="inlineStr">
        <is>
          <t>VÄSTRA GÖTALANDS LÄN</t>
        </is>
      </c>
      <c r="G235" t="inlineStr">
        <is>
          <t>MARIESTAD</t>
        </is>
      </c>
      <c r="I235" t="n">
        <v>10.7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44574</v>
      </c>
      <c r="E236" s="1" t="n">
        <v>46317</v>
      </c>
      <c r="F236" t="inlineStr">
        <is>
          <t>VÄSTRA GÖTALANDS LÄN</t>
        </is>
      </c>
      <c r="G236" t="inlineStr">
        <is>
          <t>MARIESTAD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46317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46317</v>
      </c>
      <c r="F238" t="inlineStr">
        <is>
          <t>VÄSTRA GÖTALANDS LÄN</t>
        </is>
      </c>
      <c r="G238" t="inlineStr">
        <is>
          <t>MARIESTAD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46317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46317</v>
      </c>
      <c r="F240" t="inlineStr">
        <is>
          <t>VÄSTRA GÖTALANDS LÄN</t>
        </is>
      </c>
      <c r="G240" t="inlineStr">
        <is>
          <t>MARIESTAD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46317</v>
      </c>
      <c r="F241" t="inlineStr">
        <is>
          <t>VÄSTRA GÖTALANDS LÄN</t>
        </is>
      </c>
      <c r="G241" t="inlineStr">
        <is>
          <t>MARIESTAD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46317</v>
      </c>
      <c r="F242" t="inlineStr">
        <is>
          <t>VÄSTRA GÖTALANDS LÄN</t>
        </is>
      </c>
      <c r="G242" t="inlineStr">
        <is>
          <t>MARIESTAD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46317</v>
      </c>
      <c r="F243" t="inlineStr">
        <is>
          <t>VÄSTRA GÖTALANDS LÄN</t>
        </is>
      </c>
      <c r="G243" t="inlineStr">
        <is>
          <t>MARIESTAD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58077-2022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44900</v>
      </c>
      <c r="E244" s="1" t="n">
        <v>46317</v>
      </c>
      <c r="F244" t="inlineStr">
        <is>
          <t>VÄSTRA GÖTALANDS LÄN</t>
        </is>
      </c>
      <c r="G244" t="inlineStr">
        <is>
          <t>MARIESTAD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45188</v>
      </c>
      <c r="E245" s="1" t="n">
        <v>46317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46317</v>
      </c>
      <c r="F246" t="inlineStr">
        <is>
          <t>VÄSTRA GÖTALANDS LÄN</t>
        </is>
      </c>
      <c r="G246" t="inlineStr">
        <is>
          <t>MARIESTAD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46171</v>
      </c>
      <c r="E247" s="1" t="n">
        <v>46317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46171</v>
      </c>
      <c r="E248" s="1" t="n">
        <v>46317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46317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46317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46317</v>
      </c>
      <c r="F251" t="inlineStr">
        <is>
          <t>VÄSTRA GÖTALANDS LÄN</t>
        </is>
      </c>
      <c r="G251" t="inlineStr">
        <is>
          <t>MARIESTAD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46317</v>
      </c>
      <c r="F252" t="inlineStr">
        <is>
          <t>VÄSTRA GÖTALANDS LÄN</t>
        </is>
      </c>
      <c r="G252" t="inlineStr">
        <is>
          <t>MARIESTAD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44746</v>
      </c>
      <c r="E253" s="1" t="n">
        <v>46317</v>
      </c>
      <c r="F253" t="inlineStr">
        <is>
          <t>VÄSTRA GÖTALANDS LÄN</t>
        </is>
      </c>
      <c r="G253" t="inlineStr">
        <is>
          <t>MARIESTAD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46317</v>
      </c>
      <c r="F254" t="inlineStr">
        <is>
          <t>VÄSTRA GÖTALANDS LÄN</t>
        </is>
      </c>
      <c r="G254" t="inlineStr">
        <is>
          <t>MARIESTAD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61603-2023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45265</v>
      </c>
      <c r="E255" s="1" t="n">
        <v>46317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46317</v>
      </c>
      <c r="F256" t="inlineStr">
        <is>
          <t>VÄSTRA GÖTALANDS LÄN</t>
        </is>
      </c>
      <c r="G256" t="inlineStr">
        <is>
          <t>MARIESTAD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46317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46317</v>
      </c>
      <c r="F258" t="inlineStr">
        <is>
          <t>VÄSTRA GÖTALANDS LÄN</t>
        </is>
      </c>
      <c r="G258" t="inlineStr">
        <is>
          <t>MARIESTAD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49389-2023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45211</v>
      </c>
      <c r="E259" s="1" t="n">
        <v>46317</v>
      </c>
      <c r="F259" t="inlineStr">
        <is>
          <t>VÄSTRA GÖTALANDS LÄN</t>
        </is>
      </c>
      <c r="G259" t="inlineStr">
        <is>
          <t>MARIESTAD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26912-2026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46185</v>
      </c>
      <c r="E260" s="1" t="n">
        <v>46317</v>
      </c>
      <c r="F260" t="inlineStr">
        <is>
          <t>VÄSTRA GÖTALANDS LÄN</t>
        </is>
      </c>
      <c r="G260" t="inlineStr">
        <is>
          <t>MARIESTAD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46317</v>
      </c>
      <c r="F261" t="inlineStr">
        <is>
          <t>VÄSTRA GÖTALANDS LÄN</t>
        </is>
      </c>
      <c r="G261" t="inlineStr">
        <is>
          <t>MARIESTAD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46317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46317</v>
      </c>
      <c r="F263" t="inlineStr">
        <is>
          <t>VÄSTRA GÖTALANDS LÄN</t>
        </is>
      </c>
      <c r="G263" t="inlineStr">
        <is>
          <t>MARIESTAD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45528</v>
      </c>
      <c r="E264" s="1" t="n">
        <v>46317</v>
      </c>
      <c r="F264" t="inlineStr">
        <is>
          <t>VÄSTRA GÖTALANDS LÄN</t>
        </is>
      </c>
      <c r="G264" t="inlineStr">
        <is>
          <t>MARIESTAD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44756</v>
      </c>
      <c r="E265" s="1" t="n">
        <v>46317</v>
      </c>
      <c r="F265" t="inlineStr">
        <is>
          <t>VÄSTRA GÖTALANDS LÄN</t>
        </is>
      </c>
      <c r="G265" t="inlineStr">
        <is>
          <t>MARIESTAD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46317</v>
      </c>
      <c r="F266" t="inlineStr">
        <is>
          <t>VÄSTRA GÖTALANDS LÄN</t>
        </is>
      </c>
      <c r="G266" t="inlineStr">
        <is>
          <t>MARIESTAD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46317</v>
      </c>
      <c r="F267" t="inlineStr">
        <is>
          <t>VÄSTRA GÖTALANDS LÄN</t>
        </is>
      </c>
      <c r="G267" t="inlineStr">
        <is>
          <t>MARIESTAD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46317</v>
      </c>
      <c r="F268" t="inlineStr">
        <is>
          <t>VÄSTRA GÖTALANDS LÄN</t>
        </is>
      </c>
      <c r="G268" t="inlineStr">
        <is>
          <t>MARIESTAD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46317</v>
      </c>
      <c r="F269" t="inlineStr">
        <is>
          <t>VÄSTRA GÖTALANDS LÄN</t>
        </is>
      </c>
      <c r="G269" t="inlineStr">
        <is>
          <t>MARIESTAD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46317</v>
      </c>
      <c r="F270" t="inlineStr">
        <is>
          <t>VÄSTRA GÖTALANDS LÄN</t>
        </is>
      </c>
      <c r="G270" t="inlineStr">
        <is>
          <t>MARIESTAD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45268</v>
      </c>
      <c r="E271" s="1" t="n">
        <v>46317</v>
      </c>
      <c r="F271" t="inlineStr">
        <is>
          <t>VÄSTRA GÖTALANDS LÄN</t>
        </is>
      </c>
      <c r="G271" t="inlineStr">
        <is>
          <t>MARIESTAD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46317</v>
      </c>
      <c r="F272" t="inlineStr">
        <is>
          <t>VÄSTRA GÖTALANDS LÄN</t>
        </is>
      </c>
      <c r="G272" t="inlineStr">
        <is>
          <t>MARIESTAD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46317</v>
      </c>
      <c r="F273" t="inlineStr">
        <is>
          <t>VÄSTRA GÖTALANDS LÄN</t>
        </is>
      </c>
      <c r="G273" t="inlineStr">
        <is>
          <t>MARIESTAD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46317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46317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46317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46317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46317</v>
      </c>
      <c r="F278" t="inlineStr">
        <is>
          <t>VÄSTRA GÖTALANDS LÄN</t>
        </is>
      </c>
      <c r="G278" t="inlineStr">
        <is>
          <t>MARIESTAD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46317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Naturvårdsverket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46317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44930</v>
      </c>
      <c r="E281" s="1" t="n">
        <v>46317</v>
      </c>
      <c r="F281" t="inlineStr">
        <is>
          <t>VÄSTRA GÖTALANDS LÄN</t>
        </is>
      </c>
      <c r="G281" t="inlineStr">
        <is>
          <t>MARIESTAD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46317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46317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45674</v>
      </c>
      <c r="E284" s="1" t="n">
        <v>46317</v>
      </c>
      <c r="F284" t="inlineStr">
        <is>
          <t>VÄSTRA GÖTALANDS LÄN</t>
        </is>
      </c>
      <c r="G284" t="inlineStr">
        <is>
          <t>MARIESTAD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46317</v>
      </c>
      <c r="F285" t="inlineStr">
        <is>
          <t>VÄSTRA GÖTALANDS LÄN</t>
        </is>
      </c>
      <c r="G285" t="inlineStr">
        <is>
          <t>MARIESTAD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46317</v>
      </c>
      <c r="F286" t="inlineStr">
        <is>
          <t>VÄSTRA GÖTALANDS LÄN</t>
        </is>
      </c>
      <c r="G286" t="inlineStr">
        <is>
          <t>MARIESTAD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46317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46317</v>
      </c>
      <c r="F288" t="inlineStr">
        <is>
          <t>VÄSTRA GÖTALANDS LÄN</t>
        </is>
      </c>
      <c r="G288" t="inlineStr">
        <is>
          <t>MARIESTAD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46317</v>
      </c>
      <c r="F289" t="inlineStr">
        <is>
          <t>VÄSTRA GÖTALANDS LÄN</t>
        </is>
      </c>
      <c r="G289" t="inlineStr">
        <is>
          <t>MARIESTAD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46317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44622</v>
      </c>
      <c r="E291" s="1" t="n">
        <v>46317</v>
      </c>
      <c r="F291" t="inlineStr">
        <is>
          <t>VÄSTRA GÖTALANDS LÄN</t>
        </is>
      </c>
      <c r="G291" t="inlineStr">
        <is>
          <t>MARIESTAD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46317</v>
      </c>
      <c r="F292" t="inlineStr">
        <is>
          <t>VÄSTRA GÖTALANDS LÄN</t>
        </is>
      </c>
      <c r="G292" t="inlineStr">
        <is>
          <t>MARIESTAD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44616</v>
      </c>
      <c r="E293" s="1" t="n">
        <v>46317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Kyrkan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46317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46317</v>
      </c>
      <c r="F295" t="inlineStr">
        <is>
          <t>VÄSTRA GÖTALANDS LÄN</t>
        </is>
      </c>
      <c r="G295" t="inlineStr">
        <is>
          <t>MARIESTAD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70295-2021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44536</v>
      </c>
      <c r="E296" s="1" t="n">
        <v>46317</v>
      </c>
      <c r="F296" t="inlineStr">
        <is>
          <t>VÄSTRA GÖTALANDS LÄN</t>
        </is>
      </c>
      <c r="G296" t="inlineStr">
        <is>
          <t>MARIESTAD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46317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44981</v>
      </c>
      <c r="E298" s="1" t="n">
        <v>46317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46317</v>
      </c>
      <c r="F299" t="inlineStr">
        <is>
          <t>VÄSTRA GÖTALANDS LÄN</t>
        </is>
      </c>
      <c r="G299" t="inlineStr">
        <is>
          <t>MARIESTAD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46317</v>
      </c>
      <c r="F300" t="inlineStr">
        <is>
          <t>VÄSTRA GÖTALANDS LÄN</t>
        </is>
      </c>
      <c r="G300" t="inlineStr">
        <is>
          <t>MARIESTAD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45201</v>
      </c>
      <c r="E301" s="1" t="n">
        <v>46317</v>
      </c>
      <c r="F301" t="inlineStr">
        <is>
          <t>VÄSTRA GÖTALANDS LÄN</t>
        </is>
      </c>
      <c r="G301" t="inlineStr">
        <is>
          <t>MARIESTAD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46317</v>
      </c>
      <c r="F302" t="inlineStr">
        <is>
          <t>VÄSTRA GÖTALANDS LÄN</t>
        </is>
      </c>
      <c r="G302" t="inlineStr">
        <is>
          <t>MARIESTAD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46317</v>
      </c>
      <c r="F303" t="inlineStr">
        <is>
          <t>VÄSTRA GÖTALANDS LÄN</t>
        </is>
      </c>
      <c r="G303" t="inlineStr">
        <is>
          <t>MARIESTAD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46317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46317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46317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46288</v>
      </c>
      <c r="E307" s="1" t="n">
        <v>46317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46317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39286-2026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46288</v>
      </c>
      <c r="E309" s="1" t="n">
        <v>46317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46317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46317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44843</v>
      </c>
      <c r="E312" s="1" t="n">
        <v>46317</v>
      </c>
      <c r="F312" t="inlineStr">
        <is>
          <t>VÄSTRA GÖTALANDS LÄN</t>
        </is>
      </c>
      <c r="G312" t="inlineStr">
        <is>
          <t>MARIESTAD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46317</v>
      </c>
      <c r="F313" t="inlineStr">
        <is>
          <t>VÄSTRA GÖTALANDS LÄN</t>
        </is>
      </c>
      <c r="G313" t="inlineStr">
        <is>
          <t>MARIESTAD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46317</v>
      </c>
      <c r="F314" t="inlineStr">
        <is>
          <t>VÄSTRA GÖTALANDS LÄN</t>
        </is>
      </c>
      <c r="G314" t="inlineStr">
        <is>
          <t>MARIESTAD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46317</v>
      </c>
      <c r="F315" t="inlineStr">
        <is>
          <t>VÄSTRA GÖTALANDS LÄN</t>
        </is>
      </c>
      <c r="G315" t="inlineStr">
        <is>
          <t>MARIESTAD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46317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Kyrkan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44890</v>
      </c>
      <c r="E317" s="1" t="n">
        <v>46317</v>
      </c>
      <c r="F317" t="inlineStr">
        <is>
          <t>VÄSTRA GÖTALANDS LÄN</t>
        </is>
      </c>
      <c r="G317" t="inlineStr">
        <is>
          <t>MARIESTAD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46317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65197-2023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45289</v>
      </c>
      <c r="E319" s="1" t="n">
        <v>46317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46317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46289</v>
      </c>
      <c r="E321" s="1" t="n">
        <v>46317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46317</v>
      </c>
      <c r="F322" t="inlineStr">
        <is>
          <t>VÄSTRA GÖTALANDS LÄN</t>
        </is>
      </c>
      <c r="G322" t="inlineStr">
        <is>
          <t>MARIESTAD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46293</v>
      </c>
      <c r="E323" s="1" t="n">
        <v>46317</v>
      </c>
      <c r="F323" t="inlineStr">
        <is>
          <t>VÄSTRA GÖTALANDS LÄN</t>
        </is>
      </c>
      <c r="G323" t="inlineStr">
        <is>
          <t>MARIESTAD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46317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46317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46317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46317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44957</v>
      </c>
      <c r="E328" s="1" t="n">
        <v>46317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46317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46317</v>
      </c>
      <c r="F330" t="inlineStr">
        <is>
          <t>VÄSTRA GÖTALANDS LÄN</t>
        </is>
      </c>
      <c r="G330" t="inlineStr">
        <is>
          <t>MARIESTAD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46317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46317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46317</v>
      </c>
      <c r="F333" t="inlineStr">
        <is>
          <t>VÄSTRA GÖTALANDS LÄN</t>
        </is>
      </c>
      <c r="G333" t="inlineStr">
        <is>
          <t>MARIESTAD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46317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12767-2024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45384</v>
      </c>
      <c r="E335" s="1" t="n">
        <v>46317</v>
      </c>
      <c r="F335" t="inlineStr">
        <is>
          <t>VÄSTRA GÖTALANDS LÄN</t>
        </is>
      </c>
      <c r="G335" t="inlineStr">
        <is>
          <t>MARIESTAD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45720</v>
      </c>
      <c r="E336" s="1" t="n">
        <v>46317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41257-2026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46300</v>
      </c>
      <c r="E337" s="1" t="n">
        <v>46317</v>
      </c>
      <c r="F337" t="inlineStr">
        <is>
          <t>VÄSTRA GÖTALANDS LÄN</t>
        </is>
      </c>
      <c r="G337" t="inlineStr">
        <is>
          <t>MARIESTAD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46317</v>
      </c>
      <c r="F338" t="inlineStr">
        <is>
          <t>VÄSTRA GÖTALANDS LÄN</t>
        </is>
      </c>
      <c r="G338" t="inlineStr">
        <is>
          <t>MARIESTAD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46317</v>
      </c>
      <c r="F339" t="inlineStr">
        <is>
          <t>VÄSTRA GÖTALANDS LÄN</t>
        </is>
      </c>
      <c r="G339" t="inlineStr">
        <is>
          <t>MARIESTAD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41061-2026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46300</v>
      </c>
      <c r="E340" s="1" t="n">
        <v>46317</v>
      </c>
      <c r="F340" t="inlineStr">
        <is>
          <t>VÄSTRA GÖTALANDS LÄN</t>
        </is>
      </c>
      <c r="G340" t="inlineStr">
        <is>
          <t>MARIESTAD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46317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41220-2026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46300</v>
      </c>
      <c r="E342" s="1" t="n">
        <v>46317</v>
      </c>
      <c r="F342" t="inlineStr">
        <is>
          <t>VÄSTRA GÖTALANDS LÄN</t>
        </is>
      </c>
      <c r="G342" t="inlineStr">
        <is>
          <t>MARIESTAD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45516</v>
      </c>
      <c r="E343" s="1" t="n">
        <v>46317</v>
      </c>
      <c r="F343" t="inlineStr">
        <is>
          <t>VÄSTRA GÖTALANDS LÄN</t>
        </is>
      </c>
      <c r="G343" t="inlineStr">
        <is>
          <t>MARIESTAD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45545</v>
      </c>
      <c r="E344" s="1" t="n">
        <v>46317</v>
      </c>
      <c r="F344" t="inlineStr">
        <is>
          <t>VÄSTRA GÖTALANDS LÄN</t>
        </is>
      </c>
      <c r="G344" t="inlineStr">
        <is>
          <t>MARIESTAD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46261</v>
      </c>
      <c r="E345" s="1" t="n">
        <v>46317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46261</v>
      </c>
      <c r="E346" s="1" t="n">
        <v>46317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46317</v>
      </c>
      <c r="F347" t="inlineStr">
        <is>
          <t>VÄSTRA GÖTALANDS LÄN</t>
        </is>
      </c>
      <c r="G347" t="inlineStr">
        <is>
          <t>MARIESTAD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46262</v>
      </c>
      <c r="E348" s="1" t="n">
        <v>46317</v>
      </c>
      <c r="F348" t="inlineStr">
        <is>
          <t>VÄSTRA GÖTALANDS LÄN</t>
        </is>
      </c>
      <c r="G348" t="inlineStr">
        <is>
          <t>MARIESTAD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44943</v>
      </c>
      <c r="E349" s="1" t="n">
        <v>46317</v>
      </c>
      <c r="F349" t="inlineStr">
        <is>
          <t>VÄSTRA GÖTALANDS LÄN</t>
        </is>
      </c>
      <c r="G349" t="inlineStr">
        <is>
          <t>MARIESTAD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46317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46317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46317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2026-10-22T01:55:03Z</dcterms:created>
  <dcterms:modified xmlns:dcterms="http://purl.org/dc/terms/" xmlns:xsi="http://www.w3.org/2001/XMLSchema-instance" xsi:type="dcterms:W3CDTF">2026-10-22T01:55:03Z</dcterms:modified>
</cp:coreProperties>
</file>