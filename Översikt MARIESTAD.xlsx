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46301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46301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46301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46301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46301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46301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46301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46301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46301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46301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46301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46301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46301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46301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46301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46301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46301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46301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46301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59316-2025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45989</v>
      </c>
      <c r="E28" s="1" t="n">
        <v>46301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HYPERLINK("https://klasma.github.io/Logging_1493/artfynd/A 59316-2025 artfynd.xlsx", "A 59316-2025")</f>
        <v/>
      </c>
      <c r="X28">
        <f>HYPERLINK("https://klasma.github.io/Logging_1493/kartor/A 59316-2025 karta.png", "A 59316-2025")</f>
        <v/>
      </c>
      <c r="Y28">
        <f>HYPERLINK("https://klasma.github.io/Logging_1493/kartor_geotiff/A 59316-2025 georefererad karta.tif", "A 59316-2025")</f>
        <v/>
      </c>
      <c r="AA28">
        <f>HYPERLINK("https://klasma.github.io/Logging_1493/klagomål/A 59316-2025 FSC-klagomål.docx", "A 59316-2025")</f>
        <v/>
      </c>
      <c r="AB28">
        <f>HYPERLINK("https://klasma.github.io/Logging_1493/klagomålsmail/A 59316-2025 FSC-klagomål mail.docx", "A 59316-2025")</f>
        <v/>
      </c>
      <c r="AC28">
        <f>HYPERLINK("https://klasma.github.io/Logging_1493/tillsyn/A 59316-2025 tillsynsbegäran.docx", "A 59316-2025")</f>
        <v/>
      </c>
      <c r="AD28">
        <f>HYPERLINK("https://klasma.github.io/Logging_1493/tillsynsmail/A 59316-2025 tillsynsbegäran mail.docx", "A 59316-2025")</f>
        <v/>
      </c>
    </row>
    <row r="29" ht="15" customHeight="1">
      <c r="A29" t="inlineStr">
        <is>
          <t>A 49233-2023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45210</v>
      </c>
      <c r="E29" s="1" t="n">
        <v>46301</v>
      </c>
      <c r="F29" t="inlineStr">
        <is>
          <t>VÄSTRA GÖTALANDS LÄN</t>
        </is>
      </c>
      <c r="G29" t="inlineStr">
        <is>
          <t>MARIESTAD</t>
        </is>
      </c>
      <c r="I29" t="n">
        <v>6.1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Lönnlav</t>
        </is>
      </c>
      <c r="W29">
        <f>HYPERLINK("https://klasma.github.io/Logging_1493/artfynd/A 49233-2023 artfynd.xlsx", "A 49233-2023")</f>
        <v/>
      </c>
      <c r="X29">
        <f>HYPERLINK("https://klasma.github.io/Logging_1493/kartor/A 49233-2023 karta.png", "A 49233-2023")</f>
        <v/>
      </c>
      <c r="Y29">
        <f>HYPERLINK("https://klasma.github.io/Logging_1493/kartor_geotiff/A 49233-2023 georefererad karta.tif", "A 49233-2023")</f>
        <v/>
      </c>
      <c r="AA29">
        <f>HYPERLINK("https://klasma.github.io/Logging_1493/klagomål/A 49233-2023 FSC-klagomål.docx", "A 49233-2023")</f>
        <v/>
      </c>
      <c r="AB29">
        <f>HYPERLINK("https://klasma.github.io/Logging_1493/klagomålsmail/A 49233-2023 FSC-klagomål mail.docx", "A 49233-2023")</f>
        <v/>
      </c>
      <c r="AC29">
        <f>HYPERLINK("https://klasma.github.io/Logging_1493/tillsyn/A 49233-2023 tillsynsbegäran.docx", "A 49233-2023")</f>
        <v/>
      </c>
      <c r="AD29">
        <f>HYPERLINK("https://klasma.github.io/Logging_1493/tillsynsmail/A 49233-2023 tillsynsbegäran mail.docx", "A 49233-2023")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46301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46301</v>
      </c>
      <c r="F31" t="inlineStr">
        <is>
          <t>VÄSTRA GÖTALANDS LÄN</t>
        </is>
      </c>
      <c r="G31" t="inlineStr">
        <is>
          <t>MARIESTAD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HYPERLINK("https://klasma.github.io/Logging_1493/artfynd/A 18176-2025 artfynd.xlsx", "A 18176-2025")</f>
        <v/>
      </c>
      <c r="X31">
        <f>HYPERLINK("https://klasma.github.io/Logging_1493/kartor/A 18176-2025 karta.png", "A 18176-2025")</f>
        <v/>
      </c>
      <c r="Y31">
        <f>HYPERLINK("https://klasma.github.io/Logging_1493/kartor_geotiff/A 18176-2025 georefererad karta.tif", "A 18176-2025")</f>
        <v/>
      </c>
      <c r="AA31">
        <f>HYPERLINK("https://klasma.github.io/Logging_1493/klagomål/A 18176-2025 FSC-klagomål.docx", "A 18176-2025")</f>
        <v/>
      </c>
      <c r="AB31">
        <f>HYPERLINK("https://klasma.github.io/Logging_1493/klagomålsmail/A 18176-2025 FSC-klagomål mail.docx", "A 18176-2025")</f>
        <v/>
      </c>
      <c r="AC31">
        <f>HYPERLINK("https://klasma.github.io/Logging_1493/tillsyn/A 18176-2025 tillsynsbegäran.docx", "A 18176-2025")</f>
        <v/>
      </c>
      <c r="AD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46301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30652-2023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46301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2.6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30652-2023 artfynd.xlsx", "A 30652-2023")</f>
        <v/>
      </c>
      <c r="X33">
        <f>HYPERLINK("https://klasma.github.io/Logging_1493/kartor/A 30652-2023 karta.png", "A 30652-2023")</f>
        <v/>
      </c>
      <c r="Y33">
        <f>HYPERLINK("https://klasma.github.io/Logging_1493/kartor_geotiff/A 30652-2023 georefererad karta.tif", "A 30652-2023")</f>
        <v/>
      </c>
      <c r="AA33">
        <f>HYPERLINK("https://klasma.github.io/Logging_1493/klagomål/A 30652-2023 FSC-klagomål.docx", "A 30652-2023")</f>
        <v/>
      </c>
      <c r="AB33">
        <f>HYPERLINK("https://klasma.github.io/Logging_1493/klagomålsmail/A 30652-2023 FSC-klagomål mail.docx", "A 30652-2023")</f>
        <v/>
      </c>
      <c r="AC33">
        <f>HYPERLINK("https://klasma.github.io/Logging_1493/tillsyn/A 30652-2023 tillsynsbegäran.docx", "A 30652-2023")</f>
        <v/>
      </c>
      <c r="AD33">
        <f>HYPERLINK("https://klasma.github.io/Logging_1493/tillsynsmail/A 30652-2023 tillsynsbegäran mail.docx", "A 30652-2023")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46301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17272-2023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46301</v>
      </c>
      <c r="F35" t="inlineStr">
        <is>
          <t>VÄSTRA GÖTALANDS LÄN</t>
        </is>
      </c>
      <c r="G35" t="inlineStr">
        <is>
          <t>MARIESTAD</t>
        </is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HYPERLINK("https://klasma.github.io/Logging_1493/artfynd/A 17272-2023 artfynd.xlsx", "A 17272-2023")</f>
        <v/>
      </c>
      <c r="X35">
        <f>HYPERLINK("https://klasma.github.io/Logging_1493/kartor/A 17272-2023 karta.png", "A 17272-2023")</f>
        <v/>
      </c>
      <c r="Y35">
        <f>HYPERLINK("https://klasma.github.io/Logging_1493/kartor_geotiff/A 17272-2023 georefererad karta.tif", "A 17272-2023")</f>
        <v/>
      </c>
      <c r="AA35">
        <f>HYPERLINK("https://klasma.github.io/Logging_1493/klagomål/A 17272-2023 FSC-klagomål.docx", "A 17272-2023")</f>
        <v/>
      </c>
      <c r="AB35">
        <f>HYPERLINK("https://klasma.github.io/Logging_1493/klagomålsmail/A 17272-2023 FSC-klagomål mail.docx", "A 17272-2023")</f>
        <v/>
      </c>
      <c r="AC35">
        <f>HYPERLINK("https://klasma.github.io/Logging_1493/tillsyn/A 17272-2023 tillsynsbegäran.docx", "A 17272-2023")</f>
        <v/>
      </c>
      <c r="AD35">
        <f>HYPERLINK("https://klasma.github.io/Logging_1493/tillsynsmail/A 17272-2023 tillsynsbegäran mail.docx", "A 17272-2023")</f>
        <v/>
      </c>
    </row>
    <row r="36" ht="15" customHeight="1">
      <c r="A36" t="inlineStr">
        <is>
          <t>A 20438-2024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45435</v>
      </c>
      <c r="E36" s="1" t="n">
        <v>46301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Griffelblomfluga</t>
        </is>
      </c>
      <c r="W36">
        <f>HYPERLINK("https://klasma.github.io/Logging_1493/artfynd/A 20438-2024 artfynd.xlsx", "A 20438-2024")</f>
        <v/>
      </c>
      <c r="X36">
        <f>HYPERLINK("https://klasma.github.io/Logging_1493/kartor/A 20438-2024 karta.png", "A 20438-2024")</f>
        <v/>
      </c>
      <c r="Y36">
        <f>HYPERLINK("https://klasma.github.io/Logging_1493/kartor_geotiff/A 20438-2024 georefererad karta.tif", "A 20438-2024")</f>
        <v/>
      </c>
      <c r="AA36">
        <f>HYPERLINK("https://klasma.github.io/Logging_1493/klagomål/A 20438-2024 FSC-klagomål.docx", "A 20438-2024")</f>
        <v/>
      </c>
      <c r="AB36">
        <f>HYPERLINK("https://klasma.github.io/Logging_1493/klagomålsmail/A 20438-2024 FSC-klagomål mail.docx", "A 20438-2024")</f>
        <v/>
      </c>
      <c r="AC36">
        <f>HYPERLINK("https://klasma.github.io/Logging_1493/tillsyn/A 20438-2024 tillsynsbegäran.docx", "A 20438-2024")</f>
        <v/>
      </c>
      <c r="AD36">
        <f>HYPERLINK("https://klasma.github.io/Logging_1493/tillsynsmail/A 20438-2024 tillsynsbegäran mail.docx", "A 20438-2024")</f>
        <v/>
      </c>
    </row>
    <row r="37" ht="15" customHeight="1">
      <c r="A37" t="inlineStr">
        <is>
          <t>A 42647-2023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45181</v>
      </c>
      <c r="E37" s="1" t="n">
        <v>46301</v>
      </c>
      <c r="F37" t="inlineStr">
        <is>
          <t>VÄSTRA GÖTALANDS LÄN</t>
        </is>
      </c>
      <c r="G37" t="inlineStr">
        <is>
          <t>MARIESTAD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Ärtsångare</t>
        </is>
      </c>
      <c r="W37">
        <f>HYPERLINK("https://klasma.github.io/Logging_1493/artfynd/A 42647-2023 artfynd.xlsx", "A 42647-2023")</f>
        <v/>
      </c>
      <c r="X37">
        <f>HYPERLINK("https://klasma.github.io/Logging_1493/kartor/A 42647-2023 karta.png", "A 42647-2023")</f>
        <v/>
      </c>
      <c r="Y37">
        <f>HYPERLINK("https://klasma.github.io/Logging_1493/kartor_geotiff/A 42647-2023 georefererad karta.tif", "A 42647-2023")</f>
        <v/>
      </c>
      <c r="AA37">
        <f>HYPERLINK("https://klasma.github.io/Logging_1493/klagomål/A 42647-2023 FSC-klagomål.docx", "A 42647-2023")</f>
        <v/>
      </c>
      <c r="AB37">
        <f>HYPERLINK("https://klasma.github.io/Logging_1493/klagomålsmail/A 42647-2023 FSC-klagomål mail.docx", "A 42647-2023")</f>
        <v/>
      </c>
      <c r="AC37">
        <f>HYPERLINK("https://klasma.github.io/Logging_1493/tillsyn/A 42647-2023 tillsynsbegäran.docx", "A 42647-2023")</f>
        <v/>
      </c>
      <c r="AD37">
        <f>HYPERLINK("https://klasma.github.io/Logging_1493/tillsynsmail/A 42647-2023 tillsynsbegäran mail.docx", "A 42647-2023")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46301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46301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46301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46301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46301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46301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46301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46301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46301</v>
      </c>
      <c r="F49" t="inlineStr">
        <is>
          <t>VÄSTRA GÖTALANDS LÄN</t>
        </is>
      </c>
      <c r="G49" t="inlineStr">
        <is>
          <t>MARIESTAD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67146-2021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46301</v>
      </c>
      <c r="F50" t="inlineStr">
        <is>
          <t>VÄSTRA GÖTALANDS LÄN</t>
        </is>
      </c>
      <c r="G50" t="inlineStr">
        <is>
          <t>MARIESTAD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46301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46301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46301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46301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44758</v>
      </c>
      <c r="E55" s="1" t="n">
        <v>46301</v>
      </c>
      <c r="F55" t="inlineStr">
        <is>
          <t>VÄSTRA GÖTALANDS LÄN</t>
        </is>
      </c>
      <c r="G55" t="inlineStr">
        <is>
          <t>MARIESTAD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46301</v>
      </c>
      <c r="F56" t="inlineStr">
        <is>
          <t>VÄSTRA GÖTALANDS LÄN</t>
        </is>
      </c>
      <c r="G56" t="inlineStr">
        <is>
          <t>MARIESTAD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46301</v>
      </c>
      <c r="F57" t="inlineStr">
        <is>
          <t>VÄSTRA GÖTALANDS LÄN</t>
        </is>
      </c>
      <c r="G57" t="inlineStr">
        <is>
          <t>MARIESTAD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46301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46301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46301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67142-2021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46301</v>
      </c>
      <c r="F61" t="inlineStr">
        <is>
          <t>VÄSTRA GÖTALANDS LÄN</t>
        </is>
      </c>
      <c r="G61" t="inlineStr">
        <is>
          <t>MARIESTAD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46301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46301</v>
      </c>
      <c r="F63" t="inlineStr">
        <is>
          <t>VÄSTRA GÖTALANDS LÄN</t>
        </is>
      </c>
      <c r="G63" t="inlineStr">
        <is>
          <t>MARIESTAD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45709</v>
      </c>
      <c r="E64" s="1" t="n">
        <v>46301</v>
      </c>
      <c r="F64" t="inlineStr">
        <is>
          <t>VÄSTRA GÖTALANDS LÄN</t>
        </is>
      </c>
      <c r="G64" t="inlineStr">
        <is>
          <t>MARIESTAD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45343</v>
      </c>
      <c r="E65" s="1" t="n">
        <v>46301</v>
      </c>
      <c r="F65" t="inlineStr">
        <is>
          <t>VÄSTRA GÖTALANDS LÄN</t>
        </is>
      </c>
      <c r="G65" t="inlineStr">
        <is>
          <t>MARIESTAD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45211</v>
      </c>
      <c r="E66" s="1" t="n">
        <v>46301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45299</v>
      </c>
      <c r="E67" s="1" t="n">
        <v>46301</v>
      </c>
      <c r="F67" t="inlineStr">
        <is>
          <t>VÄSTRA GÖTALANDS LÄN</t>
        </is>
      </c>
      <c r="G67" t="inlineStr">
        <is>
          <t>MARIESTAD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46301</v>
      </c>
      <c r="F68" t="inlineStr">
        <is>
          <t>VÄSTRA GÖTALANDS LÄN</t>
        </is>
      </c>
      <c r="G68" t="inlineStr">
        <is>
          <t>MARIESTAD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17165-2024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45412</v>
      </c>
      <c r="E69" s="1" t="n">
        <v>46301</v>
      </c>
      <c r="F69" t="inlineStr">
        <is>
          <t>VÄSTRA GÖTALANDS LÄN</t>
        </is>
      </c>
      <c r="G69" t="inlineStr">
        <is>
          <t>MARIESTAD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46301</v>
      </c>
      <c r="F70" t="inlineStr">
        <is>
          <t>VÄSTRA GÖTALANDS LÄN</t>
        </is>
      </c>
      <c r="G70" t="inlineStr">
        <is>
          <t>MARIESTAD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27451-2023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45097</v>
      </c>
      <c r="E71" s="1" t="n">
        <v>46301</v>
      </c>
      <c r="F71" t="inlineStr">
        <is>
          <t>VÄSTRA GÖTALANDS LÄN</t>
        </is>
      </c>
      <c r="G71" t="inlineStr">
        <is>
          <t>MARIESTAD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46301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46301</v>
      </c>
      <c r="F73" t="inlineStr">
        <is>
          <t>VÄSTRA GÖTALANDS LÄN</t>
        </is>
      </c>
      <c r="G73" t="inlineStr">
        <is>
          <t>MARIESTAD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45460</v>
      </c>
      <c r="E74" s="1" t="n">
        <v>46301</v>
      </c>
      <c r="F74" t="inlineStr">
        <is>
          <t>VÄSTRA GÖTALANDS LÄN</t>
        </is>
      </c>
      <c r="G74" t="inlineStr">
        <is>
          <t>MARIESTAD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46301</v>
      </c>
      <c r="F75" t="inlineStr">
        <is>
          <t>VÄSTRA GÖTALANDS LÄN</t>
        </is>
      </c>
      <c r="G75" t="inlineStr">
        <is>
          <t>MARIESTAD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54717-2022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46301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74081-2021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44553</v>
      </c>
      <c r="E77" s="1" t="n">
        <v>46301</v>
      </c>
      <c r="F77" t="inlineStr">
        <is>
          <t>VÄSTRA GÖTALANDS LÄN</t>
        </is>
      </c>
      <c r="G77" t="inlineStr">
        <is>
          <t>MARIESTAD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33571-2023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45131</v>
      </c>
      <c r="E78" s="1" t="n">
        <v>46301</v>
      </c>
      <c r="F78" t="inlineStr">
        <is>
          <t>VÄSTRA GÖTALANDS LÄN</t>
        </is>
      </c>
      <c r="G78" t="inlineStr">
        <is>
          <t>MARIESTAD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46301</v>
      </c>
      <c r="F79" t="inlineStr">
        <is>
          <t>VÄSTRA GÖTALANDS LÄN</t>
        </is>
      </c>
      <c r="G79" t="inlineStr">
        <is>
          <t>MARIESTAD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46301</v>
      </c>
      <c r="F80" t="inlineStr">
        <is>
          <t>VÄSTRA GÖTALANDS LÄN</t>
        </is>
      </c>
      <c r="G80" t="inlineStr">
        <is>
          <t>MARIESTAD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45516</v>
      </c>
      <c r="E81" s="1" t="n">
        <v>46301</v>
      </c>
      <c r="F81" t="inlineStr">
        <is>
          <t>VÄSTRA GÖTALANDS LÄN</t>
        </is>
      </c>
      <c r="G81" t="inlineStr">
        <is>
          <t>MARIESTAD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45265</v>
      </c>
      <c r="E82" s="1" t="n">
        <v>46301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45443</v>
      </c>
      <c r="E83" s="1" t="n">
        <v>46301</v>
      </c>
      <c r="F83" t="inlineStr">
        <is>
          <t>VÄSTRA GÖTALANDS LÄN</t>
        </is>
      </c>
      <c r="G83" t="inlineStr">
        <is>
          <t>MARIESTAD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46301</v>
      </c>
      <c r="F84" t="inlineStr">
        <is>
          <t>VÄSTRA GÖTALANDS LÄN</t>
        </is>
      </c>
      <c r="G84" t="inlineStr">
        <is>
          <t>MARIESTAD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46301</v>
      </c>
      <c r="F85" t="inlineStr">
        <is>
          <t>VÄSTRA GÖTALANDS LÄN</t>
        </is>
      </c>
      <c r="G85" t="inlineStr">
        <is>
          <t>MARIESTAD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46301</v>
      </c>
      <c r="F86" t="inlineStr">
        <is>
          <t>VÄSTRA GÖTALANDS LÄN</t>
        </is>
      </c>
      <c r="G86" t="inlineStr">
        <is>
          <t>MARIESTAD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58598-2021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46301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66771-2021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44521</v>
      </c>
      <c r="E88" s="1" t="n">
        <v>46301</v>
      </c>
      <c r="F88" t="inlineStr">
        <is>
          <t>VÄSTRA GÖTALANDS LÄN</t>
        </is>
      </c>
      <c r="G88" t="inlineStr">
        <is>
          <t>MARIESTAD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46301</v>
      </c>
      <c r="F89" t="inlineStr">
        <is>
          <t>VÄSTRA GÖTALANDS LÄN</t>
        </is>
      </c>
      <c r="G89" t="inlineStr">
        <is>
          <t>MARIESTAD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46301</v>
      </c>
      <c r="F90" t="inlineStr">
        <is>
          <t>VÄSTRA GÖTALANDS LÄN</t>
        </is>
      </c>
      <c r="G90" t="inlineStr">
        <is>
          <t>MARIESTAD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46301</v>
      </c>
      <c r="F91" t="inlineStr">
        <is>
          <t>VÄSTRA GÖTALANDS LÄN</t>
        </is>
      </c>
      <c r="G91" t="inlineStr">
        <is>
          <t>MARIESTAD</t>
        </is>
      </c>
      <c r="I91" t="n">
        <v>9.699999999999999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45590</v>
      </c>
      <c r="E92" s="1" t="n">
        <v>46301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45674</v>
      </c>
      <c r="E93" s="1" t="n">
        <v>46301</v>
      </c>
      <c r="F93" t="inlineStr">
        <is>
          <t>VÄSTRA GÖTALANDS LÄN</t>
        </is>
      </c>
      <c r="G93" t="inlineStr">
        <is>
          <t>MARIESTAD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46301</v>
      </c>
      <c r="F94" t="inlineStr">
        <is>
          <t>VÄSTRA GÖTALANDS LÄN</t>
        </is>
      </c>
      <c r="G94" t="inlineStr">
        <is>
          <t>MARIESTAD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46301</v>
      </c>
      <c r="F95" t="inlineStr">
        <is>
          <t>VÄSTRA GÖTALANDS LÄN</t>
        </is>
      </c>
      <c r="G95" t="inlineStr">
        <is>
          <t>MARIESTAD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46301</v>
      </c>
      <c r="F96" t="inlineStr">
        <is>
          <t>VÄSTRA GÖTALANDS LÄN</t>
        </is>
      </c>
      <c r="G96" t="inlineStr">
        <is>
          <t>MARIESTAD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46301</v>
      </c>
      <c r="F97" t="inlineStr">
        <is>
          <t>VÄSTRA GÖTALANDS LÄN</t>
        </is>
      </c>
      <c r="G97" t="inlineStr">
        <is>
          <t>MARIESTAD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46301</v>
      </c>
      <c r="F98" t="inlineStr">
        <is>
          <t>VÄSTRA GÖTALANDS LÄN</t>
        </is>
      </c>
      <c r="G98" t="inlineStr">
        <is>
          <t>MARIESTAD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46301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46301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46301</v>
      </c>
      <c r="F101" t="inlineStr">
        <is>
          <t>VÄSTRA GÖTALANDS LÄN</t>
        </is>
      </c>
      <c r="G101" t="inlineStr">
        <is>
          <t>MARIESTAD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46301</v>
      </c>
      <c r="F102" t="inlineStr">
        <is>
          <t>VÄSTRA GÖTALANDS LÄN</t>
        </is>
      </c>
      <c r="G102" t="inlineStr">
        <is>
          <t>MARIESTAD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46301</v>
      </c>
      <c r="F103" t="inlineStr">
        <is>
          <t>VÄSTRA GÖTALANDS LÄN</t>
        </is>
      </c>
      <c r="G103" t="inlineStr">
        <is>
          <t>MARIESTAD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46301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46301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60812-2023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45260</v>
      </c>
      <c r="E106" s="1" t="n">
        <v>46301</v>
      </c>
      <c r="F106" t="inlineStr">
        <is>
          <t>VÄSTRA GÖTALANDS LÄN</t>
        </is>
      </c>
      <c r="G106" t="inlineStr">
        <is>
          <t>MARIESTAD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45516</v>
      </c>
      <c r="E107" s="1" t="n">
        <v>46301</v>
      </c>
      <c r="F107" t="inlineStr">
        <is>
          <t>VÄSTRA GÖTALANDS LÄN</t>
        </is>
      </c>
      <c r="G107" t="inlineStr">
        <is>
          <t>MARIESTAD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45516</v>
      </c>
      <c r="E108" s="1" t="n">
        <v>46301</v>
      </c>
      <c r="F108" t="inlineStr">
        <is>
          <t>VÄSTRA GÖTALANDS LÄN</t>
        </is>
      </c>
      <c r="G108" t="inlineStr">
        <is>
          <t>MARIESTAD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46301</v>
      </c>
      <c r="F109" t="inlineStr">
        <is>
          <t>VÄSTRA GÖTALANDS LÄN</t>
        </is>
      </c>
      <c r="G109" t="inlineStr">
        <is>
          <t>MARIESTAD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46301</v>
      </c>
      <c r="F110" t="inlineStr">
        <is>
          <t>VÄSTRA GÖTALANDS LÄN</t>
        </is>
      </c>
      <c r="G110" t="inlineStr">
        <is>
          <t>MARIESTAD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44999</v>
      </c>
      <c r="E111" s="1" t="n">
        <v>46301</v>
      </c>
      <c r="F111" t="inlineStr">
        <is>
          <t>VÄSTRA GÖTALANDS LÄN</t>
        </is>
      </c>
      <c r="G111" t="inlineStr">
        <is>
          <t>MARIESTAD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46051</v>
      </c>
      <c r="E112" s="1" t="n">
        <v>46301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Kyrkan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46301</v>
      </c>
      <c r="F113" t="inlineStr">
        <is>
          <t>VÄSTRA GÖTALANDS LÄN</t>
        </is>
      </c>
      <c r="G113" t="inlineStr">
        <is>
          <t>MARIESTAD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46301</v>
      </c>
      <c r="F114" t="inlineStr">
        <is>
          <t>VÄSTRA GÖTALANDS LÄN</t>
        </is>
      </c>
      <c r="G114" t="inlineStr">
        <is>
          <t>MARIESTAD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16867-2023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45033</v>
      </c>
      <c r="E115" s="1" t="n">
        <v>46301</v>
      </c>
      <c r="F115" t="inlineStr">
        <is>
          <t>VÄSTRA GÖTALANDS LÄN</t>
        </is>
      </c>
      <c r="G115" t="inlineStr">
        <is>
          <t>MARIESTAD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45240</v>
      </c>
      <c r="E116" s="1" t="n">
        <v>46301</v>
      </c>
      <c r="F116" t="inlineStr">
        <is>
          <t>VÄSTRA GÖTALANDS LÄN</t>
        </is>
      </c>
      <c r="G116" t="inlineStr">
        <is>
          <t>MARIESTAD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46301</v>
      </c>
      <c r="F117" t="inlineStr">
        <is>
          <t>VÄSTRA GÖTALANDS LÄN</t>
        </is>
      </c>
      <c r="G117" t="inlineStr">
        <is>
          <t>MARIESTAD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46301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46301</v>
      </c>
      <c r="F119" t="inlineStr">
        <is>
          <t>VÄSTRA GÖTALANDS LÄN</t>
        </is>
      </c>
      <c r="G119" t="inlineStr">
        <is>
          <t>MARIESTAD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46301</v>
      </c>
      <c r="F120" t="inlineStr">
        <is>
          <t>VÄSTRA GÖTALANDS LÄN</t>
        </is>
      </c>
      <c r="G120" t="inlineStr">
        <is>
          <t>MARIESTAD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53097-2022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44876</v>
      </c>
      <c r="E121" s="1" t="n">
        <v>46301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46301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Kyrkan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46301</v>
      </c>
      <c r="F123" t="inlineStr">
        <is>
          <t>VÄSTRA GÖTALANDS LÄN</t>
        </is>
      </c>
      <c r="G123" t="inlineStr">
        <is>
          <t>MARIESTAD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46301</v>
      </c>
      <c r="F124" t="inlineStr">
        <is>
          <t>VÄSTRA GÖTALANDS LÄN</t>
        </is>
      </c>
      <c r="G124" t="inlineStr">
        <is>
          <t>MARIESTAD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46301</v>
      </c>
      <c r="F125" t="inlineStr">
        <is>
          <t>VÄSTRA GÖTALANDS LÄN</t>
        </is>
      </c>
      <c r="G125" t="inlineStr">
        <is>
          <t>MARIESTAD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46301</v>
      </c>
      <c r="F126" t="inlineStr">
        <is>
          <t>VÄSTRA GÖTALANDS LÄN</t>
        </is>
      </c>
      <c r="G126" t="inlineStr">
        <is>
          <t>MARIESTAD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46301</v>
      </c>
      <c r="F127" t="inlineStr">
        <is>
          <t>VÄSTRA GÖTALANDS LÄN</t>
        </is>
      </c>
      <c r="G127" t="inlineStr">
        <is>
          <t>MARIESTAD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46301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46301</v>
      </c>
      <c r="F129" t="inlineStr">
        <is>
          <t>VÄSTRA GÖTALANDS LÄN</t>
        </is>
      </c>
      <c r="G129" t="inlineStr">
        <is>
          <t>MARIESTAD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45199</v>
      </c>
      <c r="E130" s="1" t="n">
        <v>46301</v>
      </c>
      <c r="F130" t="inlineStr">
        <is>
          <t>VÄSTRA GÖTALANDS LÄN</t>
        </is>
      </c>
      <c r="G130" t="inlineStr">
        <is>
          <t>MARIESTAD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46301</v>
      </c>
      <c r="F131" t="inlineStr">
        <is>
          <t>VÄSTRA GÖTALANDS LÄN</t>
        </is>
      </c>
      <c r="G131" t="inlineStr">
        <is>
          <t>MARIESTAD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46301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Kyrkan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26688-2022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44739</v>
      </c>
      <c r="E133" s="1" t="n">
        <v>46301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36738-2025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45873</v>
      </c>
      <c r="E134" s="1" t="n">
        <v>46301</v>
      </c>
      <c r="F134" t="inlineStr">
        <is>
          <t>VÄSTRA GÖTALANDS LÄN</t>
        </is>
      </c>
      <c r="G134" t="inlineStr">
        <is>
          <t>MARIESTAD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46301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46301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46301</v>
      </c>
      <c r="F137" t="inlineStr">
        <is>
          <t>VÄSTRA GÖTALANDS LÄN</t>
        </is>
      </c>
      <c r="G137" t="inlineStr">
        <is>
          <t>MARIESTAD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44830</v>
      </c>
      <c r="E138" s="1" t="n">
        <v>46301</v>
      </c>
      <c r="F138" t="inlineStr">
        <is>
          <t>VÄSTRA GÖTALANDS LÄN</t>
        </is>
      </c>
      <c r="G138" t="inlineStr">
        <is>
          <t>MARIESTAD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46301</v>
      </c>
      <c r="F139" t="inlineStr">
        <is>
          <t>VÄSTRA GÖTALANDS LÄN</t>
        </is>
      </c>
      <c r="G139" t="inlineStr">
        <is>
          <t>MARIESTAD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46301</v>
      </c>
      <c r="F140" t="inlineStr">
        <is>
          <t>VÄSTRA GÖTALANDS LÄN</t>
        </is>
      </c>
      <c r="G140" t="inlineStr">
        <is>
          <t>MARIESTAD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46301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Kyrkan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46061</v>
      </c>
      <c r="E142" s="1" t="n">
        <v>46301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46301</v>
      </c>
      <c r="F143" t="inlineStr">
        <is>
          <t>VÄSTRA GÖTALANDS LÄN</t>
        </is>
      </c>
      <c r="G143" t="inlineStr">
        <is>
          <t>MARIESTAD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44965</v>
      </c>
      <c r="E144" s="1" t="n">
        <v>46301</v>
      </c>
      <c r="F144" t="inlineStr">
        <is>
          <t>VÄSTRA GÖTALANDS LÄN</t>
        </is>
      </c>
      <c r="G144" t="inlineStr">
        <is>
          <t>MARIESTAD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13655-2023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45006</v>
      </c>
      <c r="E145" s="1" t="n">
        <v>46301</v>
      </c>
      <c r="F145" t="inlineStr">
        <is>
          <t>VÄSTRA GÖTALANDS LÄN</t>
        </is>
      </c>
      <c r="G145" t="inlineStr">
        <is>
          <t>MARIESTAD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46301</v>
      </c>
      <c r="F146" t="inlineStr">
        <is>
          <t>VÄSTRA GÖTALANDS LÄN</t>
        </is>
      </c>
      <c r="G146" t="inlineStr">
        <is>
          <t>MARIESTAD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46301</v>
      </c>
      <c r="F147" t="inlineStr">
        <is>
          <t>VÄSTRA GÖTALANDS LÄN</t>
        </is>
      </c>
      <c r="G147" t="inlineStr">
        <is>
          <t>MARIESTAD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9558-2026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46071</v>
      </c>
      <c r="E148" s="1" t="n">
        <v>46301</v>
      </c>
      <c r="F148" t="inlineStr">
        <is>
          <t>VÄSTRA GÖTALANDS LÄN</t>
        </is>
      </c>
      <c r="G148" t="inlineStr">
        <is>
          <t>MARIESTAD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46301</v>
      </c>
      <c r="F149" t="inlineStr">
        <is>
          <t>VÄSTRA GÖTALANDS LÄN</t>
        </is>
      </c>
      <c r="G149" t="inlineStr">
        <is>
          <t>MARIESTAD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44986</v>
      </c>
      <c r="E150" s="1" t="n">
        <v>46301</v>
      </c>
      <c r="F150" t="inlineStr">
        <is>
          <t>VÄSTRA GÖTALANDS LÄN</t>
        </is>
      </c>
      <c r="G150" t="inlineStr">
        <is>
          <t>MARIESTAD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44993</v>
      </c>
      <c r="E151" s="1" t="n">
        <v>46301</v>
      </c>
      <c r="F151" t="inlineStr">
        <is>
          <t>VÄSTRA GÖTALANDS LÄN</t>
        </is>
      </c>
      <c r="G151" t="inlineStr">
        <is>
          <t>MARIESTAD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46301</v>
      </c>
      <c r="F152" t="inlineStr">
        <is>
          <t>VÄSTRA GÖTALANDS LÄN</t>
        </is>
      </c>
      <c r="G152" t="inlineStr">
        <is>
          <t>MARIESTAD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46301</v>
      </c>
      <c r="F153" t="inlineStr">
        <is>
          <t>VÄSTRA GÖTALANDS LÄN</t>
        </is>
      </c>
      <c r="G153" t="inlineStr">
        <is>
          <t>MARIESTAD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46077</v>
      </c>
      <c r="E154" s="1" t="n">
        <v>46301</v>
      </c>
      <c r="F154" t="inlineStr">
        <is>
          <t>VÄSTRA GÖTALANDS LÄN</t>
        </is>
      </c>
      <c r="G154" t="inlineStr">
        <is>
          <t>MARIESTAD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46301</v>
      </c>
      <c r="F155" t="inlineStr">
        <is>
          <t>VÄSTRA GÖTALANDS LÄN</t>
        </is>
      </c>
      <c r="G155" t="inlineStr">
        <is>
          <t>MARIESTAD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46301</v>
      </c>
      <c r="F156" t="inlineStr">
        <is>
          <t>VÄSTRA GÖTALANDS LÄN</t>
        </is>
      </c>
      <c r="G156" t="inlineStr">
        <is>
          <t>MARIESTAD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46301</v>
      </c>
      <c r="F157" t="inlineStr">
        <is>
          <t>VÄSTRA GÖTALANDS LÄN</t>
        </is>
      </c>
      <c r="G157" t="inlineStr">
        <is>
          <t>MARIESTAD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45722</v>
      </c>
      <c r="E158" s="1" t="n">
        <v>46301</v>
      </c>
      <c r="F158" t="inlineStr">
        <is>
          <t>VÄSTRA GÖTALANDS LÄN</t>
        </is>
      </c>
      <c r="G158" t="inlineStr">
        <is>
          <t>MARIESTAD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46301</v>
      </c>
      <c r="F159" t="inlineStr">
        <is>
          <t>VÄSTRA GÖTALANDS LÄN</t>
        </is>
      </c>
      <c r="G159" t="inlineStr">
        <is>
          <t>MARIESTAD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46301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46301</v>
      </c>
      <c r="F161" t="inlineStr">
        <is>
          <t>VÄSTRA GÖTALANDS LÄN</t>
        </is>
      </c>
      <c r="G161" t="inlineStr">
        <is>
          <t>MARIESTAD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46301</v>
      </c>
      <c r="F162" t="inlineStr">
        <is>
          <t>VÄSTRA GÖTALANDS LÄN</t>
        </is>
      </c>
      <c r="G162" t="inlineStr">
        <is>
          <t>MARIESTAD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46301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46301</v>
      </c>
      <c r="F164" t="inlineStr">
        <is>
          <t>VÄSTRA GÖTALANDS LÄN</t>
        </is>
      </c>
      <c r="G164" t="inlineStr">
        <is>
          <t>MARIESTAD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46301</v>
      </c>
      <c r="F165" t="inlineStr">
        <is>
          <t>VÄSTRA GÖTALANDS LÄN</t>
        </is>
      </c>
      <c r="G165" t="inlineStr">
        <is>
          <t>MARIESTAD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46301</v>
      </c>
      <c r="F166" t="inlineStr">
        <is>
          <t>VÄSTRA GÖTALANDS LÄN</t>
        </is>
      </c>
      <c r="G166" t="inlineStr">
        <is>
          <t>MARIESTAD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46301</v>
      </c>
      <c r="F167" t="inlineStr">
        <is>
          <t>VÄSTRA GÖTALANDS LÄN</t>
        </is>
      </c>
      <c r="G167" t="inlineStr">
        <is>
          <t>MARIESTAD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46301</v>
      </c>
      <c r="F168" t="inlineStr">
        <is>
          <t>VÄSTRA GÖTALANDS LÄN</t>
        </is>
      </c>
      <c r="G168" t="inlineStr">
        <is>
          <t>MARIESTAD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46301</v>
      </c>
      <c r="F169" t="inlineStr">
        <is>
          <t>VÄSTRA GÖTALANDS LÄN</t>
        </is>
      </c>
      <c r="G169" t="inlineStr">
        <is>
          <t>MARIESTAD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46301</v>
      </c>
      <c r="F170" t="inlineStr">
        <is>
          <t>VÄSTRA GÖTALANDS LÄN</t>
        </is>
      </c>
      <c r="G170" t="inlineStr">
        <is>
          <t>MARIESTAD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46301</v>
      </c>
      <c r="F171" t="inlineStr">
        <is>
          <t>VÄSTRA GÖTALANDS LÄN</t>
        </is>
      </c>
      <c r="G171" t="inlineStr">
        <is>
          <t>MARIESTAD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46301</v>
      </c>
      <c r="F172" t="inlineStr">
        <is>
          <t>VÄSTRA GÖTALANDS LÄN</t>
        </is>
      </c>
      <c r="G172" t="inlineStr">
        <is>
          <t>MARIESTAD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44843</v>
      </c>
      <c r="E173" s="1" t="n">
        <v>46301</v>
      </c>
      <c r="F173" t="inlineStr">
        <is>
          <t>VÄSTRA GÖTALANDS LÄN</t>
        </is>
      </c>
      <c r="G173" t="inlineStr">
        <is>
          <t>MARIESTAD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46301</v>
      </c>
      <c r="F174" t="inlineStr">
        <is>
          <t>VÄSTRA GÖTALANDS LÄN</t>
        </is>
      </c>
      <c r="G174" t="inlineStr">
        <is>
          <t>MARIESTAD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46301</v>
      </c>
      <c r="F175" t="inlineStr">
        <is>
          <t>VÄSTRA GÖTALANDS LÄN</t>
        </is>
      </c>
      <c r="G175" t="inlineStr">
        <is>
          <t>MARIESTAD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46301</v>
      </c>
      <c r="F176" t="inlineStr">
        <is>
          <t>VÄSTRA GÖTALANDS LÄN</t>
        </is>
      </c>
      <c r="G176" t="inlineStr">
        <is>
          <t>MARIESTAD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36399-2024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45535</v>
      </c>
      <c r="E177" s="1" t="n">
        <v>46301</v>
      </c>
      <c r="F177" t="inlineStr">
        <is>
          <t>VÄSTRA GÖTALANDS LÄN</t>
        </is>
      </c>
      <c r="G177" t="inlineStr">
        <is>
          <t>MARIESTAD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44943</v>
      </c>
      <c r="E178" s="1" t="n">
        <v>46301</v>
      </c>
      <c r="F178" t="inlineStr">
        <is>
          <t>VÄSTRA GÖTALANDS LÄN</t>
        </is>
      </c>
      <c r="G178" t="inlineStr">
        <is>
          <t>MARIESTAD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46301</v>
      </c>
      <c r="F179" t="inlineStr">
        <is>
          <t>VÄSTRA GÖTALANDS LÄN</t>
        </is>
      </c>
      <c r="G179" t="inlineStr">
        <is>
          <t>MARIESTAD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46301</v>
      </c>
      <c r="F180" t="inlineStr">
        <is>
          <t>VÄSTRA GÖTALANDS LÄN</t>
        </is>
      </c>
      <c r="G180" t="inlineStr">
        <is>
          <t>MARIESTAD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62633-2025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46301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46301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Kyrkan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43466-2022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44836</v>
      </c>
      <c r="E183" s="1" t="n">
        <v>46301</v>
      </c>
      <c r="F183" t="inlineStr">
        <is>
          <t>VÄSTRA GÖTALANDS LÄN</t>
        </is>
      </c>
      <c r="G183" t="inlineStr">
        <is>
          <t>MARIESTAD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46301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46301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46301</v>
      </c>
      <c r="F186" t="inlineStr">
        <is>
          <t>VÄSTRA GÖTALANDS LÄN</t>
        </is>
      </c>
      <c r="G186" t="inlineStr">
        <is>
          <t>MARIESTAD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46301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46301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45200</v>
      </c>
      <c r="E189" s="1" t="n">
        <v>46301</v>
      </c>
      <c r="F189" t="inlineStr">
        <is>
          <t>VÄSTRA GÖTALANDS LÄN</t>
        </is>
      </c>
      <c r="G189" t="inlineStr">
        <is>
          <t>MARIESTAD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39766-2023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45167</v>
      </c>
      <c r="E190" s="1" t="n">
        <v>46301</v>
      </c>
      <c r="F190" t="inlineStr">
        <is>
          <t>VÄSTRA GÖTALANDS LÄN</t>
        </is>
      </c>
      <c r="G190" t="inlineStr">
        <is>
          <t>MARIESTAD</t>
        </is>
      </c>
      <c r="I190" t="n">
        <v>26.5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46301</v>
      </c>
      <c r="F191" t="inlineStr">
        <is>
          <t>VÄSTRA GÖTALANDS LÄN</t>
        </is>
      </c>
      <c r="G191" t="inlineStr">
        <is>
          <t>MARIESTAD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46301</v>
      </c>
      <c r="F192" t="inlineStr">
        <is>
          <t>VÄSTRA GÖTALANDS LÄN</t>
        </is>
      </c>
      <c r="G192" t="inlineStr">
        <is>
          <t>MARIESTAD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46301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17143-2024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46301</v>
      </c>
      <c r="F194" t="inlineStr">
        <is>
          <t>VÄSTRA GÖTALANDS LÄN</t>
        </is>
      </c>
      <c r="G194" t="inlineStr">
        <is>
          <t>MARIESTAD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45412</v>
      </c>
      <c r="E195" s="1" t="n">
        <v>46301</v>
      </c>
      <c r="F195" t="inlineStr">
        <is>
          <t>VÄSTRA GÖTALANDS LÄN</t>
        </is>
      </c>
      <c r="G195" t="inlineStr">
        <is>
          <t>MARIESTAD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45560</v>
      </c>
      <c r="E196" s="1" t="n">
        <v>46301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45397</v>
      </c>
      <c r="E197" s="1" t="n">
        <v>46301</v>
      </c>
      <c r="F197" t="inlineStr">
        <is>
          <t>VÄSTRA GÖTALANDS LÄN</t>
        </is>
      </c>
      <c r="G197" t="inlineStr">
        <is>
          <t>MARIESTAD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45875</v>
      </c>
      <c r="E198" s="1" t="n">
        <v>46301</v>
      </c>
      <c r="F198" t="inlineStr">
        <is>
          <t>VÄSTRA GÖTALANDS LÄN</t>
        </is>
      </c>
      <c r="G198" t="inlineStr">
        <is>
          <t>MARIESTAD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44620</v>
      </c>
      <c r="E199" s="1" t="n">
        <v>46301</v>
      </c>
      <c r="F199" t="inlineStr">
        <is>
          <t>VÄSTRA GÖTALANDS LÄN</t>
        </is>
      </c>
      <c r="G199" t="inlineStr">
        <is>
          <t>MARIESTAD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40455-2023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45170</v>
      </c>
      <c r="E200" s="1" t="n">
        <v>46301</v>
      </c>
      <c r="F200" t="inlineStr">
        <is>
          <t>VÄSTRA GÖTALANDS LÄN</t>
        </is>
      </c>
      <c r="G200" t="inlineStr">
        <is>
          <t>MARIESTAD</t>
        </is>
      </c>
      <c r="I200" t="n">
        <v>34.9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46301</v>
      </c>
      <c r="F201" t="inlineStr">
        <is>
          <t>VÄSTRA GÖTALANDS LÄN</t>
        </is>
      </c>
      <c r="G201" t="inlineStr">
        <is>
          <t>MARIESTAD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46301</v>
      </c>
      <c r="F202" t="inlineStr">
        <is>
          <t>VÄSTRA GÖTALANDS LÄN</t>
        </is>
      </c>
      <c r="G202" t="inlineStr">
        <is>
          <t>MARIESTAD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70259-2021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44536</v>
      </c>
      <c r="E203" s="1" t="n">
        <v>46301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46301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46301</v>
      </c>
      <c r="F205" t="inlineStr">
        <is>
          <t>VÄSTRA GÖTALANDS LÄN</t>
        </is>
      </c>
      <c r="G205" t="inlineStr">
        <is>
          <t>MARIESTAD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46301</v>
      </c>
      <c r="F206" t="inlineStr">
        <is>
          <t>VÄSTRA GÖTALANDS LÄN</t>
        </is>
      </c>
      <c r="G206" t="inlineStr">
        <is>
          <t>MARIESTAD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46301</v>
      </c>
      <c r="F207" t="inlineStr">
        <is>
          <t>VÄSTRA GÖTALANDS LÄN</t>
        </is>
      </c>
      <c r="G207" t="inlineStr">
        <is>
          <t>MARIESTAD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46301</v>
      </c>
      <c r="F208" t="inlineStr">
        <is>
          <t>VÄSTRA GÖTALANDS LÄN</t>
        </is>
      </c>
      <c r="G208" t="inlineStr">
        <is>
          <t>MARIESTAD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21361-2026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46142</v>
      </c>
      <c r="E209" s="1" t="n">
        <v>46301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Kyrkan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46301</v>
      </c>
      <c r="F210" t="inlineStr">
        <is>
          <t>VÄSTRA GÖTALANDS LÄN</t>
        </is>
      </c>
      <c r="G210" t="inlineStr">
        <is>
          <t>MARIESTAD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46301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46301</v>
      </c>
      <c r="F212" t="inlineStr">
        <is>
          <t>VÄSTRA GÖTALANDS LÄN</t>
        </is>
      </c>
      <c r="G212" t="inlineStr">
        <is>
          <t>MARIESTAD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46301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46301</v>
      </c>
      <c r="F214" t="inlineStr">
        <is>
          <t>VÄSTRA GÖTALANDS LÄN</t>
        </is>
      </c>
      <c r="G214" t="inlineStr">
        <is>
          <t>MARIESTAD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46163</v>
      </c>
      <c r="E215" s="1" t="n">
        <v>46301</v>
      </c>
      <c r="F215" t="inlineStr">
        <is>
          <t>VÄSTRA GÖTALANDS LÄN</t>
        </is>
      </c>
      <c r="G215" t="inlineStr">
        <is>
          <t>MARIESTAD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50579-2023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45217</v>
      </c>
      <c r="E216" s="1" t="n">
        <v>46301</v>
      </c>
      <c r="F216" t="inlineStr">
        <is>
          <t>VÄSTRA GÖTALANDS LÄN</t>
        </is>
      </c>
      <c r="G216" t="inlineStr">
        <is>
          <t>MARIESTAD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46301</v>
      </c>
      <c r="F217" t="inlineStr">
        <is>
          <t>VÄSTRA GÖTALANDS LÄN</t>
        </is>
      </c>
      <c r="G217" t="inlineStr">
        <is>
          <t>MARIESTAD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46301</v>
      </c>
      <c r="F218" t="inlineStr">
        <is>
          <t>VÄSTRA GÖTALANDS LÄN</t>
        </is>
      </c>
      <c r="G218" t="inlineStr">
        <is>
          <t>MARIESTAD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44629</v>
      </c>
      <c r="E219" s="1" t="n">
        <v>46301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46301</v>
      </c>
      <c r="F220" t="inlineStr">
        <is>
          <t>VÄSTRA GÖTALANDS LÄN</t>
        </is>
      </c>
      <c r="G220" t="inlineStr">
        <is>
          <t>MARIESTAD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46301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46301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46301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44638</v>
      </c>
      <c r="E224" s="1" t="n">
        <v>46301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46301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45200</v>
      </c>
      <c r="E226" s="1" t="n">
        <v>46301</v>
      </c>
      <c r="F226" t="inlineStr">
        <is>
          <t>VÄSTRA GÖTALANDS LÄN</t>
        </is>
      </c>
      <c r="G226" t="inlineStr">
        <is>
          <t>MARIESTAD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46301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45691</v>
      </c>
      <c r="E228" s="1" t="n">
        <v>46301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46301</v>
      </c>
      <c r="F229" t="inlineStr">
        <is>
          <t>VÄSTRA GÖTALANDS LÄN</t>
        </is>
      </c>
      <c r="G229" t="inlineStr">
        <is>
          <t>MARIESTAD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44574</v>
      </c>
      <c r="E230" s="1" t="n">
        <v>46301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46301</v>
      </c>
      <c r="F231" t="inlineStr">
        <is>
          <t>VÄSTRA GÖTALANDS LÄN</t>
        </is>
      </c>
      <c r="G231" t="inlineStr">
        <is>
          <t>MARIESTAD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49184-2023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46301</v>
      </c>
      <c r="F232" t="inlineStr">
        <is>
          <t>VÄSTRA GÖTALANDS LÄN</t>
        </is>
      </c>
      <c r="G232" t="inlineStr">
        <is>
          <t>MARIESTAD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46301</v>
      </c>
      <c r="F233" t="inlineStr">
        <is>
          <t>VÄSTRA GÖTALANDS LÄN</t>
        </is>
      </c>
      <c r="G233" t="inlineStr">
        <is>
          <t>MARIESTAD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58077-2022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44900</v>
      </c>
      <c r="E234" s="1" t="n">
        <v>46301</v>
      </c>
      <c r="F234" t="inlineStr">
        <is>
          <t>VÄSTRA GÖTALANDS LÄN</t>
        </is>
      </c>
      <c r="G234" t="inlineStr">
        <is>
          <t>MARIESTAD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46301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26912-2026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46185</v>
      </c>
      <c r="E236" s="1" t="n">
        <v>46301</v>
      </c>
      <c r="F236" t="inlineStr">
        <is>
          <t>VÄSTRA GÖTALANDS LÄN</t>
        </is>
      </c>
      <c r="G236" t="inlineStr">
        <is>
          <t>MARIESTAD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46301</v>
      </c>
      <c r="F237" t="inlineStr">
        <is>
          <t>VÄSTRA GÖTALANDS LÄN</t>
        </is>
      </c>
      <c r="G237" t="inlineStr">
        <is>
          <t>MARIESTAD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46301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Sveaskog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46301</v>
      </c>
      <c r="F239" t="inlineStr">
        <is>
          <t>VÄSTRA GÖTALANDS LÄN</t>
        </is>
      </c>
      <c r="G239" t="inlineStr">
        <is>
          <t>MARIESTAD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44746</v>
      </c>
      <c r="E240" s="1" t="n">
        <v>46301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46301</v>
      </c>
      <c r="F241" t="inlineStr">
        <is>
          <t>VÄSTRA GÖTALANDS LÄN</t>
        </is>
      </c>
      <c r="G241" t="inlineStr">
        <is>
          <t>MARIESTAD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45265</v>
      </c>
      <c r="E242" s="1" t="n">
        <v>46301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46301</v>
      </c>
      <c r="F243" t="inlineStr">
        <is>
          <t>VÄSTRA GÖTALANDS LÄN</t>
        </is>
      </c>
      <c r="G243" t="inlineStr">
        <is>
          <t>MARIESTAD</t>
        </is>
      </c>
      <c r="I243" t="n">
        <v>11.9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44693</v>
      </c>
      <c r="E244" s="1" t="n">
        <v>46301</v>
      </c>
      <c r="F244" t="inlineStr">
        <is>
          <t>VÄSTRA GÖTALANDS LÄN</t>
        </is>
      </c>
      <c r="G244" t="inlineStr">
        <is>
          <t>MARIESTAD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46301</v>
      </c>
      <c r="F245" t="inlineStr">
        <is>
          <t>VÄSTRA GÖTALANDS LÄN</t>
        </is>
      </c>
      <c r="G245" t="inlineStr">
        <is>
          <t>MARIESTAD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49389-2023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45211</v>
      </c>
      <c r="E246" s="1" t="n">
        <v>46301</v>
      </c>
      <c r="F246" t="inlineStr">
        <is>
          <t>VÄSTRA GÖTALANDS LÄN</t>
        </is>
      </c>
      <c r="G246" t="inlineStr">
        <is>
          <t>MARIESTAD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46301</v>
      </c>
      <c r="F247" t="inlineStr">
        <is>
          <t>VÄSTRA GÖTALANDS LÄN</t>
        </is>
      </c>
      <c r="G247" t="inlineStr">
        <is>
          <t>MARIESTAD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45583</v>
      </c>
      <c r="E248" s="1" t="n">
        <v>46301</v>
      </c>
      <c r="F248" t="inlineStr">
        <is>
          <t>VÄSTRA GÖTALANDS LÄN</t>
        </is>
      </c>
      <c r="G248" t="inlineStr">
        <is>
          <t>MARIESTAD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46199</v>
      </c>
      <c r="E249" s="1" t="n">
        <v>46301</v>
      </c>
      <c r="F249" t="inlineStr">
        <is>
          <t>VÄSTRA GÖTALANDS LÄN</t>
        </is>
      </c>
      <c r="G249" t="inlineStr">
        <is>
          <t>MARIESTAD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46301</v>
      </c>
      <c r="F250" t="inlineStr">
        <is>
          <t>VÄSTRA GÖTALANDS LÄN</t>
        </is>
      </c>
      <c r="G250" t="inlineStr">
        <is>
          <t>MARIESTAD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46301</v>
      </c>
      <c r="F251" t="inlineStr">
        <is>
          <t>VÄSTRA GÖTALANDS LÄN</t>
        </is>
      </c>
      <c r="G251" t="inlineStr">
        <is>
          <t>MARIESTAD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46301</v>
      </c>
      <c r="F252" t="inlineStr">
        <is>
          <t>VÄSTRA GÖTALANDS LÄN</t>
        </is>
      </c>
      <c r="G252" t="inlineStr">
        <is>
          <t>MARIESTAD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46301</v>
      </c>
      <c r="F253" t="inlineStr">
        <is>
          <t>VÄSTRA GÖTALANDS LÄN</t>
        </is>
      </c>
      <c r="G253" t="inlineStr">
        <is>
          <t>MARIESTAD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45528</v>
      </c>
      <c r="E254" s="1" t="n">
        <v>46301</v>
      </c>
      <c r="F254" t="inlineStr">
        <is>
          <t>VÄSTRA GÖTALANDS LÄN</t>
        </is>
      </c>
      <c r="G254" t="inlineStr">
        <is>
          <t>MARIESTAD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44756</v>
      </c>
      <c r="E255" s="1" t="n">
        <v>46301</v>
      </c>
      <c r="F255" t="inlineStr">
        <is>
          <t>VÄSTRA GÖTALANDS LÄN</t>
        </is>
      </c>
      <c r="G255" t="inlineStr">
        <is>
          <t>MARIESTAD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46301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46301</v>
      </c>
      <c r="F257" t="inlineStr">
        <is>
          <t>VÄSTRA GÖTALANDS LÄN</t>
        </is>
      </c>
      <c r="G257" t="inlineStr">
        <is>
          <t>MARIESTAD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35279-2026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46261</v>
      </c>
      <c r="E258" s="1" t="n">
        <v>46301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46261</v>
      </c>
      <c r="E259" s="1" t="n">
        <v>46301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46301</v>
      </c>
      <c r="F260" t="inlineStr">
        <is>
          <t>VÄSTRA GÖTALANDS LÄN</t>
        </is>
      </c>
      <c r="G260" t="inlineStr">
        <is>
          <t>MARIESTAD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46301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46262</v>
      </c>
      <c r="E262" s="1" t="n">
        <v>46301</v>
      </c>
      <c r="F262" t="inlineStr">
        <is>
          <t>VÄSTRA GÖTALANDS LÄN</t>
        </is>
      </c>
      <c r="G262" t="inlineStr">
        <is>
          <t>MARIESTAD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46262</v>
      </c>
      <c r="E263" s="1" t="n">
        <v>46301</v>
      </c>
      <c r="F263" t="inlineStr">
        <is>
          <t>VÄSTRA GÖTALANDS LÄN</t>
        </is>
      </c>
      <c r="G263" t="inlineStr">
        <is>
          <t>MARIESTAD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45590</v>
      </c>
      <c r="E264" s="1" t="n">
        <v>46301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Kyrkan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46301</v>
      </c>
      <c r="F265" t="inlineStr">
        <is>
          <t>VÄSTRA GÖTALANDS LÄN</t>
        </is>
      </c>
      <c r="G265" t="inlineStr">
        <is>
          <t>MARIESTAD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46301</v>
      </c>
      <c r="F266" t="inlineStr">
        <is>
          <t>VÄSTRA GÖTALANDS LÄN</t>
        </is>
      </c>
      <c r="G266" t="inlineStr">
        <is>
          <t>MARIESTAD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45203</v>
      </c>
      <c r="E267" s="1" t="n">
        <v>46301</v>
      </c>
      <c r="F267" t="inlineStr">
        <is>
          <t>VÄSTRA GÖTALANDS LÄN</t>
        </is>
      </c>
      <c r="G267" t="inlineStr">
        <is>
          <t>MARIESTAD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46301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Naturvårdsverket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44617</v>
      </c>
      <c r="E269" s="1" t="n">
        <v>46301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46301</v>
      </c>
      <c r="F270" t="inlineStr">
        <is>
          <t>VÄSTRA GÖTALANDS LÄN</t>
        </is>
      </c>
      <c r="G270" t="inlineStr">
        <is>
          <t>MARIESTAD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46301</v>
      </c>
      <c r="F271" t="inlineStr">
        <is>
          <t>VÄSTRA GÖTALANDS LÄN</t>
        </is>
      </c>
      <c r="G271" t="inlineStr">
        <is>
          <t>MARIESTAD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46301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45674</v>
      </c>
      <c r="E273" s="1" t="n">
        <v>46301</v>
      </c>
      <c r="F273" t="inlineStr">
        <is>
          <t>VÄSTRA GÖTALANDS LÄN</t>
        </is>
      </c>
      <c r="G273" t="inlineStr">
        <is>
          <t>MARIESTAD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46301</v>
      </c>
      <c r="F274" t="inlineStr">
        <is>
          <t>VÄSTRA GÖTALANDS LÄN</t>
        </is>
      </c>
      <c r="G274" t="inlineStr">
        <is>
          <t>MARIESTAD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46301</v>
      </c>
      <c r="F275" t="inlineStr">
        <is>
          <t>VÄSTRA GÖTALANDS LÄN</t>
        </is>
      </c>
      <c r="G275" t="inlineStr">
        <is>
          <t>MARIESTAD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45705</v>
      </c>
      <c r="E276" s="1" t="n">
        <v>46301</v>
      </c>
      <c r="F276" t="inlineStr">
        <is>
          <t>VÄSTRA GÖTALANDS LÄN</t>
        </is>
      </c>
      <c r="G276" t="inlineStr">
        <is>
          <t>MARIESTAD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46301</v>
      </c>
      <c r="F277" t="inlineStr">
        <is>
          <t>VÄSTRA GÖTALANDS LÄN</t>
        </is>
      </c>
      <c r="G277" t="inlineStr">
        <is>
          <t>MARIESTAD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45558</v>
      </c>
      <c r="E278" s="1" t="n">
        <v>46301</v>
      </c>
      <c r="F278" t="inlineStr">
        <is>
          <t>VÄSTRA GÖTALANDS LÄN</t>
        </is>
      </c>
      <c r="G278" t="inlineStr">
        <is>
          <t>MARIESTAD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45639</v>
      </c>
      <c r="E279" s="1" t="n">
        <v>46301</v>
      </c>
      <c r="F279" t="inlineStr">
        <is>
          <t>VÄSTRA GÖTALANDS LÄN</t>
        </is>
      </c>
      <c r="G279" t="inlineStr">
        <is>
          <t>MARIESTAD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46301</v>
      </c>
      <c r="F280" t="inlineStr">
        <is>
          <t>VÄSTRA GÖTALANDS LÄN</t>
        </is>
      </c>
      <c r="G280" t="inlineStr">
        <is>
          <t>MARIESTAD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46301</v>
      </c>
      <c r="F281" t="inlineStr">
        <is>
          <t>VÄSTRA GÖTALANDS LÄN</t>
        </is>
      </c>
      <c r="G281" t="inlineStr">
        <is>
          <t>MARIESTAD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46301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Kyrkan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46301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45530</v>
      </c>
      <c r="E284" s="1" t="n">
        <v>46301</v>
      </c>
      <c r="F284" t="inlineStr">
        <is>
          <t>VÄSTRA GÖTALANDS LÄN</t>
        </is>
      </c>
      <c r="G284" t="inlineStr">
        <is>
          <t>MARIESTAD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70295-2021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44536</v>
      </c>
      <c r="E285" s="1" t="n">
        <v>46301</v>
      </c>
      <c r="F285" t="inlineStr">
        <is>
          <t>VÄSTRA GÖTALANDS LÄN</t>
        </is>
      </c>
      <c r="G285" t="inlineStr">
        <is>
          <t>MARIESTAD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46301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46301</v>
      </c>
      <c r="F287" t="inlineStr">
        <is>
          <t>VÄSTRA GÖTALANDS LÄN</t>
        </is>
      </c>
      <c r="G287" t="inlineStr">
        <is>
          <t>MARIESTAD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45329</v>
      </c>
      <c r="E288" s="1" t="n">
        <v>46301</v>
      </c>
      <c r="F288" t="inlineStr">
        <is>
          <t>VÄSTRA GÖTALANDS LÄN</t>
        </is>
      </c>
      <c r="G288" t="inlineStr">
        <is>
          <t>MARIESTAD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46301</v>
      </c>
      <c r="F289" t="inlineStr">
        <is>
          <t>VÄSTRA GÖTALANDS LÄN</t>
        </is>
      </c>
      <c r="G289" t="inlineStr">
        <is>
          <t>MARIESTAD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46301</v>
      </c>
      <c r="F290" t="inlineStr">
        <is>
          <t>VÄSTRA GÖTALANDS LÄN</t>
        </is>
      </c>
      <c r="G290" t="inlineStr">
        <is>
          <t>MARIESTAD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46301</v>
      </c>
      <c r="F291" t="inlineStr">
        <is>
          <t>VÄSTRA GÖTALANDS LÄN</t>
        </is>
      </c>
      <c r="G291" t="inlineStr">
        <is>
          <t>MARIESTAD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46301</v>
      </c>
      <c r="F292" t="inlineStr">
        <is>
          <t>VÄSTRA GÖTALANDS LÄN</t>
        </is>
      </c>
      <c r="G292" t="inlineStr">
        <is>
          <t>MARIESTAD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46301</v>
      </c>
      <c r="F293" t="inlineStr">
        <is>
          <t>VÄSTRA GÖTALANDS LÄN</t>
        </is>
      </c>
      <c r="G293" t="inlineStr">
        <is>
          <t>MARIESTAD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46301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46301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46301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46301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45110-2022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44843</v>
      </c>
      <c r="E298" s="1" t="n">
        <v>46301</v>
      </c>
      <c r="F298" t="inlineStr">
        <is>
          <t>VÄSTRA GÖTALANDS LÄN</t>
        </is>
      </c>
      <c r="G298" t="inlineStr">
        <is>
          <t>MARIESTAD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39286-2026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46288</v>
      </c>
      <c r="E299" s="1" t="n">
        <v>46301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46301</v>
      </c>
      <c r="F300" t="inlineStr">
        <is>
          <t>VÄSTRA GÖTALANDS LÄN</t>
        </is>
      </c>
      <c r="G300" t="inlineStr">
        <is>
          <t>MARIESTAD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46301</v>
      </c>
      <c r="F301" t="inlineStr">
        <is>
          <t>VÄSTRA GÖTALANDS LÄN</t>
        </is>
      </c>
      <c r="G301" t="inlineStr">
        <is>
          <t>MARIESTAD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46301</v>
      </c>
      <c r="F302" t="inlineStr">
        <is>
          <t>VÄSTRA GÖTALANDS LÄN</t>
        </is>
      </c>
      <c r="G302" t="inlineStr">
        <is>
          <t>MARIESTAD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46301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46301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56344-2022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44890</v>
      </c>
      <c r="E305" s="1" t="n">
        <v>46301</v>
      </c>
      <c r="F305" t="inlineStr">
        <is>
          <t>VÄSTRA GÖTALANDS LÄN</t>
        </is>
      </c>
      <c r="G305" t="inlineStr">
        <is>
          <t>MARIESTAD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46301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45070</v>
      </c>
      <c r="E307" s="1" t="n">
        <v>46301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65197-2023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45289</v>
      </c>
      <c r="E308" s="1" t="n">
        <v>46301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46301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44774</v>
      </c>
      <c r="E310" s="1" t="n">
        <v>46301</v>
      </c>
      <c r="F310" t="inlineStr">
        <is>
          <t>VÄSTRA GÖTALANDS LÄN</t>
        </is>
      </c>
      <c r="G310" t="inlineStr">
        <is>
          <t>MARIESTAD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44756</v>
      </c>
      <c r="E311" s="1" t="n">
        <v>46301</v>
      </c>
      <c r="F311" t="inlineStr">
        <is>
          <t>VÄSTRA GÖTALANDS LÄN</t>
        </is>
      </c>
      <c r="G311" t="inlineStr">
        <is>
          <t>MARIESTAD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46301</v>
      </c>
      <c r="F312" t="inlineStr">
        <is>
          <t>VÄSTRA GÖTALANDS LÄN</t>
        </is>
      </c>
      <c r="G312" t="inlineStr">
        <is>
          <t>MARIESTAD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46301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46301</v>
      </c>
      <c r="F314" t="inlineStr">
        <is>
          <t>VÄSTRA GÖTALANDS LÄN</t>
        </is>
      </c>
      <c r="G314" t="inlineStr">
        <is>
          <t>MARIESTAD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44957</v>
      </c>
      <c r="E315" s="1" t="n">
        <v>46301</v>
      </c>
      <c r="F315" t="inlineStr">
        <is>
          <t>VÄSTRA GÖTALANDS LÄN</t>
        </is>
      </c>
      <c r="G315" t="inlineStr">
        <is>
          <t>MARIESTAD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46301</v>
      </c>
      <c r="F316" t="inlineStr">
        <is>
          <t>VÄSTRA GÖTALANDS LÄN</t>
        </is>
      </c>
      <c r="G316" t="inlineStr">
        <is>
          <t>MARIESTAD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46293</v>
      </c>
      <c r="E317" s="1" t="n">
        <v>46301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45343</v>
      </c>
      <c r="E318" s="1" t="n">
        <v>46301</v>
      </c>
      <c r="F318" t="inlineStr">
        <is>
          <t>VÄSTRA GÖTALANDS LÄN</t>
        </is>
      </c>
      <c r="G318" t="inlineStr">
        <is>
          <t>MARIESTAD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46301</v>
      </c>
      <c r="F319" t="inlineStr">
        <is>
          <t>VÄSTRA GÖTALANDS LÄN</t>
        </is>
      </c>
      <c r="G319" t="inlineStr">
        <is>
          <t>MARIESTAD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45702</v>
      </c>
      <c r="E320" s="1" t="n">
        <v>46301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46301</v>
      </c>
      <c r="F321" t="inlineStr">
        <is>
          <t>VÄSTRA GÖTALANDS LÄN</t>
        </is>
      </c>
      <c r="G321" t="inlineStr">
        <is>
          <t>MARIESTAD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46301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45384</v>
      </c>
      <c r="E323" s="1" t="n">
        <v>46301</v>
      </c>
      <c r="F323" t="inlineStr">
        <is>
          <t>VÄSTRA GÖTALANDS LÄN</t>
        </is>
      </c>
      <c r="G323" t="inlineStr">
        <is>
          <t>MARIESTAD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46301</v>
      </c>
      <c r="F324" t="inlineStr">
        <is>
          <t>VÄSTRA GÖTALANDS LÄN</t>
        </is>
      </c>
      <c r="G324" t="inlineStr">
        <is>
          <t>MARIESTAD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46301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Kyrkan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46301</v>
      </c>
      <c r="F326" t="inlineStr">
        <is>
          <t>VÄSTRA GÖTALANDS LÄN</t>
        </is>
      </c>
      <c r="G326" t="inlineStr">
        <is>
          <t>MARIESTAD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46301</v>
      </c>
      <c r="F327" t="inlineStr">
        <is>
          <t>VÄSTRA GÖTALANDS LÄN</t>
        </is>
      </c>
      <c r="G327" t="inlineStr">
        <is>
          <t>MARIESTAD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46301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45307</v>
      </c>
      <c r="E329" s="1" t="n">
        <v>46301</v>
      </c>
      <c r="F329" t="inlineStr">
        <is>
          <t>VÄSTRA GÖTALANDS LÄN</t>
        </is>
      </c>
      <c r="G329" t="inlineStr">
        <is>
          <t>MARIESTAD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48324-2024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46301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46301</v>
      </c>
      <c r="F331" t="inlineStr">
        <is>
          <t>VÄSTRA GÖTALANDS LÄN</t>
        </is>
      </c>
      <c r="G331" t="inlineStr">
        <is>
          <t>MARIESTAD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46300</v>
      </c>
      <c r="E332" s="1" t="n">
        <v>46301</v>
      </c>
      <c r="F332" t="inlineStr">
        <is>
          <t>VÄSTRA GÖTALANDS LÄN</t>
        </is>
      </c>
      <c r="G332" t="inlineStr">
        <is>
          <t>MARIESTAD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49385-2023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45211</v>
      </c>
      <c r="E333" s="1" t="n">
        <v>46301</v>
      </c>
      <c r="F333" t="inlineStr">
        <is>
          <t>VÄSTRA GÖTALANDS LÄN</t>
        </is>
      </c>
      <c r="G333" t="inlineStr">
        <is>
          <t>MARIESTAD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46300</v>
      </c>
      <c r="E334" s="1" t="n">
        <v>46301</v>
      </c>
      <c r="F334" t="inlineStr">
        <is>
          <t>VÄSTRA GÖTALANDS LÄN</t>
        </is>
      </c>
      <c r="G334" t="inlineStr">
        <is>
          <t>MARIESTAD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66772-2021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44521</v>
      </c>
      <c r="E335" s="1" t="n">
        <v>46301</v>
      </c>
      <c r="F335" t="inlineStr">
        <is>
          <t>VÄSTRA GÖTALANDS LÄN</t>
        </is>
      </c>
      <c r="G335" t="inlineStr">
        <is>
          <t>MARIESTAD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46300</v>
      </c>
      <c r="E336" s="1" t="n">
        <v>46301</v>
      </c>
      <c r="F336" t="inlineStr">
        <is>
          <t>VÄSTRA GÖTALANDS LÄN</t>
        </is>
      </c>
      <c r="G336" t="inlineStr">
        <is>
          <t>MARIESTAD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45502</v>
      </c>
      <c r="E337" s="1" t="n">
        <v>46301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46301</v>
      </c>
      <c r="F338" t="inlineStr">
        <is>
          <t>VÄSTRA GÖTALANDS LÄN</t>
        </is>
      </c>
      <c r="G338" t="inlineStr">
        <is>
          <t>MARIESTAD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46301</v>
      </c>
      <c r="F339" t="inlineStr">
        <is>
          <t>VÄSTRA GÖTALANDS LÄN</t>
        </is>
      </c>
      <c r="G339" t="inlineStr">
        <is>
          <t>MARIESTAD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45331</v>
      </c>
      <c r="E340" s="1" t="n">
        <v>46301</v>
      </c>
      <c r="F340" t="inlineStr">
        <is>
          <t>VÄSTRA GÖTALANDS LÄN</t>
        </is>
      </c>
      <c r="G340" t="inlineStr">
        <is>
          <t>MARIESTAD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45728</v>
      </c>
      <c r="E341" s="1" t="n">
        <v>46301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45616</v>
      </c>
      <c r="E342" s="1" t="n">
        <v>46301</v>
      </c>
      <c r="F342" t="inlineStr">
        <is>
          <t>VÄSTRA GÖTALANDS LÄN</t>
        </is>
      </c>
      <c r="G342" t="inlineStr">
        <is>
          <t>MARIESTAD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45709</v>
      </c>
      <c r="E343" s="1" t="n">
        <v>46301</v>
      </c>
      <c r="F343" t="inlineStr">
        <is>
          <t>VÄSTRA GÖTALANDS LÄN</t>
        </is>
      </c>
      <c r="G343" t="inlineStr">
        <is>
          <t>MARIESTAD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45705</v>
      </c>
      <c r="E344" s="1" t="n">
        <v>46301</v>
      </c>
      <c r="F344" t="inlineStr">
        <is>
          <t>VÄSTRA GÖTALANDS LÄN</t>
        </is>
      </c>
      <c r="G344" t="inlineStr">
        <is>
          <t>MARIESTAD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46301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46301</v>
      </c>
      <c r="F346" t="inlineStr">
        <is>
          <t>VÄSTRA GÖTALANDS LÄN</t>
        </is>
      </c>
      <c r="G346" t="inlineStr">
        <is>
          <t>MARIESTAD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52869-2024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45610</v>
      </c>
      <c r="E347" s="1" t="n">
        <v>46301</v>
      </c>
      <c r="F347" t="inlineStr">
        <is>
          <t>VÄSTRA GÖTALANDS LÄN</t>
        </is>
      </c>
      <c r="G347" t="inlineStr">
        <is>
          <t>MARIESTAD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46301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46301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45798</v>
      </c>
      <c r="E350" s="1" t="n">
        <v>46301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46301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46301</v>
      </c>
      <c r="F352" t="inlineStr">
        <is>
          <t>VÄSTRA GÖTALANDS LÄN</t>
        </is>
      </c>
      <c r="G352" t="inlineStr">
        <is>
          <t>MARIESTAD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46301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46301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46301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2026-10-06T01:57:26Z</dcterms:created>
  <dcterms:modified xmlns:dcterms="http://purl.org/dc/terms/" xmlns:xsi="http://www.w3.org/2001/XMLSchema-instance" xsi:type="dcterms:W3CDTF">2026-10-06T01:57:26Z</dcterms:modified>
</cp:coreProperties>
</file>