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46309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46309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46309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46309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46309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46309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Krusfrö
Svinrot</t>
        </is>
      </c>
      <c r="W10">
        <f>HYPERLINK("https://klasma.github.io/Logging_1493/artfynd/A 21503-2024 artfynd.xlsx", "A 21503-2024")</f>
        <v/>
      </c>
      <c r="X10">
        <f>HYPERLINK("https://klasma.github.io/Logging_1493/kartor/A 21503-2024 karta.png", "A 21503-2024")</f>
        <v/>
      </c>
      <c r="Y10">
        <f>HYPERLINK("https://klasma.github.io/Logging_1493/kartor_geotiff/A 21503-2024 georefererad karta.tif", "A 21503-2024")</f>
        <v/>
      </c>
      <c r="AA10">
        <f>HYPERLINK("https://klasma.github.io/Logging_1493/klagomål/A 21503-2024 FSC-klagomål.docx", "A 21503-2024")</f>
        <v/>
      </c>
      <c r="AB10">
        <f>HYPERLINK("https://klasma.github.io/Logging_1493/klagomålsmail/A 21503-2024 FSC-klagomål mail.docx", "A 21503-2024")</f>
        <v/>
      </c>
      <c r="AC10">
        <f>HYPERLINK("https://klasma.github.io/Logging_1493/tillsyn/A 21503-2024 tillsynsbegäran.docx", "A 21503-2024")</f>
        <v/>
      </c>
      <c r="AD10">
        <f>HYPERLINK("https://klasma.github.io/Logging_1493/tillsynsmail/A 21503-2024 tillsynsbegäran mail.docx", "A 21503-2024")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46309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46309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46309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46309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46309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46309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46309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46309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46309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46309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46309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46309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46309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9650-2025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46309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HYPERLINK("https://klasma.github.io/Logging_1493/artfynd/A 9650-2025 artfynd.xlsx", "A 9650-2025")</f>
        <v/>
      </c>
      <c r="X24">
        <f>HYPERLINK("https://klasma.github.io/Logging_1493/kartor/A 9650-2025 karta.png", "A 9650-2025")</f>
        <v/>
      </c>
      <c r="Y24">
        <f>HYPERLINK("https://klasma.github.io/Logging_1493/kartor_geotiff/A 9650-2025 georefererad karta.tif", "A 9650-2025")</f>
        <v/>
      </c>
      <c r="AA24">
        <f>HYPERLINK("https://klasma.github.io/Logging_1493/klagomål/A 9650-2025 FSC-klagomål.docx", "A 9650-2025")</f>
        <v/>
      </c>
      <c r="AB24">
        <f>HYPERLINK("https://klasma.github.io/Logging_1493/klagomålsmail/A 9650-2025 FSC-klagomål mail.docx", "A 9650-2025")</f>
        <v/>
      </c>
      <c r="AC24">
        <f>HYPERLINK("https://klasma.github.io/Logging_1493/tillsyn/A 9650-2025 tillsynsbegäran.docx", "A 9650-2025")</f>
        <v/>
      </c>
      <c r="AD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46309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46309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46309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7578-2025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46309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Svartvit flugsnappare</t>
        </is>
      </c>
      <c r="W28">
        <f>HYPERLINK("https://klasma.github.io/Logging_1493/artfynd/A 7578-2025 artfynd.xlsx", "A 7578-2025")</f>
        <v/>
      </c>
      <c r="X28">
        <f>HYPERLINK("https://klasma.github.io/Logging_1493/kartor/A 7578-2025 karta.png", "A 7578-2025")</f>
        <v/>
      </c>
      <c r="Y28">
        <f>HYPERLINK("https://klasma.github.io/Logging_1493/kartor_geotiff/A 7578-2025 georefererad karta.tif", "A 7578-2025")</f>
        <v/>
      </c>
      <c r="AA28">
        <f>HYPERLINK("https://klasma.github.io/Logging_1493/klagomål/A 7578-2025 FSC-klagomål.docx", "A 7578-2025")</f>
        <v/>
      </c>
      <c r="AB28">
        <f>HYPERLINK("https://klasma.github.io/Logging_1493/klagomålsmail/A 7578-2025 FSC-klagomål mail.docx", "A 7578-2025")</f>
        <v/>
      </c>
      <c r="AC28">
        <f>HYPERLINK("https://klasma.github.io/Logging_1493/tillsyn/A 7578-2025 tillsynsbegäran.docx", "A 7578-2025")</f>
        <v/>
      </c>
      <c r="AD28">
        <f>HYPERLINK("https://klasma.github.io/Logging_1493/tillsynsmail/A 7578-2025 tillsynsbegäran mail.docx", "A 7578-2025")</f>
        <v/>
      </c>
    </row>
    <row r="29" ht="15" customHeight="1">
      <c r="A29" t="inlineStr">
        <is>
          <t>A 49233-2023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45210</v>
      </c>
      <c r="E29" s="1" t="n">
        <v>46309</v>
      </c>
      <c r="F29" t="inlineStr">
        <is>
          <t>VÄSTRA GÖTALANDS LÄN</t>
        </is>
      </c>
      <c r="G29" t="inlineStr">
        <is>
          <t>MARIESTAD</t>
        </is>
      </c>
      <c r="I29" t="n">
        <v>6.1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Lönnlav</t>
        </is>
      </c>
      <c r="W29">
        <f>HYPERLINK("https://klasma.github.io/Logging_1493/artfynd/A 49233-2023 artfynd.xlsx", "A 49233-2023")</f>
        <v/>
      </c>
      <c r="X29">
        <f>HYPERLINK("https://klasma.github.io/Logging_1493/kartor/A 49233-2023 karta.png", "A 49233-2023")</f>
        <v/>
      </c>
      <c r="Y29">
        <f>HYPERLINK("https://klasma.github.io/Logging_1493/kartor_geotiff/A 49233-2023 georefererad karta.tif", "A 49233-2023")</f>
        <v/>
      </c>
      <c r="AA29">
        <f>HYPERLINK("https://klasma.github.io/Logging_1493/klagomål/A 49233-2023 FSC-klagomål.docx", "A 49233-2023")</f>
        <v/>
      </c>
      <c r="AB29">
        <f>HYPERLINK("https://klasma.github.io/Logging_1493/klagomålsmail/A 49233-2023 FSC-klagomål mail.docx", "A 49233-2023")</f>
        <v/>
      </c>
      <c r="AC29">
        <f>HYPERLINK("https://klasma.github.io/Logging_1493/tillsyn/A 49233-2023 tillsynsbegäran.docx", "A 49233-2023")</f>
        <v/>
      </c>
      <c r="AD29">
        <f>HYPERLINK("https://klasma.github.io/Logging_1493/tillsynsmail/A 49233-2023 tillsynsbegäran mail.docx", "A 49233-2023")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46309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46309</v>
      </c>
      <c r="F31" t="inlineStr">
        <is>
          <t>VÄSTRA GÖTALANDS LÄN</t>
        </is>
      </c>
      <c r="G31" t="inlineStr">
        <is>
          <t>MARIESTAD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HYPERLINK("https://klasma.github.io/Logging_1493/artfynd/A 18176-2025 artfynd.xlsx", "A 18176-2025")</f>
        <v/>
      </c>
      <c r="X31">
        <f>HYPERLINK("https://klasma.github.io/Logging_1493/kartor/A 18176-2025 karta.png", "A 18176-2025")</f>
        <v/>
      </c>
      <c r="Y31">
        <f>HYPERLINK("https://klasma.github.io/Logging_1493/kartor_geotiff/A 18176-2025 georefererad karta.tif", "A 18176-2025")</f>
        <v/>
      </c>
      <c r="AA31">
        <f>HYPERLINK("https://klasma.github.io/Logging_1493/klagomål/A 18176-2025 FSC-klagomål.docx", "A 18176-2025")</f>
        <v/>
      </c>
      <c r="AB31">
        <f>HYPERLINK("https://klasma.github.io/Logging_1493/klagomålsmail/A 18176-2025 FSC-klagomål mail.docx", "A 18176-2025")</f>
        <v/>
      </c>
      <c r="AC31">
        <f>HYPERLINK("https://klasma.github.io/Logging_1493/tillsyn/A 18176-2025 tillsynsbegäran.docx", "A 18176-2025")</f>
        <v/>
      </c>
      <c r="AD31">
        <f>HYPERLINK("https://klasma.github.io/Logging_1493/tillsynsmail/A 18176-2025 tillsynsbegäran mail.docx", "A 18176-2025")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46309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30652-2023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46309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2.6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30652-2023 artfynd.xlsx", "A 30652-2023")</f>
        <v/>
      </c>
      <c r="X33">
        <f>HYPERLINK("https://klasma.github.io/Logging_1493/kartor/A 30652-2023 karta.png", "A 30652-2023")</f>
        <v/>
      </c>
      <c r="Y33">
        <f>HYPERLINK("https://klasma.github.io/Logging_1493/kartor_geotiff/A 30652-2023 georefererad karta.tif", "A 30652-2023")</f>
        <v/>
      </c>
      <c r="AA33">
        <f>HYPERLINK("https://klasma.github.io/Logging_1493/klagomål/A 30652-2023 FSC-klagomål.docx", "A 30652-2023")</f>
        <v/>
      </c>
      <c r="AB33">
        <f>HYPERLINK("https://klasma.github.io/Logging_1493/klagomålsmail/A 30652-2023 FSC-klagomål mail.docx", "A 30652-2023")</f>
        <v/>
      </c>
      <c r="AC33">
        <f>HYPERLINK("https://klasma.github.io/Logging_1493/tillsyn/A 30652-2023 tillsynsbegäran.docx", "A 30652-2023")</f>
        <v/>
      </c>
      <c r="AD33">
        <f>HYPERLINK("https://klasma.github.io/Logging_1493/tillsynsmail/A 30652-2023 tillsynsbegäran mail.docx", "A 30652-2023")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46309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17272-2023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46309</v>
      </c>
      <c r="F35" t="inlineStr">
        <is>
          <t>VÄSTRA GÖTALANDS LÄN</t>
        </is>
      </c>
      <c r="G35" t="inlineStr">
        <is>
          <t>MARIESTAD</t>
        </is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HYPERLINK("https://klasma.github.io/Logging_1493/artfynd/A 17272-2023 artfynd.xlsx", "A 17272-2023")</f>
        <v/>
      </c>
      <c r="X35">
        <f>HYPERLINK("https://klasma.github.io/Logging_1493/kartor/A 17272-2023 karta.png", "A 17272-2023")</f>
        <v/>
      </c>
      <c r="Y35">
        <f>HYPERLINK("https://klasma.github.io/Logging_1493/kartor_geotiff/A 17272-2023 georefererad karta.tif", "A 17272-2023")</f>
        <v/>
      </c>
      <c r="AA35">
        <f>HYPERLINK("https://klasma.github.io/Logging_1493/klagomål/A 17272-2023 FSC-klagomål.docx", "A 17272-2023")</f>
        <v/>
      </c>
      <c r="AB35">
        <f>HYPERLINK("https://klasma.github.io/Logging_1493/klagomålsmail/A 17272-2023 FSC-klagomål mail.docx", "A 17272-2023")</f>
        <v/>
      </c>
      <c r="AC35">
        <f>HYPERLINK("https://klasma.github.io/Logging_1493/tillsyn/A 17272-2023 tillsynsbegäran.docx", "A 17272-2023")</f>
        <v/>
      </c>
      <c r="AD35">
        <f>HYPERLINK("https://klasma.github.io/Logging_1493/tillsynsmail/A 17272-2023 tillsynsbegäran mail.docx", "A 17272-2023")</f>
        <v/>
      </c>
    </row>
    <row r="36" ht="15" customHeight="1">
      <c r="A36" t="inlineStr">
        <is>
          <t>A 20438-2024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45435</v>
      </c>
      <c r="E36" s="1" t="n">
        <v>46309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Griffelblomfluga</t>
        </is>
      </c>
      <c r="W36">
        <f>HYPERLINK("https://klasma.github.io/Logging_1493/artfynd/A 20438-2024 artfynd.xlsx", "A 20438-2024")</f>
        <v/>
      </c>
      <c r="X36">
        <f>HYPERLINK("https://klasma.github.io/Logging_1493/kartor/A 20438-2024 karta.png", "A 20438-2024")</f>
        <v/>
      </c>
      <c r="Y36">
        <f>HYPERLINK("https://klasma.github.io/Logging_1493/kartor_geotiff/A 20438-2024 georefererad karta.tif", "A 20438-2024")</f>
        <v/>
      </c>
      <c r="AA36">
        <f>HYPERLINK("https://klasma.github.io/Logging_1493/klagomål/A 20438-2024 FSC-klagomål.docx", "A 20438-2024")</f>
        <v/>
      </c>
      <c r="AB36">
        <f>HYPERLINK("https://klasma.github.io/Logging_1493/klagomålsmail/A 20438-2024 FSC-klagomål mail.docx", "A 20438-2024")</f>
        <v/>
      </c>
      <c r="AC36">
        <f>HYPERLINK("https://klasma.github.io/Logging_1493/tillsyn/A 20438-2024 tillsynsbegäran.docx", "A 20438-2024")</f>
        <v/>
      </c>
      <c r="AD36">
        <f>HYPERLINK("https://klasma.github.io/Logging_1493/tillsynsmail/A 20438-2024 tillsynsbegäran mail.docx", "A 20438-2024")</f>
        <v/>
      </c>
    </row>
    <row r="37" ht="15" customHeight="1">
      <c r="A37" t="inlineStr">
        <is>
          <t>A 42647-2023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45181</v>
      </c>
      <c r="E37" s="1" t="n">
        <v>46309</v>
      </c>
      <c r="F37" t="inlineStr">
        <is>
          <t>VÄSTRA GÖTALANDS LÄN</t>
        </is>
      </c>
      <c r="G37" t="inlineStr">
        <is>
          <t>MARIESTAD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Ärtsångare</t>
        </is>
      </c>
      <c r="W37">
        <f>HYPERLINK("https://klasma.github.io/Logging_1493/artfynd/A 42647-2023 artfynd.xlsx", "A 42647-2023")</f>
        <v/>
      </c>
      <c r="X37">
        <f>HYPERLINK("https://klasma.github.io/Logging_1493/kartor/A 42647-2023 karta.png", "A 42647-2023")</f>
        <v/>
      </c>
      <c r="Y37">
        <f>HYPERLINK("https://klasma.github.io/Logging_1493/kartor_geotiff/A 42647-2023 georefererad karta.tif", "A 42647-2023")</f>
        <v/>
      </c>
      <c r="AA37">
        <f>HYPERLINK("https://klasma.github.io/Logging_1493/klagomål/A 42647-2023 FSC-klagomål.docx", "A 42647-2023")</f>
        <v/>
      </c>
      <c r="AB37">
        <f>HYPERLINK("https://klasma.github.io/Logging_1493/klagomålsmail/A 42647-2023 FSC-klagomål mail.docx", "A 42647-2023")</f>
        <v/>
      </c>
      <c r="AC37">
        <f>HYPERLINK("https://klasma.github.io/Logging_1493/tillsyn/A 42647-2023 tillsynsbegäran.docx", "A 42647-2023")</f>
        <v/>
      </c>
      <c r="AD37">
        <f>HYPERLINK("https://klasma.github.io/Logging_1493/tillsynsmail/A 42647-2023 tillsynsbegäran mail.docx", "A 42647-2023")</f>
        <v/>
      </c>
    </row>
    <row r="38" ht="15" customHeight="1">
      <c r="A38" t="inlineStr">
        <is>
          <t>S 669-2025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45716</v>
      </c>
      <c r="E38" s="1" t="n">
        <v>46309</v>
      </c>
      <c r="F38" t="inlineStr">
        <is>
          <t>VÄSTRA GÖTALANDS LÄN</t>
        </is>
      </c>
      <c r="G38" t="inlineStr">
        <is>
          <t>MARIESTAD</t>
        </is>
      </c>
      <c r="I38" t="n">
        <v>14.4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Revlummer</t>
        </is>
      </c>
      <c r="W38">
        <f>HYPERLINK("https://klasma.github.io/Logging_1493/artfynd/S 669-2025 artfynd.xlsx", "S 669-2025")</f>
        <v/>
      </c>
      <c r="X38">
        <f>HYPERLINK("https://klasma.github.io/Logging_1493/kartor/S 669-2025 karta.png", "S 669-2025")</f>
        <v/>
      </c>
      <c r="Y38">
        <f>HYPERLINK("https://klasma.github.io/Logging_1493/kartor_geotiff/S 669-2025 georefererad karta.tif", "S 669-2025")</f>
        <v/>
      </c>
      <c r="AA38">
        <f>HYPERLINK("https://klasma.github.io/Logging_1493/klagomål/S 669-2025 FSC-klagomål.docx", "S 669-2025")</f>
        <v/>
      </c>
      <c r="AB38">
        <f>HYPERLINK("https://klasma.github.io/Logging_1493/klagomålsmail/S 669-2025 FSC-klagomål mail.docx", "S 669-2025")</f>
        <v/>
      </c>
      <c r="AC38">
        <f>HYPERLINK("https://klasma.github.io/Logging_1493/tillsyn/S 669-2025 tillsynsbegäran.docx", "S 669-2025")</f>
        <v/>
      </c>
      <c r="AD38">
        <f>HYPERLINK("https://klasma.github.io/Logging_1493/tillsynsmail/S 669-2025 tillsynsbegäran mail.docx", "S 669-2025")</f>
        <v/>
      </c>
    </row>
    <row r="39" ht="15" customHeight="1">
      <c r="A39" t="inlineStr">
        <is>
          <t>S 1616-2025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45797</v>
      </c>
      <c r="E39" s="1" t="n">
        <v>46309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HYPERLINK("https://klasma.github.io/Logging_1493/artfynd/S 1616-2025 artfynd.xlsx", "S 1616-2025")</f>
        <v/>
      </c>
      <c r="X39">
        <f>HYPERLINK("https://klasma.github.io/Logging_1493/kartor/S 1616-2025 karta.png", "S 1616-2025")</f>
        <v/>
      </c>
      <c r="Y39">
        <f>HYPERLINK("https://klasma.github.io/Logging_1493/kartor_geotiff/S 1616-2025 georefererad karta.tif", "S 1616-2025")</f>
        <v/>
      </c>
      <c r="AA39">
        <f>HYPERLINK("https://klasma.github.io/Logging_1493/klagomål/S 1616-2025 FSC-klagomål.docx", "S 1616-2025")</f>
        <v/>
      </c>
      <c r="AB39">
        <f>HYPERLINK("https://klasma.github.io/Logging_1493/klagomålsmail/S 1616-2025 FSC-klagomål mail.docx", "S 1616-2025")</f>
        <v/>
      </c>
      <c r="AC39">
        <f>HYPERLINK("https://klasma.github.io/Logging_1493/tillsyn/S 1616-2025 tillsynsbegäran.docx", "S 1616-2025")</f>
        <v/>
      </c>
      <c r="AD39">
        <f>HYPERLINK("https://klasma.github.io/Logging_1493/tillsynsmail/S 1616-2025 tillsynsbegäran mail.docx", "S 1616-2025")</f>
        <v/>
      </c>
    </row>
    <row r="40" ht="15" customHeight="1">
      <c r="A40" t="inlineStr">
        <is>
          <t>S 1867-2025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45821</v>
      </c>
      <c r="E40" s="1" t="n">
        <v>46309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HYPERLINK("https://klasma.github.io/Logging_1493/artfynd/S 1867-2025 artfynd.xlsx", "S 1867-2025")</f>
        <v/>
      </c>
      <c r="X40">
        <f>HYPERLINK("https://klasma.github.io/Logging_1493/kartor/S 1867-2025 karta.png", "S 1867-2025")</f>
        <v/>
      </c>
      <c r="Y40">
        <f>HYPERLINK("https://klasma.github.io/Logging_1493/kartor_geotiff/S 1867-2025 georefererad karta.tif", "S 1867-2025")</f>
        <v/>
      </c>
      <c r="AA40">
        <f>HYPERLINK("https://klasma.github.io/Logging_1493/klagomål/S 1867-2025 FSC-klagomål.docx", "S 1867-2025")</f>
        <v/>
      </c>
      <c r="AB40">
        <f>HYPERLINK("https://klasma.github.io/Logging_1493/klagomålsmail/S 1867-2025 FSC-klagomål mail.docx", "S 1867-2025")</f>
        <v/>
      </c>
      <c r="AC40">
        <f>HYPERLINK("https://klasma.github.io/Logging_1493/tillsyn/S 1867-2025 tillsynsbegäran.docx", "S 1867-2025")</f>
        <v/>
      </c>
      <c r="AD40">
        <f>HYPERLINK("https://klasma.github.io/Logging_1493/tillsynsmail/S 1867-2025 tillsynsbegäran mail.docx", "S 1867-2025")</f>
        <v/>
      </c>
    </row>
    <row r="41" ht="15" customHeight="1">
      <c r="A41" t="inlineStr">
        <is>
          <t>S 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46309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Oxtungssvamp</t>
        </is>
      </c>
      <c r="W41">
        <f>HYPERLINK("https://klasma.github.io/Logging_1493/artfynd/S 484-2025 artfynd.xlsx", "S 484-2025")</f>
        <v/>
      </c>
      <c r="X41">
        <f>HYPERLINK("https://klasma.github.io/Logging_1493/kartor/S 484-2025 karta.png", "S 484-2025")</f>
        <v/>
      </c>
      <c r="Y41">
        <f>HYPERLINK("https://klasma.github.io/Logging_1493/kartor_geotiff/S 484-2025 georefererad karta.tif", "S 484-2025")</f>
        <v/>
      </c>
      <c r="AA41">
        <f>HYPERLINK("https://klasma.github.io/Logging_1493/klagomål/S 484-2025 FSC-klagomål.docx", "S 484-2025")</f>
        <v/>
      </c>
      <c r="AB41">
        <f>HYPERLINK("https://klasma.github.io/Logging_1493/klagomålsmail/S 484-2025 FSC-klagomål mail.docx", "S 484-2025")</f>
        <v/>
      </c>
      <c r="AC41">
        <f>HYPERLINK("https://klasma.github.io/Logging_1493/tillsyn/S 484-2025 tillsynsbegäran.docx", "S 484-2025")</f>
        <v/>
      </c>
      <c r="AD41">
        <f>HYPERLINK("https://klasma.github.io/Logging_1493/tillsynsmail/S 484-2025 tillsynsbegäran mail.docx", "S 484-2025")</f>
        <v/>
      </c>
    </row>
    <row r="42" ht="15" customHeight="1">
      <c r="A42" t="inlineStr">
        <is>
          <t>S 483-2025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483-2025 artfynd.xlsx", "S 483-2025")</f>
        <v/>
      </c>
      <c r="X42">
        <f>HYPERLINK("https://klasma.github.io/Logging_1493/kartor/S 483-2025 karta.png", "S 483-2025")</f>
        <v/>
      </c>
      <c r="Y42">
        <f>HYPERLINK("https://klasma.github.io/Logging_1493/kartor_geotiff/S 483-2025 georefererad karta.tif", "S 483-2025")</f>
        <v/>
      </c>
      <c r="AA42">
        <f>HYPERLINK("https://klasma.github.io/Logging_1493/klagomål/S 483-2025 FSC-klagomål.docx", "S 483-2025")</f>
        <v/>
      </c>
      <c r="AB42">
        <f>HYPERLINK("https://klasma.github.io/Logging_1493/klagomålsmail/S 483-2025 FSC-klagomål mail.docx", "S 483-2025")</f>
        <v/>
      </c>
      <c r="AC42">
        <f>HYPERLINK("https://klasma.github.io/Logging_1493/tillsyn/S 483-2025 tillsynsbegäran.docx", "S 483-2025")</f>
        <v/>
      </c>
      <c r="AD42">
        <f>HYPERLINK("https://klasma.github.io/Logging_1493/tillsynsmail/S 483-2025 tillsynsbegäran mail.docx", "S 483-2025")</f>
        <v/>
      </c>
    </row>
    <row r="43" ht="15" customHeight="1">
      <c r="A43" t="inlineStr">
        <is>
          <t>A 9774-2022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44619</v>
      </c>
      <c r="E43" s="1" t="n">
        <v>46309</v>
      </c>
      <c r="F43" t="inlineStr">
        <is>
          <t>VÄSTRA GÖTALANDS LÄN</t>
        </is>
      </c>
      <c r="G43" t="inlineStr">
        <is>
          <t>MARIESTAD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46309</v>
      </c>
      <c r="F44" t="inlineStr">
        <is>
          <t>VÄSTRA GÖTALANDS LÄN</t>
        </is>
      </c>
      <c r="G44" t="inlineStr">
        <is>
          <t>MARIESTAD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46309</v>
      </c>
      <c r="F45" t="inlineStr">
        <is>
          <t>VÄSTRA GÖTALANDS LÄN</t>
        </is>
      </c>
      <c r="G45" t="inlineStr">
        <is>
          <t>MARIESTAD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46309</v>
      </c>
      <c r="F46" t="inlineStr">
        <is>
          <t>VÄSTRA GÖTALANDS LÄN</t>
        </is>
      </c>
      <c r="G46" t="inlineStr">
        <is>
          <t>MARIESTAD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46309</v>
      </c>
      <c r="F47" t="inlineStr">
        <is>
          <t>VÄSTRA GÖTALANDS LÄN</t>
        </is>
      </c>
      <c r="G47" t="inlineStr">
        <is>
          <t>MARIESTAD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46309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67146-2021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46309</v>
      </c>
      <c r="F49" t="inlineStr">
        <is>
          <t>VÄSTRA GÖTALANDS LÄN</t>
        </is>
      </c>
      <c r="G49" t="inlineStr">
        <is>
          <t>MARIESTAD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44614</v>
      </c>
      <c r="E50" s="1" t="n">
        <v>46309</v>
      </c>
      <c r="F50" t="inlineStr">
        <is>
          <t>VÄSTRA GÖTALANDS LÄN</t>
        </is>
      </c>
      <c r="G50" t="inlineStr">
        <is>
          <t>MARIESTAD</t>
        </is>
      </c>
      <c r="H50" t="inlineStr">
        <is>
          <t>Kyrkan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44766</v>
      </c>
      <c r="E51" s="1" t="n">
        <v>46309</v>
      </c>
      <c r="F51" t="inlineStr">
        <is>
          <t>VÄSTRA GÖTALANDS LÄN</t>
        </is>
      </c>
      <c r="G51" t="inlineStr">
        <is>
          <t>MARIESTAD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46309</v>
      </c>
      <c r="F52" t="inlineStr">
        <is>
          <t>VÄSTRA GÖTALANDS LÄN</t>
        </is>
      </c>
      <c r="G52" t="inlineStr">
        <is>
          <t>MARIESTAD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46309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Sveaskog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44758</v>
      </c>
      <c r="E54" s="1" t="n">
        <v>46309</v>
      </c>
      <c r="F54" t="inlineStr">
        <is>
          <t>VÄSTRA GÖTALANDS LÄN</t>
        </is>
      </c>
      <c r="G54" t="inlineStr">
        <is>
          <t>MARIESTAD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46309</v>
      </c>
      <c r="F55" t="inlineStr">
        <is>
          <t>VÄSTRA GÖTALANDS LÄN</t>
        </is>
      </c>
      <c r="G55" t="inlineStr">
        <is>
          <t>MARIESTAD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46309</v>
      </c>
      <c r="F56" t="inlineStr">
        <is>
          <t>VÄSTRA GÖTALANDS LÄN</t>
        </is>
      </c>
      <c r="G56" t="inlineStr">
        <is>
          <t>MARIESTAD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46309</v>
      </c>
      <c r="F57" t="inlineStr">
        <is>
          <t>VÄSTRA GÖTALANDS LÄN</t>
        </is>
      </c>
      <c r="G57" t="inlineStr">
        <is>
          <t>MARIESTAD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46309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46309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67142-2021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46309</v>
      </c>
      <c r="F60" t="inlineStr">
        <is>
          <t>VÄSTRA GÖTALANDS LÄN</t>
        </is>
      </c>
      <c r="G60" t="inlineStr">
        <is>
          <t>MARIESTAD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46309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68922-2021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46309</v>
      </c>
      <c r="F62" t="inlineStr">
        <is>
          <t>VÄSTRA GÖTALANDS LÄN</t>
        </is>
      </c>
      <c r="G62" t="inlineStr">
        <is>
          <t>MARIESTAD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45343</v>
      </c>
      <c r="E63" s="1" t="n">
        <v>46309</v>
      </c>
      <c r="F63" t="inlineStr">
        <is>
          <t>VÄSTRA GÖTALANDS LÄN</t>
        </is>
      </c>
      <c r="G63" t="inlineStr">
        <is>
          <t>MARIESTAD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46309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46309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46309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46309</v>
      </c>
      <c r="F67" t="inlineStr">
        <is>
          <t>VÄSTRA GÖTALANDS LÄN</t>
        </is>
      </c>
      <c r="G67" t="inlineStr">
        <is>
          <t>MARIESTAD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46309</v>
      </c>
      <c r="F68" t="inlineStr">
        <is>
          <t>VÄSTRA GÖTALANDS LÄN</t>
        </is>
      </c>
      <c r="G68" t="inlineStr">
        <is>
          <t>MARIESTAD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45097</v>
      </c>
      <c r="E69" s="1" t="n">
        <v>46309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46309</v>
      </c>
      <c r="F70" t="inlineStr">
        <is>
          <t>VÄSTRA GÖTALANDS LÄN</t>
        </is>
      </c>
      <c r="G70" t="inlineStr">
        <is>
          <t>MARIESTAD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46309</v>
      </c>
      <c r="F71" t="inlineStr">
        <is>
          <t>VÄSTRA GÖTALANDS LÄN</t>
        </is>
      </c>
      <c r="G71" t="inlineStr">
        <is>
          <t>MARIESTAD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45460</v>
      </c>
      <c r="E72" s="1" t="n">
        <v>46309</v>
      </c>
      <c r="F72" t="inlineStr">
        <is>
          <t>VÄSTRA GÖTALANDS LÄN</t>
        </is>
      </c>
      <c r="G72" t="inlineStr">
        <is>
          <t>MARIESTAD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44883</v>
      </c>
      <c r="E73" s="1" t="n">
        <v>46309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38114-2022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46309</v>
      </c>
      <c r="F74" t="inlineStr">
        <is>
          <t>VÄSTRA GÖTALANDS LÄN</t>
        </is>
      </c>
      <c r="G74" t="inlineStr">
        <is>
          <t>MARIESTAD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46309</v>
      </c>
      <c r="F75" t="inlineStr">
        <is>
          <t>VÄSTRA GÖTALANDS LÄN</t>
        </is>
      </c>
      <c r="G75" t="inlineStr">
        <is>
          <t>MARIESTAD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46309</v>
      </c>
      <c r="F76" t="inlineStr">
        <is>
          <t>VÄSTRA GÖTALANDS LÄN</t>
        </is>
      </c>
      <c r="G76" t="inlineStr">
        <is>
          <t>MARIESTAD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74081-2021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44553</v>
      </c>
      <c r="E77" s="1" t="n">
        <v>46309</v>
      </c>
      <c r="F77" t="inlineStr">
        <is>
          <t>VÄSTRA GÖTALANDS LÄN</t>
        </is>
      </c>
      <c r="G77" t="inlineStr">
        <is>
          <t>MARIESTAD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33571-2023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45131</v>
      </c>
      <c r="E78" s="1" t="n">
        <v>46309</v>
      </c>
      <c r="F78" t="inlineStr">
        <is>
          <t>VÄSTRA GÖTALANDS LÄN</t>
        </is>
      </c>
      <c r="G78" t="inlineStr">
        <is>
          <t>MARIESTAD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49385-2023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45211</v>
      </c>
      <c r="E79" s="1" t="n">
        <v>46309</v>
      </c>
      <c r="F79" t="inlineStr">
        <is>
          <t>VÄSTRA GÖTALANDS LÄN</t>
        </is>
      </c>
      <c r="G79" t="inlineStr">
        <is>
          <t>MARIESTAD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66772-2021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44521</v>
      </c>
      <c r="E80" s="1" t="n">
        <v>46309</v>
      </c>
      <c r="F80" t="inlineStr">
        <is>
          <t>VÄSTRA GÖTALANDS LÄN</t>
        </is>
      </c>
      <c r="G80" t="inlineStr">
        <is>
          <t>MARIESTAD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31142-2024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45502</v>
      </c>
      <c r="E81" s="1" t="n">
        <v>46309</v>
      </c>
      <c r="F81" t="inlineStr">
        <is>
          <t>VÄSTRA GÖTALANDS LÄN</t>
        </is>
      </c>
      <c r="G81" t="inlineStr">
        <is>
          <t>MARIESTAD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9868-2025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46309</v>
      </c>
      <c r="F82" t="inlineStr">
        <is>
          <t>VÄSTRA GÖTALANDS LÄN</t>
        </is>
      </c>
      <c r="G82" t="inlineStr">
        <is>
          <t>MARIESTAD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45331</v>
      </c>
      <c r="E83" s="1" t="n">
        <v>46309</v>
      </c>
      <c r="F83" t="inlineStr">
        <is>
          <t>VÄSTRA GÖTALANDS LÄN</t>
        </is>
      </c>
      <c r="G83" t="inlineStr">
        <is>
          <t>MARIESTAD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46309</v>
      </c>
      <c r="F84" t="inlineStr">
        <is>
          <t>VÄSTRA GÖTALANDS LÄN</t>
        </is>
      </c>
      <c r="G84" t="inlineStr">
        <is>
          <t>MARIESTAD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46309</v>
      </c>
      <c r="F85" t="inlineStr">
        <is>
          <t>VÄSTRA GÖTALANDS LÄN</t>
        </is>
      </c>
      <c r="G85" t="inlineStr">
        <is>
          <t>MARIESTAD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45709</v>
      </c>
      <c r="E86" s="1" t="n">
        <v>46309</v>
      </c>
      <c r="F86" t="inlineStr">
        <is>
          <t>VÄSTRA GÖTALANDS LÄN</t>
        </is>
      </c>
      <c r="G86" t="inlineStr">
        <is>
          <t>MARIESTAD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46309</v>
      </c>
      <c r="F87" t="inlineStr">
        <is>
          <t>VÄSTRA GÖTALANDS LÄN</t>
        </is>
      </c>
      <c r="G87" t="inlineStr">
        <is>
          <t>MARIESTAD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46309</v>
      </c>
      <c r="F88" t="inlineStr">
        <is>
          <t>VÄSTRA GÖTALANDS LÄN</t>
        </is>
      </c>
      <c r="G88" t="inlineStr">
        <is>
          <t>MARIESTAD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46309</v>
      </c>
      <c r="F89" t="inlineStr">
        <is>
          <t>VÄSTRA GÖTALANDS LÄN</t>
        </is>
      </c>
      <c r="G89" t="inlineStr">
        <is>
          <t>MARIESTAD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45516</v>
      </c>
      <c r="E90" s="1" t="n">
        <v>46309</v>
      </c>
      <c r="F90" t="inlineStr">
        <is>
          <t>VÄSTRA GÖTALANDS LÄN</t>
        </is>
      </c>
      <c r="G90" t="inlineStr">
        <is>
          <t>MARIESTAD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46029</v>
      </c>
      <c r="E91" s="1" t="n">
        <v>46309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46029</v>
      </c>
      <c r="E92" s="1" t="n">
        <v>46309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45443</v>
      </c>
      <c r="E93" s="1" t="n">
        <v>46309</v>
      </c>
      <c r="F93" t="inlineStr">
        <is>
          <t>VÄSTRA GÖTALANDS LÄN</t>
        </is>
      </c>
      <c r="G93" t="inlineStr">
        <is>
          <t>MARIESTAD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52869-2024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45610</v>
      </c>
      <c r="E94" s="1" t="n">
        <v>46309</v>
      </c>
      <c r="F94" t="inlineStr">
        <is>
          <t>VÄSTRA GÖTALANDS LÄN</t>
        </is>
      </c>
      <c r="G94" t="inlineStr">
        <is>
          <t>MARIESTAD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45265</v>
      </c>
      <c r="E95" s="1" t="n">
        <v>46309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46309</v>
      </c>
      <c r="F96" t="inlineStr">
        <is>
          <t>VÄSTRA GÖTALANDS LÄN</t>
        </is>
      </c>
      <c r="G96" t="inlineStr">
        <is>
          <t>MARIESTAD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45798</v>
      </c>
      <c r="E97" s="1" t="n">
        <v>46309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46309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46309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46309</v>
      </c>
      <c r="F100" t="inlineStr">
        <is>
          <t>VÄSTRA GÖTALANDS LÄN</t>
        </is>
      </c>
      <c r="G100" t="inlineStr">
        <is>
          <t>MARIESTAD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46309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58598-2021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46309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46309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46309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46309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46309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46309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46309</v>
      </c>
      <c r="F108" t="inlineStr">
        <is>
          <t>VÄSTRA GÖTALANDS LÄN</t>
        </is>
      </c>
      <c r="G108" t="inlineStr">
        <is>
          <t>MARIESTAD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46309</v>
      </c>
      <c r="F109" t="inlineStr">
        <is>
          <t>VÄSTRA GÖTALANDS LÄN</t>
        </is>
      </c>
      <c r="G109" t="inlineStr">
        <is>
          <t>MARIESTAD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46309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46309</v>
      </c>
      <c r="F111" t="inlineStr">
        <is>
          <t>VÄSTRA GÖTALANDS LÄN</t>
        </is>
      </c>
      <c r="G111" t="inlineStr">
        <is>
          <t>MARIESTAD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46309</v>
      </c>
      <c r="F112" t="inlineStr">
        <is>
          <t>VÄSTRA GÖTALANDS LÄN</t>
        </is>
      </c>
      <c r="G112" t="inlineStr">
        <is>
          <t>MARIESTAD</t>
        </is>
      </c>
      <c r="I112" t="n">
        <v>9.699999999999999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46309</v>
      </c>
      <c r="F113" t="inlineStr">
        <is>
          <t>VÄSTRA GÖTALANDS LÄN</t>
        </is>
      </c>
      <c r="G113" t="inlineStr">
        <is>
          <t>MARIESTAD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46309</v>
      </c>
      <c r="F114" t="inlineStr">
        <is>
          <t>VÄSTRA GÖTALANDS LÄN</t>
        </is>
      </c>
      <c r="G114" t="inlineStr">
        <is>
          <t>MARIESTAD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46309</v>
      </c>
      <c r="F115" t="inlineStr">
        <is>
          <t>VÄSTRA GÖTALANDS LÄN</t>
        </is>
      </c>
      <c r="G115" t="inlineStr">
        <is>
          <t>MARIESTAD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46309</v>
      </c>
      <c r="F116" t="inlineStr">
        <is>
          <t>VÄSTRA GÖTALANDS LÄN</t>
        </is>
      </c>
      <c r="G116" t="inlineStr">
        <is>
          <t>MARIESTAD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46309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46309</v>
      </c>
      <c r="F118" t="inlineStr">
        <is>
          <t>VÄSTRA GÖTALANDS LÄN</t>
        </is>
      </c>
      <c r="G118" t="inlineStr">
        <is>
          <t>MARIESTAD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46309</v>
      </c>
      <c r="F119" t="inlineStr">
        <is>
          <t>VÄSTRA GÖTALANDS LÄN</t>
        </is>
      </c>
      <c r="G119" t="inlineStr">
        <is>
          <t>MARIESTAD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28899-2025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46309</v>
      </c>
      <c r="F120" t="inlineStr">
        <is>
          <t>VÄSTRA GÖTALANDS LÄN</t>
        </is>
      </c>
      <c r="G120" t="inlineStr">
        <is>
          <t>MARIESTAD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46309</v>
      </c>
      <c r="F121" t="inlineStr">
        <is>
          <t>VÄSTRA GÖTALANDS LÄN</t>
        </is>
      </c>
      <c r="G121" t="inlineStr">
        <is>
          <t>MARIESTAD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46309</v>
      </c>
      <c r="F122" t="inlineStr">
        <is>
          <t>VÄSTRA GÖTALANDS LÄN</t>
        </is>
      </c>
      <c r="G122" t="inlineStr">
        <is>
          <t>MARIESTAD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46309</v>
      </c>
      <c r="F123" t="inlineStr">
        <is>
          <t>VÄSTRA GÖTALANDS LÄN</t>
        </is>
      </c>
      <c r="G123" t="inlineStr">
        <is>
          <t>MARIESTAD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45590</v>
      </c>
      <c r="E124" s="1" t="n">
        <v>46309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Kyrkan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45674</v>
      </c>
      <c r="E125" s="1" t="n">
        <v>46309</v>
      </c>
      <c r="F125" t="inlineStr">
        <is>
          <t>VÄSTRA GÖTALANDS LÄN</t>
        </is>
      </c>
      <c r="G125" t="inlineStr">
        <is>
          <t>MARIESTAD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46309</v>
      </c>
      <c r="F126" t="inlineStr">
        <is>
          <t>VÄSTRA GÖTALANDS LÄN</t>
        </is>
      </c>
      <c r="G126" t="inlineStr">
        <is>
          <t>MARIESTAD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60812-2023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45260</v>
      </c>
      <c r="E127" s="1" t="n">
        <v>46309</v>
      </c>
      <c r="F127" t="inlineStr">
        <is>
          <t>VÄSTRA GÖTALANDS LÄN</t>
        </is>
      </c>
      <c r="G127" t="inlineStr">
        <is>
          <t>MARIESTAD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45516</v>
      </c>
      <c r="E128" s="1" t="n">
        <v>46309</v>
      </c>
      <c r="F128" t="inlineStr">
        <is>
          <t>VÄSTRA GÖTALANDS LÄN</t>
        </is>
      </c>
      <c r="G128" t="inlineStr">
        <is>
          <t>MARIESTAD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46309</v>
      </c>
      <c r="F129" t="inlineStr">
        <is>
          <t>VÄSTRA GÖTALANDS LÄN</t>
        </is>
      </c>
      <c r="G129" t="inlineStr">
        <is>
          <t>MARIESTAD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46309</v>
      </c>
      <c r="F130" t="inlineStr">
        <is>
          <t>VÄSTRA GÖTALANDS LÄN</t>
        </is>
      </c>
      <c r="G130" t="inlineStr">
        <is>
          <t>MARIESTAD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46309</v>
      </c>
      <c r="F131" t="inlineStr">
        <is>
          <t>VÄSTRA GÖTALANDS LÄN</t>
        </is>
      </c>
      <c r="G131" t="inlineStr">
        <is>
          <t>MARIESTAD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11815-2023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46309</v>
      </c>
      <c r="F132" t="inlineStr">
        <is>
          <t>VÄSTRA GÖTALANDS LÄN</t>
        </is>
      </c>
      <c r="G132" t="inlineStr">
        <is>
          <t>MARIESTAD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45033</v>
      </c>
      <c r="E133" s="1" t="n">
        <v>46309</v>
      </c>
      <c r="F133" t="inlineStr">
        <is>
          <t>VÄSTRA GÖTALANDS LÄN</t>
        </is>
      </c>
      <c r="G133" t="inlineStr">
        <is>
          <t>MARIESTAD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46309</v>
      </c>
      <c r="F134" t="inlineStr">
        <is>
          <t>VÄSTRA GÖTALANDS LÄN</t>
        </is>
      </c>
      <c r="G134" t="inlineStr">
        <is>
          <t>MARIESTAD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46309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46309</v>
      </c>
      <c r="F136" t="inlineStr">
        <is>
          <t>VÄSTRA GÖTALANDS LÄN</t>
        </is>
      </c>
      <c r="G136" t="inlineStr">
        <is>
          <t>MARIESTAD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46309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46309</v>
      </c>
      <c r="F138" t="inlineStr">
        <is>
          <t>VÄSTRA GÖTALANDS LÄN</t>
        </is>
      </c>
      <c r="G138" t="inlineStr">
        <is>
          <t>MARIESTAD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46309</v>
      </c>
      <c r="F139" t="inlineStr">
        <is>
          <t>VÄSTRA GÖTALANDS LÄN</t>
        </is>
      </c>
      <c r="G139" t="inlineStr">
        <is>
          <t>MARIESTAD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46309</v>
      </c>
      <c r="F140" t="inlineStr">
        <is>
          <t>VÄSTRA GÖTALANDS LÄN</t>
        </is>
      </c>
      <c r="G140" t="inlineStr">
        <is>
          <t>MARIESTAD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53097-2022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46309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Kyrkan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46309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46309</v>
      </c>
      <c r="F143" t="inlineStr">
        <is>
          <t>VÄSTRA GÖTALANDS LÄN</t>
        </is>
      </c>
      <c r="G143" t="inlineStr">
        <is>
          <t>MARIESTAD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46309</v>
      </c>
      <c r="F144" t="inlineStr">
        <is>
          <t>VÄSTRA GÖTALANDS LÄN</t>
        </is>
      </c>
      <c r="G144" t="inlineStr">
        <is>
          <t>MARIESTAD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46309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46309</v>
      </c>
      <c r="F146" t="inlineStr">
        <is>
          <t>VÄSTRA GÖTALANDS LÄN</t>
        </is>
      </c>
      <c r="G146" t="inlineStr">
        <is>
          <t>MARIESTAD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46309</v>
      </c>
      <c r="F147" t="inlineStr">
        <is>
          <t>VÄSTRA GÖTALANDS LÄN</t>
        </is>
      </c>
      <c r="G147" t="inlineStr">
        <is>
          <t>MARIESTAD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46309</v>
      </c>
      <c r="F148" t="inlineStr">
        <is>
          <t>VÄSTRA GÖTALANDS LÄN</t>
        </is>
      </c>
      <c r="G148" t="inlineStr">
        <is>
          <t>MARIESTAD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46309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46309</v>
      </c>
      <c r="F150" t="inlineStr">
        <is>
          <t>VÄSTRA GÖTALANDS LÄN</t>
        </is>
      </c>
      <c r="G150" t="inlineStr">
        <is>
          <t>MARIESTAD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46309</v>
      </c>
      <c r="F151" t="inlineStr">
        <is>
          <t>VÄSTRA GÖTALANDS LÄN</t>
        </is>
      </c>
      <c r="G151" t="inlineStr">
        <is>
          <t>MARIESTAD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46309</v>
      </c>
      <c r="F152" t="inlineStr">
        <is>
          <t>VÄSTRA GÖTALANDS LÄN</t>
        </is>
      </c>
      <c r="G152" t="inlineStr">
        <is>
          <t>MARIESTAD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46309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46309</v>
      </c>
      <c r="F154" t="inlineStr">
        <is>
          <t>VÄSTRA GÖTALANDS LÄN</t>
        </is>
      </c>
      <c r="G154" t="inlineStr">
        <is>
          <t>MARIESTAD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45199</v>
      </c>
      <c r="E155" s="1" t="n">
        <v>46309</v>
      </c>
      <c r="F155" t="inlineStr">
        <is>
          <t>VÄSTRA GÖTALANDS LÄN</t>
        </is>
      </c>
      <c r="G155" t="inlineStr">
        <is>
          <t>MARIESTAD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46309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44943</v>
      </c>
      <c r="E157" s="1" t="n">
        <v>46309</v>
      </c>
      <c r="F157" t="inlineStr">
        <is>
          <t>VÄSTRA GÖTALANDS LÄN</t>
        </is>
      </c>
      <c r="G157" t="inlineStr">
        <is>
          <t>MARIESTAD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26688-2022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44739</v>
      </c>
      <c r="E158" s="1" t="n">
        <v>46309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44993</v>
      </c>
      <c r="E159" s="1" t="n">
        <v>46309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46309</v>
      </c>
      <c r="F160" t="inlineStr">
        <is>
          <t>VÄSTRA GÖTALANDS LÄN</t>
        </is>
      </c>
      <c r="G160" t="inlineStr">
        <is>
          <t>MARIESTAD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46309</v>
      </c>
      <c r="F161" t="inlineStr">
        <is>
          <t>VÄSTRA GÖTALANDS LÄN</t>
        </is>
      </c>
      <c r="G161" t="inlineStr">
        <is>
          <t>MARIESTAD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46309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Kyrkan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46309</v>
      </c>
      <c r="F163" t="inlineStr">
        <is>
          <t>VÄSTRA GÖTALANDS LÄN</t>
        </is>
      </c>
      <c r="G163" t="inlineStr">
        <is>
          <t>MARIESTAD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46061</v>
      </c>
      <c r="E164" s="1" t="n">
        <v>46309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44971</v>
      </c>
      <c r="E165" s="1" t="n">
        <v>46309</v>
      </c>
      <c r="F165" t="inlineStr">
        <is>
          <t>VÄSTRA GÖTALANDS LÄN</t>
        </is>
      </c>
      <c r="G165" t="inlineStr">
        <is>
          <t>MARIESTAD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46309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46309</v>
      </c>
      <c r="F167" t="inlineStr">
        <is>
          <t>VÄSTRA GÖTALANDS LÄN</t>
        </is>
      </c>
      <c r="G167" t="inlineStr">
        <is>
          <t>MARIESTAD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46309</v>
      </c>
      <c r="F168" t="inlineStr">
        <is>
          <t>VÄSTRA GÖTALANDS LÄN</t>
        </is>
      </c>
      <c r="G168" t="inlineStr">
        <is>
          <t>MARIESTAD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13655-2023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45006</v>
      </c>
      <c r="E169" s="1" t="n">
        <v>46309</v>
      </c>
      <c r="F169" t="inlineStr">
        <is>
          <t>VÄSTRA GÖTALANDS LÄN</t>
        </is>
      </c>
      <c r="G169" t="inlineStr">
        <is>
          <t>MARIESTAD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46309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46309</v>
      </c>
      <c r="F171" t="inlineStr">
        <is>
          <t>VÄSTRA GÖTALANDS LÄN</t>
        </is>
      </c>
      <c r="G171" t="inlineStr">
        <is>
          <t>MARIESTAD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9558-2026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46071</v>
      </c>
      <c r="E172" s="1" t="n">
        <v>46309</v>
      </c>
      <c r="F172" t="inlineStr">
        <is>
          <t>VÄSTRA GÖTALANDS LÄN</t>
        </is>
      </c>
      <c r="G172" t="inlineStr">
        <is>
          <t>MARIESTAD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46309</v>
      </c>
      <c r="F173" t="inlineStr">
        <is>
          <t>VÄSTRA GÖTALANDS LÄN</t>
        </is>
      </c>
      <c r="G173" t="inlineStr">
        <is>
          <t>MARIESTAD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46309</v>
      </c>
      <c r="F174" t="inlineStr">
        <is>
          <t>VÄSTRA GÖTALANDS LÄN</t>
        </is>
      </c>
      <c r="G174" t="inlineStr">
        <is>
          <t>MARIESTAD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46309</v>
      </c>
      <c r="F175" t="inlineStr">
        <is>
          <t>VÄSTRA GÖTALANDS LÄN</t>
        </is>
      </c>
      <c r="G175" t="inlineStr">
        <is>
          <t>MARIESTAD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44993</v>
      </c>
      <c r="E176" s="1" t="n">
        <v>46309</v>
      </c>
      <c r="F176" t="inlineStr">
        <is>
          <t>VÄSTRA GÖTALANDS LÄN</t>
        </is>
      </c>
      <c r="G176" t="inlineStr">
        <is>
          <t>MARIESTAD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46003</v>
      </c>
      <c r="E177" s="1" t="n">
        <v>46309</v>
      </c>
      <c r="F177" t="inlineStr">
        <is>
          <t>VÄSTRA GÖTALANDS LÄN</t>
        </is>
      </c>
      <c r="G177" t="inlineStr">
        <is>
          <t>MARIESTAD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46309</v>
      </c>
      <c r="F178" t="inlineStr">
        <is>
          <t>VÄSTRA GÖTALANDS LÄN</t>
        </is>
      </c>
      <c r="G178" t="inlineStr">
        <is>
          <t>MARIESTAD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46309</v>
      </c>
      <c r="F179" t="inlineStr">
        <is>
          <t>VÄSTRA GÖTALANDS LÄN</t>
        </is>
      </c>
      <c r="G179" t="inlineStr">
        <is>
          <t>MARIESTAD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62633-2025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46309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45664</v>
      </c>
      <c r="E181" s="1" t="n">
        <v>46309</v>
      </c>
      <c r="F181" t="inlineStr">
        <is>
          <t>VÄSTRA GÖTALANDS LÄN</t>
        </is>
      </c>
      <c r="G181" t="inlineStr">
        <is>
          <t>MARIESTAD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46309</v>
      </c>
      <c r="F182" t="inlineStr">
        <is>
          <t>VÄSTRA GÖTALANDS LÄN</t>
        </is>
      </c>
      <c r="G182" t="inlineStr">
        <is>
          <t>MARIESTAD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46309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46309</v>
      </c>
      <c r="F184" t="inlineStr">
        <is>
          <t>VÄSTRA GÖTALANDS LÄN</t>
        </is>
      </c>
      <c r="G184" t="inlineStr">
        <is>
          <t>MARIESTAD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46309</v>
      </c>
      <c r="F185" t="inlineStr">
        <is>
          <t>VÄSTRA GÖTALANDS LÄN</t>
        </is>
      </c>
      <c r="G185" t="inlineStr">
        <is>
          <t>MARIESTAD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46309</v>
      </c>
      <c r="F186" t="inlineStr">
        <is>
          <t>VÄSTRA GÖTALANDS LÄN</t>
        </is>
      </c>
      <c r="G186" t="inlineStr">
        <is>
          <t>MARIESTAD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46309</v>
      </c>
      <c r="F187" t="inlineStr">
        <is>
          <t>VÄSTRA GÖTALANDS LÄN</t>
        </is>
      </c>
      <c r="G187" t="inlineStr">
        <is>
          <t>MARIESTAD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46309</v>
      </c>
      <c r="F188" t="inlineStr">
        <is>
          <t>VÄSTRA GÖTALANDS LÄN</t>
        </is>
      </c>
      <c r="G188" t="inlineStr">
        <is>
          <t>MARIESTAD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46309</v>
      </c>
      <c r="F189" t="inlineStr">
        <is>
          <t>VÄSTRA GÖTALANDS LÄN</t>
        </is>
      </c>
      <c r="G189" t="inlineStr">
        <is>
          <t>MARIESTAD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46119</v>
      </c>
      <c r="E190" s="1" t="n">
        <v>46309</v>
      </c>
      <c r="F190" t="inlineStr">
        <is>
          <t>VÄSTRA GÖTALANDS LÄN</t>
        </is>
      </c>
      <c r="G190" t="inlineStr">
        <is>
          <t>MARIESTAD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46309</v>
      </c>
      <c r="F191" t="inlineStr">
        <is>
          <t>VÄSTRA GÖTALANDS LÄN</t>
        </is>
      </c>
      <c r="G191" t="inlineStr">
        <is>
          <t>MARIESTAD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44843</v>
      </c>
      <c r="E192" s="1" t="n">
        <v>46309</v>
      </c>
      <c r="F192" t="inlineStr">
        <is>
          <t>VÄSTRA GÖTALANDS LÄN</t>
        </is>
      </c>
      <c r="G192" t="inlineStr">
        <is>
          <t>MARIESTAD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46309</v>
      </c>
      <c r="F193" t="inlineStr">
        <is>
          <t>VÄSTRA GÖTALANDS LÄN</t>
        </is>
      </c>
      <c r="G193" t="inlineStr">
        <is>
          <t>MARIESTAD</t>
        </is>
      </c>
      <c r="I193" t="n">
        <v>10.3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44847</v>
      </c>
      <c r="E194" s="1" t="n">
        <v>46309</v>
      </c>
      <c r="F194" t="inlineStr">
        <is>
          <t>VÄSTRA GÖTALANDS LÄN</t>
        </is>
      </c>
      <c r="G194" t="inlineStr">
        <is>
          <t>MARIESTAD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46309</v>
      </c>
      <c r="F195" t="inlineStr">
        <is>
          <t>VÄSTRA GÖTALANDS LÄN</t>
        </is>
      </c>
      <c r="G195" t="inlineStr">
        <is>
          <t>MARIESTAD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36399-2024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45535</v>
      </c>
      <c r="E196" s="1" t="n">
        <v>46309</v>
      </c>
      <c r="F196" t="inlineStr">
        <is>
          <t>VÄSTRA GÖTALANDS LÄN</t>
        </is>
      </c>
      <c r="G196" t="inlineStr">
        <is>
          <t>MARIESTAD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46309</v>
      </c>
      <c r="F197" t="inlineStr">
        <is>
          <t>VÄSTRA GÖTALANDS LÄN</t>
        </is>
      </c>
      <c r="G197" t="inlineStr">
        <is>
          <t>MARIESTAD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44943</v>
      </c>
      <c r="E198" s="1" t="n">
        <v>46309</v>
      </c>
      <c r="F198" t="inlineStr">
        <is>
          <t>VÄSTRA GÖTALANDS LÄN</t>
        </is>
      </c>
      <c r="G198" t="inlineStr">
        <is>
          <t>MARIESTAD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44901</v>
      </c>
      <c r="E199" s="1" t="n">
        <v>46309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44836</v>
      </c>
      <c r="E200" s="1" t="n">
        <v>46309</v>
      </c>
      <c r="F200" t="inlineStr">
        <is>
          <t>VÄSTRA GÖTALANDS LÄN</t>
        </is>
      </c>
      <c r="G200" t="inlineStr">
        <is>
          <t>MARIESTAD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46309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46309</v>
      </c>
      <c r="F202" t="inlineStr">
        <is>
          <t>VÄSTRA GÖTALANDS LÄN</t>
        </is>
      </c>
      <c r="G202" t="inlineStr">
        <is>
          <t>MARIESTAD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46309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45200</v>
      </c>
      <c r="E204" s="1" t="n">
        <v>46309</v>
      </c>
      <c r="F204" t="inlineStr">
        <is>
          <t>VÄSTRA GÖTALANDS LÄN</t>
        </is>
      </c>
      <c r="G204" t="inlineStr">
        <is>
          <t>MARIESTAD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45393</v>
      </c>
      <c r="E205" s="1" t="n">
        <v>46309</v>
      </c>
      <c r="F205" t="inlineStr">
        <is>
          <t>VÄSTRA GÖTALANDS LÄN</t>
        </is>
      </c>
      <c r="G205" t="inlineStr">
        <is>
          <t>MARIESTAD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39766-2023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45167</v>
      </c>
      <c r="E206" s="1" t="n">
        <v>46309</v>
      </c>
      <c r="F206" t="inlineStr">
        <is>
          <t>VÄSTRA GÖTALANDS LÄN</t>
        </is>
      </c>
      <c r="G206" t="inlineStr">
        <is>
          <t>MARIESTAD</t>
        </is>
      </c>
      <c r="I206" t="n">
        <v>26.5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46309</v>
      </c>
      <c r="F207" t="inlineStr">
        <is>
          <t>VÄSTRA GÖTALANDS LÄN</t>
        </is>
      </c>
      <c r="G207" t="inlineStr">
        <is>
          <t>MARIESTAD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46309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46309</v>
      </c>
      <c r="F209" t="inlineStr">
        <is>
          <t>VÄSTRA GÖTALANDS LÄN</t>
        </is>
      </c>
      <c r="G209" t="inlineStr">
        <is>
          <t>MARIESTAD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46309</v>
      </c>
      <c r="F210" t="inlineStr">
        <is>
          <t>VÄSTRA GÖTALANDS LÄN</t>
        </is>
      </c>
      <c r="G210" t="inlineStr">
        <is>
          <t>MARIESTAD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45560</v>
      </c>
      <c r="E211" s="1" t="n">
        <v>46309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45397</v>
      </c>
      <c r="E212" s="1" t="n">
        <v>46309</v>
      </c>
      <c r="F212" t="inlineStr">
        <is>
          <t>VÄSTRA GÖTALANDS LÄN</t>
        </is>
      </c>
      <c r="G212" t="inlineStr">
        <is>
          <t>MARIESTAD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45875</v>
      </c>
      <c r="E213" s="1" t="n">
        <v>46309</v>
      </c>
      <c r="F213" t="inlineStr">
        <is>
          <t>VÄSTRA GÖTALANDS LÄN</t>
        </is>
      </c>
      <c r="G213" t="inlineStr">
        <is>
          <t>MARIESTAD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44620</v>
      </c>
      <c r="E214" s="1" t="n">
        <v>46309</v>
      </c>
      <c r="F214" t="inlineStr">
        <is>
          <t>VÄSTRA GÖTALANDS LÄN</t>
        </is>
      </c>
      <c r="G214" t="inlineStr">
        <is>
          <t>MARIESTAD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40455-2023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45170</v>
      </c>
      <c r="E215" s="1" t="n">
        <v>46309</v>
      </c>
      <c r="F215" t="inlineStr">
        <is>
          <t>VÄSTRA GÖTALANDS LÄN</t>
        </is>
      </c>
      <c r="G215" t="inlineStr">
        <is>
          <t>MARIESTAD</t>
        </is>
      </c>
      <c r="I215" t="n">
        <v>34.9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46309</v>
      </c>
      <c r="F216" t="inlineStr">
        <is>
          <t>VÄSTRA GÖTALANDS LÄN</t>
        </is>
      </c>
      <c r="G216" t="inlineStr">
        <is>
          <t>MARIESTAD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46309</v>
      </c>
      <c r="F217" t="inlineStr">
        <is>
          <t>VÄSTRA GÖTALANDS LÄN</t>
        </is>
      </c>
      <c r="G217" t="inlineStr">
        <is>
          <t>MARIESTAD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70259-2021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44536</v>
      </c>
      <c r="E218" s="1" t="n">
        <v>46309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45470</v>
      </c>
      <c r="E219" s="1" t="n">
        <v>46309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46309</v>
      </c>
      <c r="F220" t="inlineStr">
        <is>
          <t>VÄSTRA GÖTALANDS LÄN</t>
        </is>
      </c>
      <c r="G220" t="inlineStr">
        <is>
          <t>MARIESTAD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45548</v>
      </c>
      <c r="E221" s="1" t="n">
        <v>46309</v>
      </c>
      <c r="F221" t="inlineStr">
        <is>
          <t>VÄSTRA GÖTALANDS LÄN</t>
        </is>
      </c>
      <c r="G221" t="inlineStr">
        <is>
          <t>MARIESTAD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45751</v>
      </c>
      <c r="E222" s="1" t="n">
        <v>46309</v>
      </c>
      <c r="F222" t="inlineStr">
        <is>
          <t>VÄSTRA GÖTALANDS LÄN</t>
        </is>
      </c>
      <c r="G222" t="inlineStr">
        <is>
          <t>MARIESTAD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46309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46309</v>
      </c>
      <c r="F224" t="inlineStr">
        <is>
          <t>VÄSTRA GÖTALANDS LÄN</t>
        </is>
      </c>
      <c r="G224" t="inlineStr">
        <is>
          <t>MARIESTAD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50579-2023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45217</v>
      </c>
      <c r="E225" s="1" t="n">
        <v>46309</v>
      </c>
      <c r="F225" t="inlineStr">
        <is>
          <t>VÄSTRA GÖTALANDS LÄN</t>
        </is>
      </c>
      <c r="G225" t="inlineStr">
        <is>
          <t>MARIESTAD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21361-2026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46142</v>
      </c>
      <c r="E226" s="1" t="n">
        <v>46309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Kyrkan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46157</v>
      </c>
      <c r="E227" s="1" t="n">
        <v>46309</v>
      </c>
      <c r="F227" t="inlineStr">
        <is>
          <t>VÄSTRA GÖTALANDS LÄN</t>
        </is>
      </c>
      <c r="G227" t="inlineStr">
        <is>
          <t>MARIESTAD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22878-2026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46309</v>
      </c>
      <c r="F228" t="inlineStr">
        <is>
          <t>VÄSTRA GÖTALANDS LÄN</t>
        </is>
      </c>
      <c r="G228" t="inlineStr">
        <is>
          <t>MARIESTAD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13798-2022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44649</v>
      </c>
      <c r="E229" s="1" t="n">
        <v>46309</v>
      </c>
      <c r="F229" t="inlineStr">
        <is>
          <t>VÄSTRA GÖTALANDS LÄN</t>
        </is>
      </c>
      <c r="G229" t="inlineStr">
        <is>
          <t>MARIESTAD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44629</v>
      </c>
      <c r="E230" s="1" t="n">
        <v>46309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44645</v>
      </c>
      <c r="E231" s="1" t="n">
        <v>46309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46309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46309</v>
      </c>
      <c r="F233" t="inlineStr">
        <is>
          <t>VÄSTRA GÖTALANDS LÄN</t>
        </is>
      </c>
      <c r="G233" t="inlineStr">
        <is>
          <t>MARIESTAD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46163</v>
      </c>
      <c r="E234" s="1" t="n">
        <v>46309</v>
      </c>
      <c r="F234" t="inlineStr">
        <is>
          <t>VÄSTRA GÖTALANDS LÄN</t>
        </is>
      </c>
      <c r="G234" t="inlineStr">
        <is>
          <t>MARIESTAD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44638</v>
      </c>
      <c r="E235" s="1" t="n">
        <v>46309</v>
      </c>
      <c r="F235" t="inlineStr">
        <is>
          <t>VÄSTRA GÖTALANDS LÄN</t>
        </is>
      </c>
      <c r="G235" t="inlineStr">
        <is>
          <t>MARIESTAD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46875-2023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45200</v>
      </c>
      <c r="E236" s="1" t="n">
        <v>46309</v>
      </c>
      <c r="F236" t="inlineStr">
        <is>
          <t>VÄSTRA GÖTALANDS LÄN</t>
        </is>
      </c>
      <c r="G236" t="inlineStr">
        <is>
          <t>MARIESTAD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46309</v>
      </c>
      <c r="F237" t="inlineStr">
        <is>
          <t>VÄSTRA GÖTALANDS LÄN</t>
        </is>
      </c>
      <c r="G237" t="inlineStr">
        <is>
          <t>MARIESTAD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46309</v>
      </c>
      <c r="F238" t="inlineStr">
        <is>
          <t>VÄSTRA GÖTALANDS LÄN</t>
        </is>
      </c>
      <c r="G238" t="inlineStr">
        <is>
          <t>MARIESTAD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24412-2026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46309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46309</v>
      </c>
      <c r="F240" t="inlineStr">
        <is>
          <t>VÄSTRA GÖTALANDS LÄN</t>
        </is>
      </c>
      <c r="G240" t="inlineStr">
        <is>
          <t>MARIESTAD</t>
        </is>
      </c>
      <c r="I240" t="n">
        <v>10.7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44574</v>
      </c>
      <c r="E241" s="1" t="n">
        <v>46309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46309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46309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46309</v>
      </c>
      <c r="F244" t="inlineStr">
        <is>
          <t>VÄSTRA GÖTALANDS LÄN</t>
        </is>
      </c>
      <c r="G244" t="inlineStr">
        <is>
          <t>MARIESTAD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46309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46309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46309</v>
      </c>
      <c r="F247" t="inlineStr">
        <is>
          <t>VÄSTRA GÖTALANDS LÄN</t>
        </is>
      </c>
      <c r="G247" t="inlineStr">
        <is>
          <t>MARIESTAD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46309</v>
      </c>
      <c r="F248" t="inlineStr">
        <is>
          <t>VÄSTRA GÖTALANDS LÄN</t>
        </is>
      </c>
      <c r="G248" t="inlineStr">
        <is>
          <t>MARIESTAD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58077-2022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44900</v>
      </c>
      <c r="E249" s="1" t="n">
        <v>46309</v>
      </c>
      <c r="F249" t="inlineStr">
        <is>
          <t>VÄSTRA GÖTALANDS LÄN</t>
        </is>
      </c>
      <c r="G249" t="inlineStr">
        <is>
          <t>MARIESTAD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46309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46309</v>
      </c>
      <c r="F251" t="inlineStr">
        <is>
          <t>VÄSTRA GÖTALANDS LÄN</t>
        </is>
      </c>
      <c r="G251" t="inlineStr">
        <is>
          <t>MARIESTAD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46309</v>
      </c>
      <c r="F252" t="inlineStr">
        <is>
          <t>VÄSTRA GÖTALANDS LÄN</t>
        </is>
      </c>
      <c r="G252" t="inlineStr">
        <is>
          <t>MARIESTAD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44746</v>
      </c>
      <c r="E253" s="1" t="n">
        <v>46309</v>
      </c>
      <c r="F253" t="inlineStr">
        <is>
          <t>VÄSTRA GÖTALANDS LÄN</t>
        </is>
      </c>
      <c r="G253" t="inlineStr">
        <is>
          <t>MARIESTAD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46309</v>
      </c>
      <c r="F254" t="inlineStr">
        <is>
          <t>VÄSTRA GÖTALANDS LÄN</t>
        </is>
      </c>
      <c r="G254" t="inlineStr">
        <is>
          <t>MARIESTAD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44797</v>
      </c>
      <c r="E255" s="1" t="n">
        <v>46309</v>
      </c>
      <c r="F255" t="inlineStr">
        <is>
          <t>VÄSTRA GÖTALANDS LÄN</t>
        </is>
      </c>
      <c r="G255" t="inlineStr">
        <is>
          <t>MARIESTAD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61603-2023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45265</v>
      </c>
      <c r="E256" s="1" t="n">
        <v>46309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46309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46309</v>
      </c>
      <c r="F258" t="inlineStr">
        <is>
          <t>VÄSTRA GÖTALANDS LÄN</t>
        </is>
      </c>
      <c r="G258" t="inlineStr">
        <is>
          <t>MARIESTAD</t>
        </is>
      </c>
      <c r="I258" t="n">
        <v>11.9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44693</v>
      </c>
      <c r="E259" s="1" t="n">
        <v>46309</v>
      </c>
      <c r="F259" t="inlineStr">
        <is>
          <t>VÄSTRA GÖTALANDS LÄN</t>
        </is>
      </c>
      <c r="G259" t="inlineStr">
        <is>
          <t>MARIESTAD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46309</v>
      </c>
      <c r="F260" t="inlineStr">
        <is>
          <t>VÄSTRA GÖTALANDS LÄN</t>
        </is>
      </c>
      <c r="G260" t="inlineStr">
        <is>
          <t>MARIESTAD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49389-2023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45211</v>
      </c>
      <c r="E261" s="1" t="n">
        <v>46309</v>
      </c>
      <c r="F261" t="inlineStr">
        <is>
          <t>VÄSTRA GÖTALANDS LÄN</t>
        </is>
      </c>
      <c r="G261" t="inlineStr">
        <is>
          <t>MARIESTAD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46309</v>
      </c>
      <c r="F262" t="inlineStr">
        <is>
          <t>VÄSTRA GÖTALANDS LÄN</t>
        </is>
      </c>
      <c r="G262" t="inlineStr">
        <is>
          <t>MARIESTAD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46309</v>
      </c>
      <c r="F263" t="inlineStr">
        <is>
          <t>VÄSTRA GÖTALANDS LÄN</t>
        </is>
      </c>
      <c r="G263" t="inlineStr">
        <is>
          <t>MARIESTAD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45528</v>
      </c>
      <c r="E264" s="1" t="n">
        <v>46309</v>
      </c>
      <c r="F264" t="inlineStr">
        <is>
          <t>VÄSTRA GÖTALANDS LÄN</t>
        </is>
      </c>
      <c r="G264" t="inlineStr">
        <is>
          <t>MARIESTAD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44756</v>
      </c>
      <c r="E265" s="1" t="n">
        <v>46309</v>
      </c>
      <c r="F265" t="inlineStr">
        <is>
          <t>VÄSTRA GÖTALANDS LÄN</t>
        </is>
      </c>
      <c r="G265" t="inlineStr">
        <is>
          <t>MARIESTAD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46945-2023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46309</v>
      </c>
      <c r="F266" t="inlineStr">
        <is>
          <t>VÄSTRA GÖTALANDS LÄN</t>
        </is>
      </c>
      <c r="G266" t="inlineStr">
        <is>
          <t>MARIESTAD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46309</v>
      </c>
      <c r="F267" t="inlineStr">
        <is>
          <t>VÄSTRA GÖTALANDS LÄN</t>
        </is>
      </c>
      <c r="G267" t="inlineStr">
        <is>
          <t>MARIESTAD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46309</v>
      </c>
      <c r="F268" t="inlineStr">
        <is>
          <t>VÄSTRA GÖTALANDS LÄN</t>
        </is>
      </c>
      <c r="G268" t="inlineStr">
        <is>
          <t>MARIESTAD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46309</v>
      </c>
      <c r="F269" t="inlineStr">
        <is>
          <t>VÄSTRA GÖTALANDS LÄN</t>
        </is>
      </c>
      <c r="G269" t="inlineStr">
        <is>
          <t>MARIESTAD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46309</v>
      </c>
      <c r="F270" t="inlineStr">
        <is>
          <t>VÄSTRA GÖTALANDS LÄN</t>
        </is>
      </c>
      <c r="G270" t="inlineStr">
        <is>
          <t>MARIESTAD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46309</v>
      </c>
      <c r="F271" t="inlineStr">
        <is>
          <t>VÄSTRA GÖTALANDS LÄN</t>
        </is>
      </c>
      <c r="G271" t="inlineStr">
        <is>
          <t>MARIESTAD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30192-2026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46309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46309</v>
      </c>
      <c r="F273" t="inlineStr">
        <is>
          <t>VÄSTRA GÖTALANDS LÄN</t>
        </is>
      </c>
      <c r="G273" t="inlineStr">
        <is>
          <t>MARIESTAD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46309</v>
      </c>
      <c r="F274" t="inlineStr">
        <is>
          <t>VÄSTRA GÖTALANDS LÄN</t>
        </is>
      </c>
      <c r="G274" t="inlineStr">
        <is>
          <t>MARIESTAD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46309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46309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46309</v>
      </c>
      <c r="F277" t="inlineStr">
        <is>
          <t>VÄSTRA GÖTALANDS LÄN</t>
        </is>
      </c>
      <c r="G277" t="inlineStr">
        <is>
          <t>MARIESTAD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46309</v>
      </c>
      <c r="F278" t="inlineStr">
        <is>
          <t>VÄSTRA GÖTALANDS LÄN</t>
        </is>
      </c>
      <c r="G278" t="inlineStr">
        <is>
          <t>MARIESTAD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44572</v>
      </c>
      <c r="E279" s="1" t="n">
        <v>46309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Naturvårdsverket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44617</v>
      </c>
      <c r="E280" s="1" t="n">
        <v>46309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44930</v>
      </c>
      <c r="E281" s="1" t="n">
        <v>46309</v>
      </c>
      <c r="F281" t="inlineStr">
        <is>
          <t>VÄSTRA GÖTALANDS LÄN</t>
        </is>
      </c>
      <c r="G281" t="inlineStr">
        <is>
          <t>MARIESTAD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46309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46309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45674</v>
      </c>
      <c r="E284" s="1" t="n">
        <v>46309</v>
      </c>
      <c r="F284" t="inlineStr">
        <is>
          <t>VÄSTRA GÖTALANDS LÄN</t>
        </is>
      </c>
      <c r="G284" t="inlineStr">
        <is>
          <t>MARIESTAD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46309</v>
      </c>
      <c r="F285" t="inlineStr">
        <is>
          <t>VÄSTRA GÖTALANDS LÄN</t>
        </is>
      </c>
      <c r="G285" t="inlineStr">
        <is>
          <t>MARIESTAD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46309</v>
      </c>
      <c r="F286" t="inlineStr">
        <is>
          <t>VÄSTRA GÖTALANDS LÄN</t>
        </is>
      </c>
      <c r="G286" t="inlineStr">
        <is>
          <t>MARIESTAD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45705</v>
      </c>
      <c r="E287" s="1" t="n">
        <v>46309</v>
      </c>
      <c r="F287" t="inlineStr">
        <is>
          <t>VÄSTRA GÖTALANDS LÄN</t>
        </is>
      </c>
      <c r="G287" t="inlineStr">
        <is>
          <t>MARIESTAD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46309</v>
      </c>
      <c r="F288" t="inlineStr">
        <is>
          <t>VÄSTRA GÖTALANDS LÄN</t>
        </is>
      </c>
      <c r="G288" t="inlineStr">
        <is>
          <t>MARIESTAD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46309</v>
      </c>
      <c r="F289" t="inlineStr">
        <is>
          <t>VÄSTRA GÖTALANDS LÄN</t>
        </is>
      </c>
      <c r="G289" t="inlineStr">
        <is>
          <t>MARIESTAD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46309</v>
      </c>
      <c r="F290" t="inlineStr">
        <is>
          <t>VÄSTRA GÖTALANDS LÄN</t>
        </is>
      </c>
      <c r="G290" t="inlineStr">
        <is>
          <t>MARIESTAD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44622</v>
      </c>
      <c r="E291" s="1" t="n">
        <v>46309</v>
      </c>
      <c r="F291" t="inlineStr">
        <is>
          <t>VÄSTRA GÖTALANDS LÄN</t>
        </is>
      </c>
      <c r="G291" t="inlineStr">
        <is>
          <t>MARIESTAD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46309</v>
      </c>
      <c r="F292" t="inlineStr">
        <is>
          <t>VÄSTRA GÖTALANDS LÄN</t>
        </is>
      </c>
      <c r="G292" t="inlineStr">
        <is>
          <t>MARIESTAD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44616</v>
      </c>
      <c r="E293" s="1" t="n">
        <v>46309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Kyrkan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45324</v>
      </c>
      <c r="E294" s="1" t="n">
        <v>46309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45530</v>
      </c>
      <c r="E295" s="1" t="n">
        <v>46309</v>
      </c>
      <c r="F295" t="inlineStr">
        <is>
          <t>VÄSTRA GÖTALANDS LÄN</t>
        </is>
      </c>
      <c r="G295" t="inlineStr">
        <is>
          <t>MARIESTAD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70295-2021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44536</v>
      </c>
      <c r="E296" s="1" t="n">
        <v>46309</v>
      </c>
      <c r="F296" t="inlineStr">
        <is>
          <t>VÄSTRA GÖTALANDS LÄN</t>
        </is>
      </c>
      <c r="G296" t="inlineStr">
        <is>
          <t>MARIESTAD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46309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44981</v>
      </c>
      <c r="E298" s="1" t="n">
        <v>46309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46309</v>
      </c>
      <c r="F299" t="inlineStr">
        <is>
          <t>VÄSTRA GÖTALANDS LÄN</t>
        </is>
      </c>
      <c r="G299" t="inlineStr">
        <is>
          <t>MARIESTAD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46309</v>
      </c>
      <c r="F300" t="inlineStr">
        <is>
          <t>VÄSTRA GÖTALANDS LÄN</t>
        </is>
      </c>
      <c r="G300" t="inlineStr">
        <is>
          <t>MARIESTAD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45201</v>
      </c>
      <c r="E301" s="1" t="n">
        <v>46309</v>
      </c>
      <c r="F301" t="inlineStr">
        <is>
          <t>VÄSTRA GÖTALANDS LÄN</t>
        </is>
      </c>
      <c r="G301" t="inlineStr">
        <is>
          <t>MARIESTAD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46309</v>
      </c>
      <c r="F302" t="inlineStr">
        <is>
          <t>VÄSTRA GÖTALANDS LÄN</t>
        </is>
      </c>
      <c r="G302" t="inlineStr">
        <is>
          <t>MARIESTAD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46309</v>
      </c>
      <c r="F303" t="inlineStr">
        <is>
          <t>VÄSTRA GÖTALANDS LÄN</t>
        </is>
      </c>
      <c r="G303" t="inlineStr">
        <is>
          <t>MARIESTAD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46309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46309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46309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45110-2022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44843</v>
      </c>
      <c r="E307" s="1" t="n">
        <v>46309</v>
      </c>
      <c r="F307" t="inlineStr">
        <is>
          <t>VÄSTRA GÖTALANDS LÄN</t>
        </is>
      </c>
      <c r="G307" t="inlineStr">
        <is>
          <t>MARIESTAD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46309</v>
      </c>
      <c r="F308" t="inlineStr">
        <is>
          <t>VÄSTRA GÖTALANDS LÄN</t>
        </is>
      </c>
      <c r="G308" t="inlineStr">
        <is>
          <t>MARIESTAD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46309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46288</v>
      </c>
      <c r="E310" s="1" t="n">
        <v>46309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45371</v>
      </c>
      <c r="E311" s="1" t="n">
        <v>46309</v>
      </c>
      <c r="F311" t="inlineStr">
        <is>
          <t>VÄSTRA GÖTALANDS LÄN</t>
        </is>
      </c>
      <c r="G311" t="inlineStr">
        <is>
          <t>MARIESTAD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39286-2026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46288</v>
      </c>
      <c r="E312" s="1" t="n">
        <v>46309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45266</v>
      </c>
      <c r="E313" s="1" t="n">
        <v>46309</v>
      </c>
      <c r="F313" t="inlineStr">
        <is>
          <t>VÄSTRA GÖTALANDS LÄN</t>
        </is>
      </c>
      <c r="G313" t="inlineStr">
        <is>
          <t>MARIESTAD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46309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46288</v>
      </c>
      <c r="E315" s="1" t="n">
        <v>46309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56344-2022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46309</v>
      </c>
      <c r="F316" t="inlineStr">
        <is>
          <t>VÄSTRA GÖTALANDS LÄN</t>
        </is>
      </c>
      <c r="G316" t="inlineStr">
        <is>
          <t>MARIESTAD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39261-2026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46309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45070</v>
      </c>
      <c r="E318" s="1" t="n">
        <v>46309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65197-2023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45289</v>
      </c>
      <c r="E319" s="1" t="n">
        <v>46309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46309</v>
      </c>
      <c r="F320" t="inlineStr">
        <is>
          <t>VÄSTRA GÖTALANDS LÄN</t>
        </is>
      </c>
      <c r="G320" t="inlineStr">
        <is>
          <t>MARIESTAD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31384-2022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44774</v>
      </c>
      <c r="E321" s="1" t="n">
        <v>46309</v>
      </c>
      <c r="F321" t="inlineStr">
        <is>
          <t>VÄSTRA GÖTALANDS LÄN</t>
        </is>
      </c>
      <c r="G321" t="inlineStr">
        <is>
          <t>MARIESTAD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44756</v>
      </c>
      <c r="E322" s="1" t="n">
        <v>46309</v>
      </c>
      <c r="F322" t="inlineStr">
        <is>
          <t>VÄSTRA GÖTALANDS LÄN</t>
        </is>
      </c>
      <c r="G322" t="inlineStr">
        <is>
          <t>MARIESTAD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45600</v>
      </c>
      <c r="E323" s="1" t="n">
        <v>46309</v>
      </c>
      <c r="F323" t="inlineStr">
        <is>
          <t>VÄSTRA GÖTALANDS LÄN</t>
        </is>
      </c>
      <c r="G323" t="inlineStr">
        <is>
          <t>MARIESTAD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39632-2026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46309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46309</v>
      </c>
      <c r="F325" t="inlineStr">
        <is>
          <t>VÄSTRA GÖTALANDS LÄN</t>
        </is>
      </c>
      <c r="G325" t="inlineStr">
        <is>
          <t>MARIESTAD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4685-2023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46309</v>
      </c>
      <c r="F326" t="inlineStr">
        <is>
          <t>VÄSTRA GÖTALANDS LÄN</t>
        </is>
      </c>
      <c r="G326" t="inlineStr">
        <is>
          <t>MARIESTAD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46309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46293</v>
      </c>
      <c r="E328" s="1" t="n">
        <v>46309</v>
      </c>
      <c r="F328" t="inlineStr">
        <is>
          <t>VÄSTRA GÖTALANDS LÄN</t>
        </is>
      </c>
      <c r="G328" t="inlineStr">
        <is>
          <t>MARIESTAD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46309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46309</v>
      </c>
      <c r="F330" t="inlineStr">
        <is>
          <t>VÄSTRA GÖTALANDS LÄN</t>
        </is>
      </c>
      <c r="G330" t="inlineStr">
        <is>
          <t>MARIESTAD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46309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46309</v>
      </c>
      <c r="F332" t="inlineStr">
        <is>
          <t>VÄSTRA GÖTALANDS LÄN</t>
        </is>
      </c>
      <c r="G332" t="inlineStr">
        <is>
          <t>MARIESTAD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46309</v>
      </c>
      <c r="F333" t="inlineStr">
        <is>
          <t>VÄSTRA GÖTALANDS LÄN</t>
        </is>
      </c>
      <c r="G333" t="inlineStr">
        <is>
          <t>MARIESTAD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45384</v>
      </c>
      <c r="E334" s="1" t="n">
        <v>46309</v>
      </c>
      <c r="F334" t="inlineStr">
        <is>
          <t>VÄSTRA GÖTALANDS LÄN</t>
        </is>
      </c>
      <c r="G334" t="inlineStr">
        <is>
          <t>MARIESTAD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45720</v>
      </c>
      <c r="E335" s="1" t="n">
        <v>46309</v>
      </c>
      <c r="F335" t="inlineStr">
        <is>
          <t>VÄSTRA GÖTALANDS LÄN</t>
        </is>
      </c>
      <c r="G335" t="inlineStr">
        <is>
          <t>MARIESTAD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46309</v>
      </c>
      <c r="F336" t="inlineStr">
        <is>
          <t>VÄSTRA GÖTALANDS LÄN</t>
        </is>
      </c>
      <c r="G336" t="inlineStr">
        <is>
          <t>MARIESTAD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45684</v>
      </c>
      <c r="E337" s="1" t="n">
        <v>46309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Kyrkan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45516</v>
      </c>
      <c r="E338" s="1" t="n">
        <v>46309</v>
      </c>
      <c r="F338" t="inlineStr">
        <is>
          <t>VÄSTRA GÖTALANDS LÄN</t>
        </is>
      </c>
      <c r="G338" t="inlineStr">
        <is>
          <t>MARIESTAD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46309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46300</v>
      </c>
      <c r="E340" s="1" t="n">
        <v>46309</v>
      </c>
      <c r="F340" t="inlineStr">
        <is>
          <t>VÄSTRA GÖTALANDS LÄN</t>
        </is>
      </c>
      <c r="G340" t="inlineStr">
        <is>
          <t>MARIESTAD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46300</v>
      </c>
      <c r="E341" s="1" t="n">
        <v>46309</v>
      </c>
      <c r="F341" t="inlineStr">
        <is>
          <t>VÄSTRA GÖTALANDS LÄN</t>
        </is>
      </c>
      <c r="G341" t="inlineStr">
        <is>
          <t>MARIESTAD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46300</v>
      </c>
      <c r="E342" s="1" t="n">
        <v>46309</v>
      </c>
      <c r="F342" t="inlineStr">
        <is>
          <t>VÄSTRA GÖTALANDS LÄN</t>
        </is>
      </c>
      <c r="G342" t="inlineStr">
        <is>
          <t>MARIESTAD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46300</v>
      </c>
      <c r="E343" s="1" t="n">
        <v>46309</v>
      </c>
      <c r="F343" t="inlineStr">
        <is>
          <t>VÄSTRA GÖTALANDS LÄN</t>
        </is>
      </c>
      <c r="G343" t="inlineStr">
        <is>
          <t>MARIESTAD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45307</v>
      </c>
      <c r="E344" s="1" t="n">
        <v>46309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48324-2024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45590</v>
      </c>
      <c r="E345" s="1" t="n">
        <v>46309</v>
      </c>
      <c r="F345" t="inlineStr">
        <is>
          <t>VÄSTRA GÖTALANDS LÄN</t>
        </is>
      </c>
      <c r="G345" t="inlineStr">
        <is>
          <t>MARIESTAD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46309</v>
      </c>
      <c r="F346" t="inlineStr">
        <is>
          <t>VÄSTRA GÖTALANDS LÄN</t>
        </is>
      </c>
      <c r="G346" t="inlineStr">
        <is>
          <t>MARIESTAD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46309</v>
      </c>
      <c r="F347" t="inlineStr">
        <is>
          <t>VÄSTRA GÖTALANDS LÄN</t>
        </is>
      </c>
      <c r="G347" t="inlineStr">
        <is>
          <t>MARIESTAD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35283-2026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46261</v>
      </c>
      <c r="E348" s="1" t="n">
        <v>46309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46309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35431-2026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46262</v>
      </c>
      <c r="E350" s="1" t="n">
        <v>46309</v>
      </c>
      <c r="F350" t="inlineStr">
        <is>
          <t>VÄSTRA GÖTALANDS LÄN</t>
        </is>
      </c>
      <c r="G350" t="inlineStr">
        <is>
          <t>MARIESTAD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46262</v>
      </c>
      <c r="E351" s="1" t="n">
        <v>46309</v>
      </c>
      <c r="F351" t="inlineStr">
        <is>
          <t>VÄSTRA GÖTALANDS LÄN</t>
        </is>
      </c>
      <c r="G351" t="inlineStr">
        <is>
          <t>MARIESTAD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4868-2024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45618</v>
      </c>
      <c r="E352" s="1" t="n">
        <v>46309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1204-2025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45757</v>
      </c>
      <c r="E353" s="1" t="n">
        <v>46309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359-2026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46064</v>
      </c>
      <c r="E354" s="1" t="n">
        <v>46309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2026-10-14T02:00:37Z</dcterms:created>
  <dcterms:modified xmlns:dcterms="http://purl.org/dc/terms/" xmlns:xsi="http://www.w3.org/2001/XMLSchema-instance" xsi:type="dcterms:W3CDTF">2026-10-14T02:00:37Z</dcterms:modified>
</cp:coreProperties>
</file>