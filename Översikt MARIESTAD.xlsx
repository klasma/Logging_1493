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46318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46318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46318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46318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46318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46318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8262-2022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44610</v>
      </c>
      <c r="E8" s="1" t="n">
        <v>46318</v>
      </c>
      <c r="F8" t="inlineStr">
        <is>
          <t>VÄSTRA GÖTALANDS LÄN</t>
        </is>
      </c>
      <c r="G8" t="inlineStr">
        <is>
          <t>MARIESTAD</t>
        </is>
      </c>
      <c r="I8" t="n">
        <v>0.9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Gulsparv
Kungsfågel</t>
        </is>
      </c>
      <c r="W8">
        <f>HYPERLINK("https://klasma.github.io/Logging_1493/artfynd/A 8262-2022 artfynd.xlsx", "A 8262-2022")</f>
        <v/>
      </c>
      <c r="X8">
        <f>HYPERLINK("https://klasma.github.io/Logging_1493/kartor/A 8262-2022 karta.png", "A 8262-2022")</f>
        <v/>
      </c>
      <c r="Y8">
        <f>HYPERLINK("https://klasma.github.io/Logging_1493/kartor_geotiff/A 8262-2022 georefererad karta.tif", "A 8262-2022")</f>
        <v/>
      </c>
      <c r="AA8">
        <f>HYPERLINK("https://klasma.github.io/Logging_1493/klagomål/A 8262-2022 FSC-klagomål.docx", "A 8262-2022")</f>
        <v/>
      </c>
      <c r="AB8">
        <f>HYPERLINK("https://klasma.github.io/Logging_1493/klagomålsmail/A 8262-2022 FSC-klagomål mail.docx", "A 8262-2022")</f>
        <v/>
      </c>
      <c r="AC8">
        <f>HYPERLINK("https://klasma.github.io/Logging_1493/tillsyn/A 8262-2022 tillsynsbegäran.docx", "A 8262-2022")</f>
        <v/>
      </c>
      <c r="AD8">
        <f>HYPERLINK("https://klasma.github.io/Logging_1493/tillsynsmail/A 8262-2022 tillsynsbegäran mail.docx", "A 8262-2022")</f>
        <v/>
      </c>
      <c r="AE8">
        <f>HYPERLINK("https://klasma.github.io/Logging_1493/fåglar/A 8262-2022 prioriterade fågelarter.docx", "A 8262-2022")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46318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46318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46318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14947-2023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45015</v>
      </c>
      <c r="E12" s="1" t="n">
        <v>46318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0</v>
      </c>
      <c r="V12" s="2" t="inlineStr">
        <is>
          <t>Knärot
Grönpyrola</t>
        </is>
      </c>
      <c r="W12">
        <f>HYPERLINK("https://klasma.github.io/Logging_1493/artfynd/A 14947-2023 artfynd.xlsx", "A 14947-2023")</f>
        <v/>
      </c>
      <c r="X12">
        <f>HYPERLINK("https://klasma.github.io/Logging_1493/kartor/A 14947-2023 karta.png", "A 14947-2023")</f>
        <v/>
      </c>
      <c r="Y12">
        <f>HYPERLINK("https://klasma.github.io/Logging_1493/kartor_geotiff/A 14947-2023 georefererad karta.tif", "A 14947-2023")</f>
        <v/>
      </c>
      <c r="Z12">
        <f>HYPERLINK("https://klasma.github.io/Logging_1493/knärot/A 14947-2023 karta knärot.png", "A 14947-2023")</f>
        <v/>
      </c>
      <c r="AA12">
        <f>HYPERLINK("https://klasma.github.io/Logging_1493/klagomål/A 14947-2023 FSC-klagomål.docx", "A 14947-2023")</f>
        <v/>
      </c>
      <c r="AB12">
        <f>HYPERLINK("https://klasma.github.io/Logging_1493/klagomålsmail/A 14947-2023 FSC-klagomål mail.docx", "A 14947-2023")</f>
        <v/>
      </c>
      <c r="AC12">
        <f>HYPERLINK("https://klasma.github.io/Logging_1493/tillsyn/A 14947-2023 tillsynsbegäran.docx", "A 14947-2023")</f>
        <v/>
      </c>
      <c r="AD12">
        <f>HYPERLINK("https://klasma.github.io/Logging_1493/tillsynsmail/A 14947-2023 tillsynsbegäran mail.docx", "A 14947-2023")</f>
        <v/>
      </c>
    </row>
    <row r="13" ht="15" customHeight="1">
      <c r="A13" t="inlineStr">
        <is>
          <t>A 63287-2025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46009</v>
      </c>
      <c r="E13" s="1" t="n">
        <v>46318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Kyrkan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1</v>
      </c>
      <c r="V13" s="2" t="inlineStr">
        <is>
          <t>Ask
Tallticka</t>
        </is>
      </c>
      <c r="W13">
        <f>HYPERLINK("https://klasma.github.io/Logging_1493/artfynd/A 63287-2025 artfynd.xlsx", "A 63287-2025")</f>
        <v/>
      </c>
      <c r="X13">
        <f>HYPERLINK("https://klasma.github.io/Logging_1493/kartor/A 63287-2025 karta.png", "A 63287-2025")</f>
        <v/>
      </c>
      <c r="Y13">
        <f>HYPERLINK("https://klasma.github.io/Logging_1493/kartor_geotiff/A 63287-2025 georefererad karta.tif", "A 63287-2025")</f>
        <v/>
      </c>
      <c r="AA13">
        <f>HYPERLINK("https://klasma.github.io/Logging_1493/klagomål/A 63287-2025 FSC-klagomål.docx", "A 63287-2025")</f>
        <v/>
      </c>
      <c r="AB13">
        <f>HYPERLINK("https://klasma.github.io/Logging_1493/klagomålsmail/A 63287-2025 FSC-klagomål mail.docx", "A 63287-2025")</f>
        <v/>
      </c>
      <c r="AC13">
        <f>HYPERLINK("https://klasma.github.io/Logging_1493/tillsyn/A 63287-2025 tillsynsbegäran.docx", "A 63287-2025")</f>
        <v/>
      </c>
      <c r="AD13">
        <f>HYPERLINK("https://klasma.github.io/Logging_1493/tillsynsmail/A 63287-2025 tillsynsbegäran mail.docx", "A 63287-2025")</f>
        <v/>
      </c>
    </row>
    <row r="14" ht="15" customHeight="1">
      <c r="A14" t="inlineStr">
        <is>
          <t>A 27444-2023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45097</v>
      </c>
      <c r="E14" s="1" t="n">
        <v>46318</v>
      </c>
      <c r="F14" t="inlineStr">
        <is>
          <t>VÄSTRA GÖTALANDS LÄN</t>
        </is>
      </c>
      <c r="G14" t="inlineStr">
        <is>
          <t>MARIESTAD</t>
        </is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Svinrot
Gullviva</t>
        </is>
      </c>
      <c r="W14">
        <f>HYPERLINK("https://klasma.github.io/Logging_1493/artfynd/A 27444-2023 artfynd.xlsx", "A 27444-2023")</f>
        <v/>
      </c>
      <c r="X14">
        <f>HYPERLINK("https://klasma.github.io/Logging_1493/kartor/A 27444-2023 karta.png", "A 27444-2023")</f>
        <v/>
      </c>
      <c r="Y14">
        <f>HYPERLINK("https://klasma.github.io/Logging_1493/kartor_geotiff/A 27444-2023 georefererad karta.tif", "A 27444-2023")</f>
        <v/>
      </c>
      <c r="AA14">
        <f>HYPERLINK("https://klasma.github.io/Logging_1493/klagomål/A 27444-2023 FSC-klagomål.docx", "A 27444-2023")</f>
        <v/>
      </c>
      <c r="AB14">
        <f>HYPERLINK("https://klasma.github.io/Logging_1493/klagomålsmail/A 27444-2023 FSC-klagomål mail.docx", "A 27444-2023")</f>
        <v/>
      </c>
      <c r="AC14">
        <f>HYPERLINK("https://klasma.github.io/Logging_1493/tillsyn/A 27444-2023 tillsynsbegäran.docx", "A 27444-2023")</f>
        <v/>
      </c>
      <c r="AD14">
        <f>HYPERLINK("https://klasma.github.io/Logging_1493/tillsynsmail/A 27444-2023 tillsynsbegäran mail.docx", "A 27444-2023")</f>
        <v/>
      </c>
    </row>
    <row r="15" ht="15" customHeight="1">
      <c r="A15" t="inlineStr">
        <is>
          <t>A 46886-2023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45201</v>
      </c>
      <c r="E15" s="1" t="n">
        <v>46318</v>
      </c>
      <c r="F15" t="inlineStr">
        <is>
          <t>VÄSTRA GÖTALANDS LÄN</t>
        </is>
      </c>
      <c r="G15" t="inlineStr">
        <is>
          <t>MARIESTAD</t>
        </is>
      </c>
      <c r="I15" t="n">
        <v>2.5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Skogshare
Spillkråka</t>
        </is>
      </c>
      <c r="W15">
        <f>HYPERLINK("https://klasma.github.io/Logging_1493/artfynd/A 46886-2023 artfynd.xlsx", "A 46886-2023")</f>
        <v/>
      </c>
      <c r="X15">
        <f>HYPERLINK("https://klasma.github.io/Logging_1493/kartor/A 46886-2023 karta.png", "A 46886-2023")</f>
        <v/>
      </c>
      <c r="Y15">
        <f>HYPERLINK("https://klasma.github.io/Logging_1493/kartor_geotiff/A 46886-2023 georefererad karta.tif", "A 46886-2023")</f>
        <v/>
      </c>
      <c r="AA15">
        <f>HYPERLINK("https://klasma.github.io/Logging_1493/klagomål/A 46886-2023 FSC-klagomål.docx", "A 46886-2023")</f>
        <v/>
      </c>
      <c r="AB15">
        <f>HYPERLINK("https://klasma.github.io/Logging_1493/klagomålsmail/A 46886-2023 FSC-klagomål mail.docx", "A 46886-2023")</f>
        <v/>
      </c>
      <c r="AC15">
        <f>HYPERLINK("https://klasma.github.io/Logging_1493/tillsyn/A 46886-2023 tillsynsbegäran.docx", "A 46886-2023")</f>
        <v/>
      </c>
      <c r="AD15">
        <f>HYPERLINK("https://klasma.github.io/Logging_1493/tillsynsmail/A 46886-2023 tillsynsbegäran mail.docx", "A 46886-2023")</f>
        <v/>
      </c>
      <c r="AE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45203</v>
      </c>
      <c r="E16" s="1" t="n">
        <v>46318</v>
      </c>
      <c r="F16" t="inlineStr">
        <is>
          <t>VÄSTRA GÖTALANDS LÄN</t>
        </is>
      </c>
      <c r="G16" t="inlineStr">
        <is>
          <t>MARIESTAD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Blåsippa
Gullviva</t>
        </is>
      </c>
      <c r="W16">
        <f>HYPERLINK("https://klasma.github.io/Logging_1493/artfynd/A 47764-2023 artfynd.xlsx", "A 47764-2023")</f>
        <v/>
      </c>
      <c r="X16">
        <f>HYPERLINK("https://klasma.github.io/Logging_1493/kartor/A 47764-2023 karta.png", "A 47764-2023")</f>
        <v/>
      </c>
      <c r="Y16">
        <f>HYPERLINK("https://klasma.github.io/Logging_1493/kartor_geotiff/A 47764-2023 georefererad karta.tif", "A 47764-2023")</f>
        <v/>
      </c>
      <c r="AA16">
        <f>HYPERLINK("https://klasma.github.io/Logging_1493/klagomål/A 47764-2023 FSC-klagomål.docx", "A 47764-2023")</f>
        <v/>
      </c>
      <c r="AB16">
        <f>HYPERLINK("https://klasma.github.io/Logging_1493/klagomålsmail/A 47764-2023 FSC-klagomål mail.docx", "A 47764-2023")</f>
        <v/>
      </c>
      <c r="AC16">
        <f>HYPERLINK("https://klasma.github.io/Logging_1493/tillsyn/A 47764-2023 tillsynsbegäran.docx", "A 47764-2023")</f>
        <v/>
      </c>
      <c r="AD16">
        <f>HYPERLINK("https://klasma.github.io/Logging_1493/tillsynsmail/A 47764-2023 tillsynsbegäran mail.docx", "A 47764-2023")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46318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41069-2026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46300</v>
      </c>
      <c r="E18" s="1" t="n">
        <v>46318</v>
      </c>
      <c r="F18" t="inlineStr">
        <is>
          <t>VÄSTRA GÖTALANDS LÄN</t>
        </is>
      </c>
      <c r="G18" t="inlineStr">
        <is>
          <t>MARIESTAD</t>
        </is>
      </c>
      <c r="I18" t="n">
        <v>3.6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Åkergroda
Vanlig groda</t>
        </is>
      </c>
      <c r="W18">
        <f>HYPERLINK("https://klasma.github.io/Logging_1493/artfynd/A 41069-2026 artfynd.xlsx", "A 41069-2026")</f>
        <v/>
      </c>
      <c r="X18">
        <f>HYPERLINK("https://klasma.github.io/Logging_1493/kartor/A 41069-2026 karta.png", "A 41069-2026")</f>
        <v/>
      </c>
      <c r="Y18">
        <f>HYPERLINK("https://klasma.github.io/Logging_1493/kartor_geotiff/A 41069-2026 georefererad karta.tif", "A 41069-2026")</f>
        <v/>
      </c>
      <c r="AA18">
        <f>HYPERLINK("https://klasma.github.io/Logging_1493/klagomål/A 41069-2026 FSC-klagomål.docx", "A 41069-2026")</f>
        <v/>
      </c>
      <c r="AB18">
        <f>HYPERLINK("https://klasma.github.io/Logging_1493/klagomålsmail/A 41069-2026 FSC-klagomål mail.docx", "A 41069-2026")</f>
        <v/>
      </c>
      <c r="AC18">
        <f>HYPERLINK("https://klasma.github.io/Logging_1493/tillsyn/A 41069-2026 tillsynsbegäran.docx", "A 41069-2026")</f>
        <v/>
      </c>
      <c r="AD18">
        <f>HYPERLINK("https://klasma.github.io/Logging_1493/tillsynsmail/A 41069-2026 tillsynsbegäran mail.docx", "A 41069-2026")</f>
        <v/>
      </c>
    </row>
    <row r="19" ht="15" customHeight="1">
      <c r="A19" t="inlineStr">
        <is>
          <t>A 53880-2022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44880</v>
      </c>
      <c r="E19" s="1" t="n">
        <v>46318</v>
      </c>
      <c r="F19" t="inlineStr">
        <is>
          <t>VÄSTRA GÖTALANDS LÄN</t>
        </is>
      </c>
      <c r="G19" t="inlineStr">
        <is>
          <t>MARIESTAD</t>
        </is>
      </c>
      <c r="I19" t="n">
        <v>2.2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3</v>
      </c>
      <c r="U19" t="n">
        <v>2</v>
      </c>
      <c r="V19" s="2" t="inlineStr">
        <is>
          <t>Igelkott
Svinrot</t>
        </is>
      </c>
      <c r="W19">
        <f>HYPERLINK("https://klasma.github.io/Logging_1493/artfynd/A 53880-2022 artfynd.xlsx", "A 53880-2022")</f>
        <v/>
      </c>
      <c r="X19">
        <f>HYPERLINK("https://klasma.github.io/Logging_1493/kartor/A 53880-2022 karta.png", "A 53880-2022")</f>
        <v/>
      </c>
      <c r="Y19">
        <f>HYPERLINK("https://klasma.github.io/Logging_1493/kartor_geotiff/A 53880-2022 georefererad karta.tif", "A 53880-2022")</f>
        <v/>
      </c>
      <c r="AA19">
        <f>HYPERLINK("https://klasma.github.io/Logging_1493/klagomål/A 53880-2022 FSC-klagomål.docx", "A 53880-2022")</f>
        <v/>
      </c>
      <c r="AB19">
        <f>HYPERLINK("https://klasma.github.io/Logging_1493/klagomålsmail/A 53880-2022 FSC-klagomål mail.docx", "A 53880-2022")</f>
        <v/>
      </c>
      <c r="AC19">
        <f>HYPERLINK("https://klasma.github.io/Logging_1493/tillsyn/A 53880-2022 tillsynsbegäran.docx", "A 53880-2022")</f>
        <v/>
      </c>
      <c r="AD19">
        <f>HYPERLINK("https://klasma.github.io/Logging_1493/tillsynsmail/A 53880-2022 tillsynsbegäran mail.docx", "A 53880-2022")</f>
        <v/>
      </c>
    </row>
    <row r="20" ht="15" customHeight="1">
      <c r="A20" t="inlineStr">
        <is>
          <t>A 5162-2024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45330</v>
      </c>
      <c r="E20" s="1" t="n">
        <v>46318</v>
      </c>
      <c r="F20" t="inlineStr">
        <is>
          <t>VÄSTRA GÖTALANDS LÄN</t>
        </is>
      </c>
      <c r="G20" t="inlineStr">
        <is>
          <t>MARIESTAD</t>
        </is>
      </c>
      <c r="I20" t="n">
        <v>0.5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Större brunfladdermus
Revlummer</t>
        </is>
      </c>
      <c r="W20">
        <f>HYPERLINK("https://klasma.github.io/Logging_1493/artfynd/A 5162-2024 artfynd.xlsx", "A 5162-2024")</f>
        <v/>
      </c>
      <c r="X20">
        <f>HYPERLINK("https://klasma.github.io/Logging_1493/kartor/A 5162-2024 karta.png", "A 5162-2024")</f>
        <v/>
      </c>
      <c r="Y20">
        <f>HYPERLINK("https://klasma.github.io/Logging_1493/kartor_geotiff/A 5162-2024 georefererad karta.tif", "A 5162-2024")</f>
        <v/>
      </c>
      <c r="AA20">
        <f>HYPERLINK("https://klasma.github.io/Logging_1493/klagomål/A 5162-2024 FSC-klagomål.docx", "A 5162-2024")</f>
        <v/>
      </c>
      <c r="AB20">
        <f>HYPERLINK("https://klasma.github.io/Logging_1493/klagomålsmail/A 5162-2024 FSC-klagomål mail.docx", "A 5162-2024")</f>
        <v/>
      </c>
      <c r="AC20">
        <f>HYPERLINK("https://klasma.github.io/Logging_1493/tillsyn/A 5162-2024 tillsynsbegäran.docx", "A 5162-2024")</f>
        <v/>
      </c>
      <c r="AD20">
        <f>HYPERLINK("https://klasma.github.io/Logging_1493/tillsynsmail/A 5162-2024 tillsynsbegäran mail.docx", "A 5162-2024")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46318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46318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46318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Griffelblomfluga</t>
        </is>
      </c>
      <c r="W23">
        <f>HYPERLINK("https://klasma.github.io/Logging_1493/artfynd/A 20438-2024 artfynd.xlsx", "A 20438-2024")</f>
        <v/>
      </c>
      <c r="X23">
        <f>HYPERLINK("https://klasma.github.io/Logging_1493/kartor/A 20438-2024 karta.png", "A 20438-2024")</f>
        <v/>
      </c>
      <c r="Y23">
        <f>HYPERLINK("https://klasma.github.io/Logging_1493/kartor_geotiff/A 20438-2024 georefererad karta.tif", "A 20438-2024")</f>
        <v/>
      </c>
      <c r="AA23">
        <f>HYPERLINK("https://klasma.github.io/Logging_1493/klagomål/A 20438-2024 FSC-klagomål.docx", "A 20438-2024")</f>
        <v/>
      </c>
      <c r="AB23">
        <f>HYPERLINK("https://klasma.github.io/Logging_1493/klagomålsmail/A 20438-2024 FSC-klagomål mail.docx", "A 20438-2024")</f>
        <v/>
      </c>
      <c r="AC23">
        <f>HYPERLINK("https://klasma.github.io/Logging_1493/tillsyn/A 20438-2024 tillsynsbegäran.docx", "A 20438-2024")</f>
        <v/>
      </c>
      <c r="AD23">
        <f>HYPERLINK("https://klasma.github.io/Logging_1493/tillsynsmail/A 20438-2024 tillsynsbegäran mail.docx", "A 20438-2024")</f>
        <v/>
      </c>
    </row>
    <row r="24" ht="15" customHeight="1">
      <c r="A24" t="inlineStr">
        <is>
          <t>A 38580-2023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46318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4.6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Nattviol</t>
        </is>
      </c>
      <c r="W24">
        <f>HYPERLINK("https://klasma.github.io/Logging_1493/artfynd/A 38580-2023 artfynd.xlsx", "A 38580-2023")</f>
        <v/>
      </c>
      <c r="X24">
        <f>HYPERLINK("https://klasma.github.io/Logging_1493/kartor/A 38580-2023 karta.png", "A 38580-2023")</f>
        <v/>
      </c>
      <c r="Y24">
        <f>HYPERLINK("https://klasma.github.io/Logging_1493/kartor_geotiff/A 38580-2023 georefererad karta.tif", "A 38580-2023")</f>
        <v/>
      </c>
      <c r="AA24">
        <f>HYPERLINK("https://klasma.github.io/Logging_1493/klagomål/A 38580-2023 FSC-klagomål.docx", "A 38580-2023")</f>
        <v/>
      </c>
      <c r="AB24">
        <f>HYPERLINK("https://klasma.github.io/Logging_1493/klagomålsmail/A 38580-2023 FSC-klagomål mail.docx", "A 38580-2023")</f>
        <v/>
      </c>
      <c r="AC24">
        <f>HYPERLINK("https://klasma.github.io/Logging_1493/tillsyn/A 38580-2023 tillsynsbegäran.docx", "A 38580-2023")</f>
        <v/>
      </c>
      <c r="AD24">
        <f>HYPERLINK("https://klasma.github.io/Logging_1493/tillsynsmail/A 38580-2023 tillsynsbegäran mail.docx", "A 38580-2023")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46318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46318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18176-2025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45761</v>
      </c>
      <c r="E27" s="1" t="n">
        <v>46318</v>
      </c>
      <c r="F27" t="inlineStr">
        <is>
          <t>VÄSTRA GÖTALANDS LÄN</t>
        </is>
      </c>
      <c r="G27" t="inlineStr">
        <is>
          <t>MARIESTAD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Grovticka</t>
        </is>
      </c>
      <c r="W27">
        <f>HYPERLINK("https://klasma.github.io/Logging_1493/artfynd/A 18176-2025 artfynd.xlsx", "A 18176-2025")</f>
        <v/>
      </c>
      <c r="X27">
        <f>HYPERLINK("https://klasma.github.io/Logging_1493/kartor/A 18176-2025 karta.png", "A 18176-2025")</f>
        <v/>
      </c>
      <c r="Y27">
        <f>HYPERLINK("https://klasma.github.io/Logging_1493/kartor_geotiff/A 18176-2025 georefererad karta.tif", "A 18176-2025")</f>
        <v/>
      </c>
      <c r="AA27">
        <f>HYPERLINK("https://klasma.github.io/Logging_1493/klagomål/A 18176-2025 FSC-klagomål.docx", "A 18176-2025")</f>
        <v/>
      </c>
      <c r="AB27">
        <f>HYPERLINK("https://klasma.github.io/Logging_1493/klagomålsmail/A 18176-2025 FSC-klagomål mail.docx", "A 18176-2025")</f>
        <v/>
      </c>
      <c r="AC27">
        <f>HYPERLINK("https://klasma.github.io/Logging_1493/tillsyn/A 18176-2025 tillsynsbegäran.docx", "A 18176-2025")</f>
        <v/>
      </c>
      <c r="AD27">
        <f>HYPERLINK("https://klasma.github.io/Logging_1493/tillsynsmail/A 18176-2025 tillsynsbegäran mail.docx", "A 18176-2025")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46318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49233-2023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45210</v>
      </c>
      <c r="E29" s="1" t="n">
        <v>46318</v>
      </c>
      <c r="F29" t="inlineStr">
        <is>
          <t>VÄSTRA GÖTALANDS LÄN</t>
        </is>
      </c>
      <c r="G29" t="inlineStr">
        <is>
          <t>MARIESTAD</t>
        </is>
      </c>
      <c r="I29" t="n">
        <v>6.1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Lönnlav</t>
        </is>
      </c>
      <c r="W29">
        <f>HYPERLINK("https://klasma.github.io/Logging_1493/artfynd/A 49233-2023 artfynd.xlsx", "A 49233-2023")</f>
        <v/>
      </c>
      <c r="X29">
        <f>HYPERLINK("https://klasma.github.io/Logging_1493/kartor/A 49233-2023 karta.png", "A 49233-2023")</f>
        <v/>
      </c>
      <c r="Y29">
        <f>HYPERLINK("https://klasma.github.io/Logging_1493/kartor_geotiff/A 49233-2023 georefererad karta.tif", "A 49233-2023")</f>
        <v/>
      </c>
      <c r="AA29">
        <f>HYPERLINK("https://klasma.github.io/Logging_1493/klagomål/A 49233-2023 FSC-klagomål.docx", "A 49233-2023")</f>
        <v/>
      </c>
      <c r="AB29">
        <f>HYPERLINK("https://klasma.github.io/Logging_1493/klagomålsmail/A 49233-2023 FSC-klagomål mail.docx", "A 49233-2023")</f>
        <v/>
      </c>
      <c r="AC29">
        <f>HYPERLINK("https://klasma.github.io/Logging_1493/tillsyn/A 49233-2023 tillsynsbegäran.docx", "A 49233-2023")</f>
        <v/>
      </c>
      <c r="AD29">
        <f>HYPERLINK("https://klasma.github.io/Logging_1493/tillsynsmail/A 49233-2023 tillsynsbegäran mail.docx", "A 49233-2023")</f>
        <v/>
      </c>
    </row>
    <row r="30" ht="15" customHeight="1">
      <c r="A30" t="inlineStr">
        <is>
          <t>A 30652-2023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46318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30652-2023 artfynd.xlsx", "A 30652-2023")</f>
        <v/>
      </c>
      <c r="X30">
        <f>HYPERLINK("https://klasma.github.io/Logging_1493/kartor/A 30652-2023 karta.png", "A 30652-2023")</f>
        <v/>
      </c>
      <c r="Y30">
        <f>HYPERLINK("https://klasma.github.io/Logging_1493/kartor_geotiff/A 30652-2023 georefererad karta.tif", "A 30652-2023")</f>
        <v/>
      </c>
      <c r="AA30">
        <f>HYPERLINK("https://klasma.github.io/Logging_1493/klagomål/A 30652-2023 FSC-klagomål.docx", "A 30652-2023")</f>
        <v/>
      </c>
      <c r="AB30">
        <f>HYPERLINK("https://klasma.github.io/Logging_1493/klagomålsmail/A 30652-2023 FSC-klagomål mail.docx", "A 30652-2023")</f>
        <v/>
      </c>
      <c r="AC30">
        <f>HYPERLINK("https://klasma.github.io/Logging_1493/tillsyn/A 30652-2023 tillsynsbegäran.docx", "A 30652-2023")</f>
        <v/>
      </c>
      <c r="AD30">
        <f>HYPERLINK("https://klasma.github.io/Logging_1493/tillsynsmail/A 30652-2023 tillsynsbegäran mail.docx", "A 30652-2023")</f>
        <v/>
      </c>
    </row>
    <row r="31" ht="15" customHeight="1">
      <c r="A31" t="inlineStr">
        <is>
          <t>A 9650-2025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45716</v>
      </c>
      <c r="E31" s="1" t="n">
        <v>46318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Sveaskog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HYPERLINK("https://klasma.github.io/Logging_1493/artfynd/A 9650-2025 artfynd.xlsx", "A 9650-2025")</f>
        <v/>
      </c>
      <c r="X31">
        <f>HYPERLINK("https://klasma.github.io/Logging_1493/kartor/A 9650-2025 karta.png", "A 9650-2025")</f>
        <v/>
      </c>
      <c r="Y31">
        <f>HYPERLINK("https://klasma.github.io/Logging_1493/kartor_geotiff/A 9650-2025 georefererad karta.tif", "A 9650-2025")</f>
        <v/>
      </c>
      <c r="AA31">
        <f>HYPERLINK("https://klasma.github.io/Logging_1493/klagomål/A 9650-2025 FSC-klagomål.docx", "A 9650-2025")</f>
        <v/>
      </c>
      <c r="AB31">
        <f>HYPERLINK("https://klasma.github.io/Logging_1493/klagomålsmail/A 9650-2025 FSC-klagomål mail.docx", "A 9650-2025")</f>
        <v/>
      </c>
      <c r="AC31">
        <f>HYPERLINK("https://klasma.github.io/Logging_1493/tillsyn/A 9650-2025 tillsynsbegäran.docx", "A 9650-2025")</f>
        <v/>
      </c>
      <c r="AD31">
        <f>HYPERLINK("https://klasma.github.io/Logging_1493/tillsynsmail/A 9650-2025 tillsynsbegäran mail.docx", "A 9650-2025")</f>
        <v/>
      </c>
    </row>
    <row r="32" ht="15" customHeight="1">
      <c r="A32" t="inlineStr">
        <is>
          <t>A 17272-2023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46318</v>
      </c>
      <c r="F32" t="inlineStr">
        <is>
          <t>VÄSTRA GÖTALANDS LÄN</t>
        </is>
      </c>
      <c r="G32" t="inlineStr">
        <is>
          <t>MARIESTAD</t>
        </is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HYPERLINK("https://klasma.github.io/Logging_1493/artfynd/A 17272-2023 artfynd.xlsx", "A 17272-2023")</f>
        <v/>
      </c>
      <c r="X32">
        <f>HYPERLINK("https://klasma.github.io/Logging_1493/kartor/A 17272-2023 karta.png", "A 17272-2023")</f>
        <v/>
      </c>
      <c r="Y32">
        <f>HYPERLINK("https://klasma.github.io/Logging_1493/kartor_geotiff/A 17272-2023 georefererad karta.tif", "A 17272-2023")</f>
        <v/>
      </c>
      <c r="AA32">
        <f>HYPERLINK("https://klasma.github.io/Logging_1493/klagomål/A 17272-2023 FSC-klagomål.docx", "A 17272-2023")</f>
        <v/>
      </c>
      <c r="AB32">
        <f>HYPERLINK("https://klasma.github.io/Logging_1493/klagomålsmail/A 17272-2023 FSC-klagomål mail.docx", "A 17272-2023")</f>
        <v/>
      </c>
      <c r="AC32">
        <f>HYPERLINK("https://klasma.github.io/Logging_1493/tillsyn/A 17272-2023 tillsynsbegäran.docx", "A 17272-2023")</f>
        <v/>
      </c>
      <c r="AD32">
        <f>HYPERLINK("https://klasma.github.io/Logging_1493/tillsynsmail/A 17272-2023 tillsynsbegäran mail.docx", "A 17272-2023")</f>
        <v/>
      </c>
    </row>
    <row r="33" ht="15" customHeight="1">
      <c r="A33" t="inlineStr">
        <is>
          <t>A 7578-2025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46318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Svartvit flugsnappare</t>
        </is>
      </c>
      <c r="W33">
        <f>HYPERLINK("https://klasma.github.io/Logging_1493/artfynd/A 7578-2025 artfynd.xlsx", "A 7578-2025")</f>
        <v/>
      </c>
      <c r="X33">
        <f>HYPERLINK("https://klasma.github.io/Logging_1493/kartor/A 7578-2025 karta.png", "A 7578-2025")</f>
        <v/>
      </c>
      <c r="Y33">
        <f>HYPERLINK("https://klasma.github.io/Logging_1493/kartor_geotiff/A 7578-2025 georefererad karta.tif", "A 7578-2025")</f>
        <v/>
      </c>
      <c r="AA33">
        <f>HYPERLINK("https://klasma.github.io/Logging_1493/klagomål/A 7578-2025 FSC-klagomål.docx", "A 7578-2025")</f>
        <v/>
      </c>
      <c r="AB33">
        <f>HYPERLINK("https://klasma.github.io/Logging_1493/klagomålsmail/A 7578-2025 FSC-klagomål mail.docx", "A 7578-2025")</f>
        <v/>
      </c>
      <c r="AC33">
        <f>HYPERLINK("https://klasma.github.io/Logging_1493/tillsyn/A 7578-2025 tillsynsbegäran.docx", "A 7578-2025")</f>
        <v/>
      </c>
      <c r="AD33">
        <f>HYPERLINK("https://klasma.github.io/Logging_1493/tillsynsmail/A 7578-2025 tillsynsbegäran mail.docx", "A 7578-2025")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46318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42647-2023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46318</v>
      </c>
      <c r="F35" t="inlineStr">
        <is>
          <t>VÄSTRA GÖTALANDS LÄN</t>
        </is>
      </c>
      <c r="G35" t="inlineStr">
        <is>
          <t>MARIESTAD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Ärtsångare</t>
        </is>
      </c>
      <c r="W35">
        <f>HYPERLINK("https://klasma.github.io/Logging_1493/artfynd/A 42647-2023 artfynd.xlsx", "A 42647-2023")</f>
        <v/>
      </c>
      <c r="X35">
        <f>HYPERLINK("https://klasma.github.io/Logging_1493/kartor/A 42647-2023 karta.png", "A 42647-2023")</f>
        <v/>
      </c>
      <c r="Y35">
        <f>HYPERLINK("https://klasma.github.io/Logging_1493/kartor_geotiff/A 42647-2023 georefererad karta.tif", "A 42647-2023")</f>
        <v/>
      </c>
      <c r="AA35">
        <f>HYPERLINK("https://klasma.github.io/Logging_1493/klagomål/A 42647-2023 FSC-klagomål.docx", "A 42647-2023")</f>
        <v/>
      </c>
      <c r="AB35">
        <f>HYPERLINK("https://klasma.github.io/Logging_1493/klagomålsmail/A 42647-2023 FSC-klagomål mail.docx", "A 42647-2023")</f>
        <v/>
      </c>
      <c r="AC35">
        <f>HYPERLINK("https://klasma.github.io/Logging_1493/tillsyn/A 42647-2023 tillsynsbegäran.docx", "A 42647-2023")</f>
        <v/>
      </c>
      <c r="AD35">
        <f>HYPERLINK("https://klasma.github.io/Logging_1493/tillsynsmail/A 42647-2023 tillsynsbegäran mail.docx", "A 42647-2023")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46318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46318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46318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46318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46318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46318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46318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46318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46318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46318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46318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46318</v>
      </c>
      <c r="F47" t="inlineStr">
        <is>
          <t>VÄSTRA GÖTALANDS LÄN</t>
        </is>
      </c>
      <c r="G47" t="inlineStr">
        <is>
          <t>MARIESTAD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67146-2021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46318</v>
      </c>
      <c r="F48" t="inlineStr">
        <is>
          <t>VÄSTRA GÖTALANDS LÄN</t>
        </is>
      </c>
      <c r="G48" t="inlineStr">
        <is>
          <t>MARIESTAD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46318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46318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46318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46318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46318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46318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46318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46318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44843</v>
      </c>
      <c r="E57" s="1" t="n">
        <v>46318</v>
      </c>
      <c r="F57" t="inlineStr">
        <is>
          <t>VÄSTRA GÖTALANDS LÄN</t>
        </is>
      </c>
      <c r="G57" t="inlineStr">
        <is>
          <t>MARIESTAD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45677</v>
      </c>
      <c r="E58" s="1" t="n">
        <v>46318</v>
      </c>
      <c r="F58" t="inlineStr">
        <is>
          <t>VÄSTRA GÖTALANDS LÄN</t>
        </is>
      </c>
      <c r="G58" t="inlineStr">
        <is>
          <t>MARIESTAD</t>
        </is>
      </c>
      <c r="I58" t="n">
        <v>8.800000000000001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68081-2021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46318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46318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46318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46318</v>
      </c>
      <c r="F62" t="inlineStr">
        <is>
          <t>VÄSTRA GÖTALANDS LÄN</t>
        </is>
      </c>
      <c r="G62" t="inlineStr">
        <is>
          <t>MARIESTAD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46318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46318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45371</v>
      </c>
      <c r="E65" s="1" t="n">
        <v>46318</v>
      </c>
      <c r="F65" t="inlineStr">
        <is>
          <t>VÄSTRA GÖTALANDS LÄN</t>
        </is>
      </c>
      <c r="G65" t="inlineStr">
        <is>
          <t>MARIESTAD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46318</v>
      </c>
      <c r="F66" t="inlineStr">
        <is>
          <t>VÄSTRA GÖTALANDS LÄN</t>
        </is>
      </c>
      <c r="G66" t="inlineStr">
        <is>
          <t>MARIESTAD</t>
        </is>
      </c>
      <c r="H66" t="inlineStr">
        <is>
          <t>Sveaskog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45674</v>
      </c>
      <c r="E67" s="1" t="n">
        <v>46318</v>
      </c>
      <c r="F67" t="inlineStr">
        <is>
          <t>VÄSTRA GÖTALANDS LÄN</t>
        </is>
      </c>
      <c r="G67" t="inlineStr">
        <is>
          <t>MARIESTAD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44622</v>
      </c>
      <c r="E68" s="1" t="n">
        <v>46318</v>
      </c>
      <c r="F68" t="inlineStr">
        <is>
          <t>VÄSTRA GÖTALANDS LÄN</t>
        </is>
      </c>
      <c r="G68" t="inlineStr">
        <is>
          <t>MARIESTAD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46318</v>
      </c>
      <c r="F69" t="inlineStr">
        <is>
          <t>VÄSTRA GÖTALANDS LÄN</t>
        </is>
      </c>
      <c r="G69" t="inlineStr">
        <is>
          <t>MARIESTAD</t>
        </is>
      </c>
      <c r="H69" t="inlineStr">
        <is>
          <t>Sveaskog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46318</v>
      </c>
      <c r="F70" t="inlineStr">
        <is>
          <t>VÄSTRA GÖTALANDS LÄN</t>
        </is>
      </c>
      <c r="G70" t="inlineStr">
        <is>
          <t>MARIESTAD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11397-2022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44630</v>
      </c>
      <c r="E71" s="1" t="n">
        <v>46318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46318</v>
      </c>
      <c r="F72" t="inlineStr">
        <is>
          <t>VÄSTRA GÖTALANDS LÄN</t>
        </is>
      </c>
      <c r="G72" t="inlineStr">
        <is>
          <t>MARIESTAD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16713-2025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46318</v>
      </c>
      <c r="F73" t="inlineStr">
        <is>
          <t>VÄSTRA GÖTALANDS LÄN</t>
        </is>
      </c>
      <c r="G73" t="inlineStr">
        <is>
          <t>MARIESTAD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45516</v>
      </c>
      <c r="E74" s="1" t="n">
        <v>46318</v>
      </c>
      <c r="F74" t="inlineStr">
        <is>
          <t>VÄSTRA GÖTALANDS LÄN</t>
        </is>
      </c>
      <c r="G74" t="inlineStr">
        <is>
          <t>MARIESTAD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46318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Kyrkan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46318</v>
      </c>
      <c r="F76" t="inlineStr">
        <is>
          <t>VÄSTRA GÖTALANDS LÄN</t>
        </is>
      </c>
      <c r="G76" t="inlineStr">
        <is>
          <t>MARIESTAD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45268</v>
      </c>
      <c r="E77" s="1" t="n">
        <v>46318</v>
      </c>
      <c r="F77" t="inlineStr">
        <is>
          <t>VÄSTRA GÖTALANDS LÄN</t>
        </is>
      </c>
      <c r="G77" t="inlineStr">
        <is>
          <t>MARIESTAD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45210</v>
      </c>
      <c r="E78" s="1" t="n">
        <v>46318</v>
      </c>
      <c r="F78" t="inlineStr">
        <is>
          <t>VÄSTRA GÖTALANDS LÄN</t>
        </is>
      </c>
      <c r="G78" t="inlineStr">
        <is>
          <t>MARIESTAD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46318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46318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38947-2025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46318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Sveaskog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44574</v>
      </c>
      <c r="E82" s="1" t="n">
        <v>46318</v>
      </c>
      <c r="F82" t="inlineStr">
        <is>
          <t>VÄSTRA GÖTALANDS LÄN</t>
        </is>
      </c>
      <c r="G82" t="inlineStr">
        <is>
          <t>MARIESTAD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45590</v>
      </c>
      <c r="E83" s="1" t="n">
        <v>46318</v>
      </c>
      <c r="F83" t="inlineStr">
        <is>
          <t>VÄSTRA GÖTALANDS LÄN</t>
        </is>
      </c>
      <c r="G83" t="inlineStr">
        <is>
          <t>MARIESTAD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46318</v>
      </c>
      <c r="F84" t="inlineStr">
        <is>
          <t>VÄSTRA GÖTALANDS LÄN</t>
        </is>
      </c>
      <c r="G84" t="inlineStr">
        <is>
          <t>MARIESTAD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46318</v>
      </c>
      <c r="F85" t="inlineStr">
        <is>
          <t>VÄSTRA GÖTALANDS LÄN</t>
        </is>
      </c>
      <c r="G85" t="inlineStr">
        <is>
          <t>MARIESTAD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46318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46318</v>
      </c>
      <c r="F87" t="inlineStr">
        <is>
          <t>VÄSTRA GÖTALANDS LÄN</t>
        </is>
      </c>
      <c r="G87" t="inlineStr">
        <is>
          <t>MARIESTAD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45818</v>
      </c>
      <c r="E88" s="1" t="n">
        <v>46318</v>
      </c>
      <c r="F88" t="inlineStr">
        <is>
          <t>VÄSTRA GÖTALANDS LÄN</t>
        </is>
      </c>
      <c r="G88" t="inlineStr">
        <is>
          <t>MARIESTAD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46318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Kommuner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46318</v>
      </c>
      <c r="F90" t="inlineStr">
        <is>
          <t>VÄSTRA GÖTALANDS LÄN</t>
        </is>
      </c>
      <c r="G90" t="inlineStr">
        <is>
          <t>MARIESTAD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46318</v>
      </c>
      <c r="F91" t="inlineStr">
        <is>
          <t>VÄSTRA GÖTALANDS LÄN</t>
        </is>
      </c>
      <c r="G91" t="inlineStr">
        <is>
          <t>MARIESTAD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28956-2025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45821</v>
      </c>
      <c r="E92" s="1" t="n">
        <v>46318</v>
      </c>
      <c r="F92" t="inlineStr">
        <is>
          <t>VÄSTRA GÖTALANDS LÄN</t>
        </is>
      </c>
      <c r="G92" t="inlineStr">
        <is>
          <t>MARIESTAD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28899-2025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46318</v>
      </c>
      <c r="F93" t="inlineStr">
        <is>
          <t>VÄSTRA GÖTALANDS LÄN</t>
        </is>
      </c>
      <c r="G93" t="inlineStr">
        <is>
          <t>MARIESTAD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46318</v>
      </c>
      <c r="F94" t="inlineStr">
        <is>
          <t>VÄSTRA GÖTALANDS LÄN</t>
        </is>
      </c>
      <c r="G94" t="inlineStr">
        <is>
          <t>MARIESTAD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45210</v>
      </c>
      <c r="E95" s="1" t="n">
        <v>46318</v>
      </c>
      <c r="F95" t="inlineStr">
        <is>
          <t>VÄSTRA GÖTALANDS LÄN</t>
        </is>
      </c>
      <c r="G95" t="inlineStr">
        <is>
          <t>MARIESTAD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46318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46318</v>
      </c>
      <c r="F97" t="inlineStr">
        <is>
          <t>VÄSTRA GÖTALANDS LÄN</t>
        </is>
      </c>
      <c r="G97" t="inlineStr">
        <is>
          <t>MARIESTAD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46318</v>
      </c>
      <c r="F98" t="inlineStr">
        <is>
          <t>VÄSTRA GÖTALANDS LÄN</t>
        </is>
      </c>
      <c r="G98" t="inlineStr">
        <is>
          <t>MARIESTAD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44993</v>
      </c>
      <c r="E99" s="1" t="n">
        <v>46318</v>
      </c>
      <c r="F99" t="inlineStr">
        <is>
          <t>VÄSTRA GÖTALANDS LÄN</t>
        </is>
      </c>
      <c r="G99" t="inlineStr">
        <is>
          <t>MARIESTAD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46318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46318</v>
      </c>
      <c r="F101" t="inlineStr">
        <is>
          <t>VÄSTRA GÖTALANDS LÄN</t>
        </is>
      </c>
      <c r="G101" t="inlineStr">
        <is>
          <t>MARIESTAD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45761</v>
      </c>
      <c r="E102" s="1" t="n">
        <v>46318</v>
      </c>
      <c r="F102" t="inlineStr">
        <is>
          <t>VÄSTRA GÖTALANDS LÄN</t>
        </is>
      </c>
      <c r="G102" t="inlineStr">
        <is>
          <t>MARIESTAD</t>
        </is>
      </c>
      <c r="I102" t="n">
        <v>11.9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46318</v>
      </c>
      <c r="F103" t="inlineStr">
        <is>
          <t>VÄSTRA GÖTALANDS LÄN</t>
        </is>
      </c>
      <c r="G103" t="inlineStr">
        <is>
          <t>MARIESTAD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46318</v>
      </c>
      <c r="F104" t="inlineStr">
        <is>
          <t>VÄSTRA GÖTALANDS LÄN</t>
        </is>
      </c>
      <c r="G104" t="inlineStr">
        <is>
          <t>MARIESTAD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46318</v>
      </c>
      <c r="F105" t="inlineStr">
        <is>
          <t>VÄSTRA GÖTALANDS LÄN</t>
        </is>
      </c>
      <c r="G105" t="inlineStr">
        <is>
          <t>MARIESTAD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8849-2022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46318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46318</v>
      </c>
      <c r="F107" t="inlineStr">
        <is>
          <t>VÄSTRA GÖTALANDS LÄN</t>
        </is>
      </c>
      <c r="G107" t="inlineStr">
        <is>
          <t>MARIESTAD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47009-2024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45583</v>
      </c>
      <c r="E108" s="1" t="n">
        <v>46318</v>
      </c>
      <c r="F108" t="inlineStr">
        <is>
          <t>VÄSTRA GÖTALANDS LÄN</t>
        </is>
      </c>
      <c r="G108" t="inlineStr">
        <is>
          <t>MARIESTAD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46318</v>
      </c>
      <c r="F109" t="inlineStr">
        <is>
          <t>VÄSTRA GÖTALANDS LÄN</t>
        </is>
      </c>
      <c r="G109" t="inlineStr">
        <is>
          <t>MARIESTAD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46318</v>
      </c>
      <c r="F110" t="inlineStr">
        <is>
          <t>VÄSTRA GÖTALANDS LÄN</t>
        </is>
      </c>
      <c r="G110" t="inlineStr">
        <is>
          <t>MARIESTAD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44943</v>
      </c>
      <c r="E111" s="1" t="n">
        <v>46318</v>
      </c>
      <c r="F111" t="inlineStr">
        <is>
          <t>VÄSTRA GÖTALANDS LÄN</t>
        </is>
      </c>
      <c r="G111" t="inlineStr">
        <is>
          <t>MARIESTAD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44981</v>
      </c>
      <c r="E112" s="1" t="n">
        <v>46318</v>
      </c>
      <c r="F112" t="inlineStr">
        <is>
          <t>VÄSTRA GÖTALANDS LÄN</t>
        </is>
      </c>
      <c r="G112" t="inlineStr">
        <is>
          <t>MARIESTAD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46318</v>
      </c>
      <c r="F113" t="inlineStr">
        <is>
          <t>VÄSTRA GÖTALANDS LÄN</t>
        </is>
      </c>
      <c r="G113" t="inlineStr">
        <is>
          <t>MARIESTAD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49163-2023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46318</v>
      </c>
      <c r="F114" t="inlineStr">
        <is>
          <t>VÄSTRA GÖTALANDS LÄN</t>
        </is>
      </c>
      <c r="G114" t="inlineStr">
        <is>
          <t>MARIESTAD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45873</v>
      </c>
      <c r="E115" s="1" t="n">
        <v>46318</v>
      </c>
      <c r="F115" t="inlineStr">
        <is>
          <t>VÄSTRA GÖTALANDS LÄN</t>
        </is>
      </c>
      <c r="G115" t="inlineStr">
        <is>
          <t>MARIESTAD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46318</v>
      </c>
      <c r="F116" t="inlineStr">
        <is>
          <t>VÄSTRA GÖTALANDS LÄN</t>
        </is>
      </c>
      <c r="G116" t="inlineStr">
        <is>
          <t>MARIESTAD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17139-2024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46318</v>
      </c>
      <c r="F117" t="inlineStr">
        <is>
          <t>VÄSTRA GÖTALANDS LÄN</t>
        </is>
      </c>
      <c r="G117" t="inlineStr">
        <is>
          <t>MARIESTAD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17165-2024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45412</v>
      </c>
      <c r="E118" s="1" t="n">
        <v>46318</v>
      </c>
      <c r="F118" t="inlineStr">
        <is>
          <t>VÄSTRA GÖTALANDS LÄN</t>
        </is>
      </c>
      <c r="G118" t="inlineStr">
        <is>
          <t>MARIESTAD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45875</v>
      </c>
      <c r="E119" s="1" t="n">
        <v>46318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46318</v>
      </c>
      <c r="F120" t="inlineStr">
        <is>
          <t>VÄSTRA GÖTALANDS LÄN</t>
        </is>
      </c>
      <c r="G120" t="inlineStr">
        <is>
          <t>MARIESTAD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46318</v>
      </c>
      <c r="F121" t="inlineStr">
        <is>
          <t>VÄSTRA GÖTALANDS LÄN</t>
        </is>
      </c>
      <c r="G121" t="inlineStr">
        <is>
          <t>MARIESTAD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45200</v>
      </c>
      <c r="E122" s="1" t="n">
        <v>46318</v>
      </c>
      <c r="F122" t="inlineStr">
        <is>
          <t>VÄSTRA GÖTALANDS LÄN</t>
        </is>
      </c>
      <c r="G122" t="inlineStr">
        <is>
          <t>MARIESTAD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48269-2024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46318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Kyrkan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46318</v>
      </c>
      <c r="F124" t="inlineStr">
        <is>
          <t>VÄSTRA GÖTALANDS LÄN</t>
        </is>
      </c>
      <c r="G124" t="inlineStr">
        <is>
          <t>MARIESTAD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46318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Kyrkan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46318</v>
      </c>
      <c r="F126" t="inlineStr">
        <is>
          <t>VÄSTRA GÖTALANDS LÄN</t>
        </is>
      </c>
      <c r="G126" t="inlineStr">
        <is>
          <t>MARIESTAD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46318</v>
      </c>
      <c r="F127" t="inlineStr">
        <is>
          <t>VÄSTRA GÖTALANDS LÄN</t>
        </is>
      </c>
      <c r="G127" t="inlineStr">
        <is>
          <t>MARIESTAD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66771-2021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44521</v>
      </c>
      <c r="E128" s="1" t="n">
        <v>46318</v>
      </c>
      <c r="F128" t="inlineStr">
        <is>
          <t>VÄSTRA GÖTALANDS LÄN</t>
        </is>
      </c>
      <c r="G128" t="inlineStr">
        <is>
          <t>MARIESTAD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46318</v>
      </c>
      <c r="F129" t="inlineStr">
        <is>
          <t>VÄSTRA GÖTALANDS LÄN</t>
        </is>
      </c>
      <c r="G129" t="inlineStr">
        <is>
          <t>MARIESTAD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46318</v>
      </c>
      <c r="F130" t="inlineStr">
        <is>
          <t>VÄSTRA GÖTALANDS LÄN</t>
        </is>
      </c>
      <c r="G130" t="inlineStr">
        <is>
          <t>MARIESTAD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45114</v>
      </c>
      <c r="E131" s="1" t="n">
        <v>46318</v>
      </c>
      <c r="F131" t="inlineStr">
        <is>
          <t>VÄSTRA GÖTALANDS LÄN</t>
        </is>
      </c>
      <c r="G131" t="inlineStr">
        <is>
          <t>MARIESTAD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40455-2023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45170</v>
      </c>
      <c r="E132" s="1" t="n">
        <v>46318</v>
      </c>
      <c r="F132" t="inlineStr">
        <is>
          <t>VÄSTRA GÖTALANDS LÄN</t>
        </is>
      </c>
      <c r="G132" t="inlineStr">
        <is>
          <t>MARIESTAD</t>
        </is>
      </c>
      <c r="I132" t="n">
        <v>34.9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65197-2023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45289</v>
      </c>
      <c r="E133" s="1" t="n">
        <v>46318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46318</v>
      </c>
      <c r="F134" t="inlineStr">
        <is>
          <t>VÄSTRA GÖTALANDS LÄN</t>
        </is>
      </c>
      <c r="G134" t="inlineStr">
        <is>
          <t>MARIESTAD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46318</v>
      </c>
      <c r="F135" t="inlineStr">
        <is>
          <t>VÄSTRA GÖTALANDS LÄN</t>
        </is>
      </c>
      <c r="G135" t="inlineStr">
        <is>
          <t>MARIESTAD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39766-2023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45167</v>
      </c>
      <c r="E136" s="1" t="n">
        <v>46318</v>
      </c>
      <c r="F136" t="inlineStr">
        <is>
          <t>VÄSTRA GÖTALANDS LÄN</t>
        </is>
      </c>
      <c r="G136" t="inlineStr">
        <is>
          <t>MARIESTAD</t>
        </is>
      </c>
      <c r="I136" t="n">
        <v>26.5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46318</v>
      </c>
      <c r="F137" t="inlineStr">
        <is>
          <t>VÄSTRA GÖTALANDS LÄN</t>
        </is>
      </c>
      <c r="G137" t="inlineStr">
        <is>
          <t>MARIESTAD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46318</v>
      </c>
      <c r="F138" t="inlineStr">
        <is>
          <t>VÄSTRA GÖTALANDS LÄN</t>
        </is>
      </c>
      <c r="G138" t="inlineStr">
        <is>
          <t>MARIESTAD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46318</v>
      </c>
      <c r="F139" t="inlineStr">
        <is>
          <t>VÄSTRA GÖTALANDS LÄN</t>
        </is>
      </c>
      <c r="G139" t="inlineStr">
        <is>
          <t>MARIESTAD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46318</v>
      </c>
      <c r="F140" t="inlineStr">
        <is>
          <t>VÄSTRA GÖTALANDS LÄN</t>
        </is>
      </c>
      <c r="G140" t="inlineStr">
        <is>
          <t>MARIESTAD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46318</v>
      </c>
      <c r="F141" t="inlineStr">
        <is>
          <t>VÄSTRA GÖTALANDS LÄN</t>
        </is>
      </c>
      <c r="G141" t="inlineStr">
        <is>
          <t>MARIESTAD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45875</v>
      </c>
      <c r="E142" s="1" t="n">
        <v>46318</v>
      </c>
      <c r="F142" t="inlineStr">
        <is>
          <t>VÄSTRA GÖTALANDS LÄN</t>
        </is>
      </c>
      <c r="G142" t="inlineStr">
        <is>
          <t>MARIESTAD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46318</v>
      </c>
      <c r="F143" t="inlineStr">
        <is>
          <t>VÄSTRA GÖTALANDS LÄN</t>
        </is>
      </c>
      <c r="G143" t="inlineStr">
        <is>
          <t>MARIESTAD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46318</v>
      </c>
      <c r="F144" t="inlineStr">
        <is>
          <t>VÄSTRA GÖTALANDS LÄN</t>
        </is>
      </c>
      <c r="G144" t="inlineStr">
        <is>
          <t>MARIESTAD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46318</v>
      </c>
      <c r="F145" t="inlineStr">
        <is>
          <t>VÄSTRA GÖTALANDS LÄN</t>
        </is>
      </c>
      <c r="G145" t="inlineStr">
        <is>
          <t>MARIESTAD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45560</v>
      </c>
      <c r="E146" s="1" t="n">
        <v>46318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46318</v>
      </c>
      <c r="F147" t="inlineStr">
        <is>
          <t>VÄSTRA GÖTALANDS LÄN</t>
        </is>
      </c>
      <c r="G147" t="inlineStr">
        <is>
          <t>MARIESTAD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46318</v>
      </c>
      <c r="F148" t="inlineStr">
        <is>
          <t>VÄSTRA GÖTALANDS LÄN</t>
        </is>
      </c>
      <c r="G148" t="inlineStr">
        <is>
          <t>MARIESTAD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45728</v>
      </c>
      <c r="E149" s="1" t="n">
        <v>46318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74081-2021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44553</v>
      </c>
      <c r="E150" s="1" t="n">
        <v>46318</v>
      </c>
      <c r="F150" t="inlineStr">
        <is>
          <t>VÄSTRA GÖTALANDS LÄN</t>
        </is>
      </c>
      <c r="G150" t="inlineStr">
        <is>
          <t>MARIESTAD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46318</v>
      </c>
      <c r="F151" t="inlineStr">
        <is>
          <t>VÄSTRA GÖTALANDS LÄN</t>
        </is>
      </c>
      <c r="G151" t="inlineStr">
        <is>
          <t>MARIESTAD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46318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Kyrkan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54828-2025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46318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46318</v>
      </c>
      <c r="F154" t="inlineStr">
        <is>
          <t>VÄSTRA GÖTALANDS LÄN</t>
        </is>
      </c>
      <c r="G154" t="inlineStr">
        <is>
          <t>MARIESTAD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44965</v>
      </c>
      <c r="E155" s="1" t="n">
        <v>46318</v>
      </c>
      <c r="F155" t="inlineStr">
        <is>
          <t>VÄSTRA GÖTALANDS LÄN</t>
        </is>
      </c>
      <c r="G155" t="inlineStr">
        <is>
          <t>MARIESTAD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46318</v>
      </c>
      <c r="F156" t="inlineStr">
        <is>
          <t>VÄSTRA GÖTALANDS LÄN</t>
        </is>
      </c>
      <c r="G156" t="inlineStr">
        <is>
          <t>MARIESTAD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46318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Kyrkan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46318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46318</v>
      </c>
      <c r="F159" t="inlineStr">
        <is>
          <t>VÄSTRA GÖTALANDS LÄN</t>
        </is>
      </c>
      <c r="G159" t="inlineStr">
        <is>
          <t>MARIESTAD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46318</v>
      </c>
      <c r="F160" t="inlineStr">
        <is>
          <t>VÄSTRA GÖTALANDS LÄN</t>
        </is>
      </c>
      <c r="G160" t="inlineStr">
        <is>
          <t>MARIESTAD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44746</v>
      </c>
      <c r="E161" s="1" t="n">
        <v>46318</v>
      </c>
      <c r="F161" t="inlineStr">
        <is>
          <t>VÄSTRA GÖTALANDS LÄN</t>
        </is>
      </c>
      <c r="G161" t="inlineStr">
        <is>
          <t>MARIESTAD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44616</v>
      </c>
      <c r="E162" s="1" t="n">
        <v>46318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Kyrkan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46318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Kyrkan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45070</v>
      </c>
      <c r="E164" s="1" t="n">
        <v>46318</v>
      </c>
      <c r="F164" t="inlineStr">
        <is>
          <t>VÄSTRA GÖTALANDS LÄN</t>
        </is>
      </c>
      <c r="G164" t="inlineStr">
        <is>
          <t>MARIESTAD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45751</v>
      </c>
      <c r="E165" s="1" t="n">
        <v>46318</v>
      </c>
      <c r="F165" t="inlineStr">
        <is>
          <t>VÄSTRA GÖTALANDS LÄN</t>
        </is>
      </c>
      <c r="G165" t="inlineStr">
        <is>
          <t>MARIESTAD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12361-2023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44999</v>
      </c>
      <c r="E166" s="1" t="n">
        <v>46318</v>
      </c>
      <c r="F166" t="inlineStr">
        <is>
          <t>VÄSTRA GÖTALANDS LÄN</t>
        </is>
      </c>
      <c r="G166" t="inlineStr">
        <is>
          <t>MARIESTAD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45200</v>
      </c>
      <c r="E167" s="1" t="n">
        <v>46318</v>
      </c>
      <c r="F167" t="inlineStr">
        <is>
          <t>VÄSTRA GÖTALANDS LÄN</t>
        </is>
      </c>
      <c r="G167" t="inlineStr">
        <is>
          <t>MARIESTAD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45528</v>
      </c>
      <c r="E168" s="1" t="n">
        <v>46318</v>
      </c>
      <c r="F168" t="inlineStr">
        <is>
          <t>VÄSTRA GÖTALANDS LÄN</t>
        </is>
      </c>
      <c r="G168" t="inlineStr">
        <is>
          <t>MARIESTAD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45210</v>
      </c>
      <c r="E169" s="1" t="n">
        <v>46318</v>
      </c>
      <c r="F169" t="inlineStr">
        <is>
          <t>VÄSTRA GÖTALANDS LÄN</t>
        </is>
      </c>
      <c r="G169" t="inlineStr">
        <is>
          <t>MARIESTAD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46318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22878-2026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46318</v>
      </c>
      <c r="F171" t="inlineStr">
        <is>
          <t>VÄSTRA GÖTALANDS LÄN</t>
        </is>
      </c>
      <c r="G171" t="inlineStr">
        <is>
          <t>MARIESTAD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21361-2026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46142</v>
      </c>
      <c r="E172" s="1" t="n">
        <v>46318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46003</v>
      </c>
      <c r="E173" s="1" t="n">
        <v>46318</v>
      </c>
      <c r="F173" t="inlineStr">
        <is>
          <t>VÄSTRA GÖTALANDS LÄN</t>
        </is>
      </c>
      <c r="G173" t="inlineStr">
        <is>
          <t>MARIESTAD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44848</v>
      </c>
      <c r="E174" s="1" t="n">
        <v>46318</v>
      </c>
      <c r="F174" t="inlineStr">
        <is>
          <t>VÄSTRA GÖTALANDS LÄN</t>
        </is>
      </c>
      <c r="G174" t="inlineStr">
        <is>
          <t>MARIESTAD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60812-2023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45260</v>
      </c>
      <c r="E175" s="1" t="n">
        <v>46318</v>
      </c>
      <c r="F175" t="inlineStr">
        <is>
          <t>VÄSTRA GÖTALANDS LÄN</t>
        </is>
      </c>
      <c r="G175" t="inlineStr">
        <is>
          <t>MARIESTAD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14291-2024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45393</v>
      </c>
      <c r="E176" s="1" t="n">
        <v>46318</v>
      </c>
      <c r="F176" t="inlineStr">
        <is>
          <t>VÄSTRA GÖTALANDS LÄN</t>
        </is>
      </c>
      <c r="G176" t="inlineStr">
        <is>
          <t>MARIESTAD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46318</v>
      </c>
      <c r="F177" t="inlineStr">
        <is>
          <t>VÄSTRA GÖTALANDS LÄN</t>
        </is>
      </c>
      <c r="G177" t="inlineStr">
        <is>
          <t>MARIESTAD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46318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46318</v>
      </c>
      <c r="F179" t="inlineStr">
        <is>
          <t>VÄSTRA GÖTALANDS LÄN</t>
        </is>
      </c>
      <c r="G179" t="inlineStr">
        <is>
          <t>MARIESTAD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46318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46318</v>
      </c>
      <c r="F181" t="inlineStr">
        <is>
          <t>VÄSTRA GÖTALANDS LÄN</t>
        </is>
      </c>
      <c r="G181" t="inlineStr">
        <is>
          <t>MARIESTAD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70295-2021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46318</v>
      </c>
      <c r="F182" t="inlineStr">
        <is>
          <t>VÄSTRA GÖTALANDS LÄN</t>
        </is>
      </c>
      <c r="G182" t="inlineStr">
        <is>
          <t>MARIESTAD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44693</v>
      </c>
      <c r="E183" s="1" t="n">
        <v>46318</v>
      </c>
      <c r="F183" t="inlineStr">
        <is>
          <t>VÄSTRA GÖTALANDS LÄN</t>
        </is>
      </c>
      <c r="G183" t="inlineStr">
        <is>
          <t>MARIESTAD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46318</v>
      </c>
      <c r="F184" t="inlineStr">
        <is>
          <t>VÄSTRA GÖTALANDS LÄN</t>
        </is>
      </c>
      <c r="G184" t="inlineStr">
        <is>
          <t>MARIESTAD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45982</v>
      </c>
      <c r="E185" s="1" t="n">
        <v>46318</v>
      </c>
      <c r="F185" t="inlineStr">
        <is>
          <t>VÄSTRA GÖTALANDS LÄN</t>
        </is>
      </c>
      <c r="G185" t="inlineStr">
        <is>
          <t>MARIESTAD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46318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46318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46318</v>
      </c>
      <c r="F188" t="inlineStr">
        <is>
          <t>VÄSTRA GÖTALANDS LÄN</t>
        </is>
      </c>
      <c r="G188" t="inlineStr">
        <is>
          <t>MARIESTAD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46318</v>
      </c>
      <c r="F189" t="inlineStr">
        <is>
          <t>VÄSTRA GÖTALANDS LÄN</t>
        </is>
      </c>
      <c r="G189" t="inlineStr">
        <is>
          <t>MARIESTAD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45674</v>
      </c>
      <c r="E190" s="1" t="n">
        <v>46318</v>
      </c>
      <c r="F190" t="inlineStr">
        <is>
          <t>VÄSTRA GÖTALANDS LÄN</t>
        </is>
      </c>
      <c r="G190" t="inlineStr">
        <is>
          <t>MARIESTAD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46318</v>
      </c>
      <c r="F191" t="inlineStr">
        <is>
          <t>VÄSTRA GÖTALANDS LÄN</t>
        </is>
      </c>
      <c r="G191" t="inlineStr">
        <is>
          <t>MARIESTAD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61716-2022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46318</v>
      </c>
      <c r="F192" t="inlineStr">
        <is>
          <t>VÄSTRA GÖTALANDS LÄN</t>
        </is>
      </c>
      <c r="G192" t="inlineStr">
        <is>
          <t>MARIESTAD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44993</v>
      </c>
      <c r="E193" s="1" t="n">
        <v>46318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46318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46318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46318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24735-2026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46318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45240</v>
      </c>
      <c r="E198" s="1" t="n">
        <v>46318</v>
      </c>
      <c r="F198" t="inlineStr">
        <is>
          <t>VÄSTRA GÖTALANDS LÄN</t>
        </is>
      </c>
      <c r="G198" t="inlineStr">
        <is>
          <t>MARIESTAD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44797</v>
      </c>
      <c r="E199" s="1" t="n">
        <v>46318</v>
      </c>
      <c r="F199" t="inlineStr">
        <is>
          <t>VÄSTRA GÖTALANDS LÄN</t>
        </is>
      </c>
      <c r="G199" t="inlineStr">
        <is>
          <t>MARIESTAD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46318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46042</v>
      </c>
      <c r="E201" s="1" t="n">
        <v>46318</v>
      </c>
      <c r="F201" t="inlineStr">
        <is>
          <t>VÄSTRA GÖTALANDS LÄN</t>
        </is>
      </c>
      <c r="G201" t="inlineStr">
        <is>
          <t>MARIESTAD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61603-2023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45265</v>
      </c>
      <c r="E202" s="1" t="n">
        <v>46318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46318</v>
      </c>
      <c r="F203" t="inlineStr">
        <is>
          <t>VÄSTRA GÖTALANDS LÄN</t>
        </is>
      </c>
      <c r="G203" t="inlineStr">
        <is>
          <t>MARIESTAD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46318</v>
      </c>
      <c r="F204" t="inlineStr">
        <is>
          <t>VÄSTRA GÖTALANDS LÄN</t>
        </is>
      </c>
      <c r="G204" t="inlineStr">
        <is>
          <t>MARIESTAD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46318</v>
      </c>
      <c r="F205" t="inlineStr">
        <is>
          <t>VÄSTRA GÖTALANDS LÄN</t>
        </is>
      </c>
      <c r="G205" t="inlineStr">
        <is>
          <t>MARIESTAD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46318</v>
      </c>
      <c r="F206" t="inlineStr">
        <is>
          <t>VÄSTRA GÖTALANDS LÄN</t>
        </is>
      </c>
      <c r="G206" t="inlineStr">
        <is>
          <t>MARIESTAD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46318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Kyrkan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46318</v>
      </c>
      <c r="F208" t="inlineStr">
        <is>
          <t>VÄSTRA GÖTALANDS LÄN</t>
        </is>
      </c>
      <c r="G208" t="inlineStr">
        <is>
          <t>MARIESTAD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46318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Sveaskog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45684</v>
      </c>
      <c r="E210" s="1" t="n">
        <v>46318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Kyrkan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46318</v>
      </c>
      <c r="F211" t="inlineStr">
        <is>
          <t>VÄSTRA GÖTALANDS LÄN</t>
        </is>
      </c>
      <c r="G211" t="inlineStr">
        <is>
          <t>MARIESTAD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45268</v>
      </c>
      <c r="E212" s="1" t="n">
        <v>46318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46057</v>
      </c>
      <c r="E213" s="1" t="n">
        <v>46318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Kyrkan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45373</v>
      </c>
      <c r="E214" s="1" t="n">
        <v>46318</v>
      </c>
      <c r="F214" t="inlineStr">
        <is>
          <t>VÄSTRA GÖTALANDS LÄN</t>
        </is>
      </c>
      <c r="G214" t="inlineStr">
        <is>
          <t>MARIESTAD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46061</v>
      </c>
      <c r="E215" s="1" t="n">
        <v>46318</v>
      </c>
      <c r="F215" t="inlineStr">
        <is>
          <t>VÄSTRA GÖTALANDS LÄN</t>
        </is>
      </c>
      <c r="G215" t="inlineStr">
        <is>
          <t>MARIESTAD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46318</v>
      </c>
      <c r="F216" t="inlineStr">
        <is>
          <t>VÄSTRA GÖTALANDS LÄN</t>
        </is>
      </c>
      <c r="G216" t="inlineStr">
        <is>
          <t>MARIESTAD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61601-2023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45265</v>
      </c>
      <c r="E217" s="1" t="n">
        <v>46318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26912-2026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46185</v>
      </c>
      <c r="E218" s="1" t="n">
        <v>46318</v>
      </c>
      <c r="F218" t="inlineStr">
        <is>
          <t>VÄSTRA GÖTALANDS LÄN</t>
        </is>
      </c>
      <c r="G218" t="inlineStr">
        <is>
          <t>MARIESTAD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9479-2026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46071</v>
      </c>
      <c r="E219" s="1" t="n">
        <v>46318</v>
      </c>
      <c r="F219" t="inlineStr">
        <is>
          <t>VÄSTRA GÖTALANDS LÄN</t>
        </is>
      </c>
      <c r="G219" t="inlineStr">
        <is>
          <t>MARIESTAD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46318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9558-2026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46071</v>
      </c>
      <c r="E221" s="1" t="n">
        <v>46318</v>
      </c>
      <c r="F221" t="inlineStr">
        <is>
          <t>VÄSTRA GÖTALANDS LÄN</t>
        </is>
      </c>
      <c r="G221" t="inlineStr">
        <is>
          <t>MARIESTAD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46318</v>
      </c>
      <c r="F222" t="inlineStr">
        <is>
          <t>VÄSTRA GÖTALANDS LÄN</t>
        </is>
      </c>
      <c r="G222" t="inlineStr">
        <is>
          <t>MARIESTAD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45516</v>
      </c>
      <c r="E223" s="1" t="n">
        <v>46318</v>
      </c>
      <c r="F223" t="inlineStr">
        <is>
          <t>VÄSTRA GÖTALANDS LÄN</t>
        </is>
      </c>
      <c r="G223" t="inlineStr">
        <is>
          <t>MARIESTAD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46318</v>
      </c>
      <c r="F224" t="inlineStr">
        <is>
          <t>VÄSTRA GÖTALANDS LÄN</t>
        </is>
      </c>
      <c r="G224" t="inlineStr">
        <is>
          <t>MARIESTAD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45545</v>
      </c>
      <c r="E225" s="1" t="n">
        <v>46318</v>
      </c>
      <c r="F225" t="inlineStr">
        <is>
          <t>VÄSTRA GÖTALANDS LÄN</t>
        </is>
      </c>
      <c r="G225" t="inlineStr">
        <is>
          <t>MARIESTAD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66772-2021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44521</v>
      </c>
      <c r="E226" s="1" t="n">
        <v>46318</v>
      </c>
      <c r="F226" t="inlineStr">
        <is>
          <t>VÄSTRA GÖTALANDS LÄN</t>
        </is>
      </c>
      <c r="G226" t="inlineStr">
        <is>
          <t>MARIESTAD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46318</v>
      </c>
      <c r="F227" t="inlineStr">
        <is>
          <t>VÄSTRA GÖTALANDS LÄN</t>
        </is>
      </c>
      <c r="G227" t="inlineStr">
        <is>
          <t>MARIESTAD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45616</v>
      </c>
      <c r="E228" s="1" t="n">
        <v>46318</v>
      </c>
      <c r="F228" t="inlineStr">
        <is>
          <t>VÄSTRA GÖTALANDS LÄN</t>
        </is>
      </c>
      <c r="G228" t="inlineStr">
        <is>
          <t>MARIESTAD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10559-2026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46318</v>
      </c>
      <c r="F229" t="inlineStr">
        <is>
          <t>VÄSTRA GÖTALANDS LÄN</t>
        </is>
      </c>
      <c r="G229" t="inlineStr">
        <is>
          <t>MARIESTAD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49385-2023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45211</v>
      </c>
      <c r="E230" s="1" t="n">
        <v>46318</v>
      </c>
      <c r="F230" t="inlineStr">
        <is>
          <t>VÄSTRA GÖTALANDS LÄN</t>
        </is>
      </c>
      <c r="G230" t="inlineStr">
        <is>
          <t>MARIESTAD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46318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Sveaskog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31142-2024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45502</v>
      </c>
      <c r="E232" s="1" t="n">
        <v>46318</v>
      </c>
      <c r="F232" t="inlineStr">
        <is>
          <t>VÄSTRA GÖTALANDS LÄN</t>
        </is>
      </c>
      <c r="G232" t="inlineStr">
        <is>
          <t>MARIESTAD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46318</v>
      </c>
      <c r="F233" t="inlineStr">
        <is>
          <t>VÄSTRA GÖTALANDS LÄN</t>
        </is>
      </c>
      <c r="G233" t="inlineStr">
        <is>
          <t>MARIESTAD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45790</v>
      </c>
      <c r="E234" s="1" t="n">
        <v>46318</v>
      </c>
      <c r="F234" t="inlineStr">
        <is>
          <t>VÄSTRA GÖTALANDS LÄN</t>
        </is>
      </c>
      <c r="G234" t="inlineStr">
        <is>
          <t>MARIESTAD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46318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46318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45331</v>
      </c>
      <c r="E237" s="1" t="n">
        <v>46318</v>
      </c>
      <c r="F237" t="inlineStr">
        <is>
          <t>VÄSTRA GÖTALANDS LÄN</t>
        </is>
      </c>
      <c r="G237" t="inlineStr">
        <is>
          <t>MARIESTAD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28050-2022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46318</v>
      </c>
      <c r="F238" t="inlineStr">
        <is>
          <t>VÄSTRA GÖTALANDS LÄN</t>
        </is>
      </c>
      <c r="G238" t="inlineStr">
        <is>
          <t>MARIESTAD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46318</v>
      </c>
      <c r="F239" t="inlineStr">
        <is>
          <t>VÄSTRA GÖTALANDS LÄN</t>
        </is>
      </c>
      <c r="G239" t="inlineStr">
        <is>
          <t>MARIESTAD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70259-2021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46318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46318</v>
      </c>
      <c r="F241" t="inlineStr">
        <is>
          <t>VÄSTRA GÖTALANDS LÄN</t>
        </is>
      </c>
      <c r="G241" t="inlineStr">
        <is>
          <t>MARIESTAD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46318</v>
      </c>
      <c r="F242" t="inlineStr">
        <is>
          <t>VÄSTRA GÖTALANDS LÄN</t>
        </is>
      </c>
      <c r="G242" t="inlineStr">
        <is>
          <t>MARIESTAD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52869-2024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45610</v>
      </c>
      <c r="E243" s="1" t="n">
        <v>46318</v>
      </c>
      <c r="F243" t="inlineStr">
        <is>
          <t>VÄSTRA GÖTALANDS LÄN</t>
        </is>
      </c>
      <c r="G243" t="inlineStr">
        <is>
          <t>MARIESTAD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46318</v>
      </c>
      <c r="F244" t="inlineStr">
        <is>
          <t>VÄSTRA GÖTALANDS LÄN</t>
        </is>
      </c>
      <c r="G244" t="inlineStr">
        <is>
          <t>MARIESTAD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46318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46318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46318</v>
      </c>
      <c r="F247" t="inlineStr">
        <is>
          <t>VÄSTRA GÖTALANDS LÄN</t>
        </is>
      </c>
      <c r="G247" t="inlineStr">
        <is>
          <t>MARIESTAD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46318</v>
      </c>
      <c r="F248" t="inlineStr">
        <is>
          <t>VÄSTRA GÖTALANDS LÄN</t>
        </is>
      </c>
      <c r="G248" t="inlineStr">
        <is>
          <t>MARIESTAD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44901</v>
      </c>
      <c r="E249" s="1" t="n">
        <v>46318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Kyrkan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46205</v>
      </c>
      <c r="E250" s="1" t="n">
        <v>46318</v>
      </c>
      <c r="F250" t="inlineStr">
        <is>
          <t>VÄSTRA GÖTALANDS LÄN</t>
        </is>
      </c>
      <c r="G250" t="inlineStr">
        <is>
          <t>MARIESTAD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46318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46199</v>
      </c>
      <c r="E252" s="1" t="n">
        <v>46318</v>
      </c>
      <c r="F252" t="inlineStr">
        <is>
          <t>VÄSTRA GÖTALANDS LÄN</t>
        </is>
      </c>
      <c r="G252" t="inlineStr">
        <is>
          <t>MARIESTAD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46318</v>
      </c>
      <c r="F253" t="inlineStr">
        <is>
          <t>VÄSTRA GÖTALANDS LÄN</t>
        </is>
      </c>
      <c r="G253" t="inlineStr">
        <is>
          <t>MARIESTAD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46199</v>
      </c>
      <c r="E254" s="1" t="n">
        <v>46318</v>
      </c>
      <c r="F254" t="inlineStr">
        <is>
          <t>VÄSTRA GÖTALANDS LÄN</t>
        </is>
      </c>
      <c r="G254" t="inlineStr">
        <is>
          <t>MARIESTAD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30192-2026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46318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46318</v>
      </c>
      <c r="F256" t="inlineStr">
        <is>
          <t>VÄSTRA GÖTALANDS LÄN</t>
        </is>
      </c>
      <c r="G256" t="inlineStr">
        <is>
          <t>MARIESTAD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44883</v>
      </c>
      <c r="E257" s="1" t="n">
        <v>46318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45744</v>
      </c>
      <c r="E258" s="1" t="n">
        <v>46318</v>
      </c>
      <c r="F258" t="inlineStr">
        <is>
          <t>VÄSTRA GÖTALANDS LÄN</t>
        </is>
      </c>
      <c r="G258" t="inlineStr">
        <is>
          <t>MARIESTAD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45199</v>
      </c>
      <c r="E259" s="1" t="n">
        <v>46318</v>
      </c>
      <c r="F259" t="inlineStr">
        <is>
          <t>VÄSTRA GÖTALANDS LÄN</t>
        </is>
      </c>
      <c r="G259" t="inlineStr">
        <is>
          <t>MARIESTAD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44958</v>
      </c>
      <c r="E260" s="1" t="n">
        <v>46318</v>
      </c>
      <c r="F260" t="inlineStr">
        <is>
          <t>VÄSTRA GÖTALANDS LÄN</t>
        </is>
      </c>
      <c r="G260" t="inlineStr">
        <is>
          <t>MARIESTAD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45548</v>
      </c>
      <c r="E261" s="1" t="n">
        <v>46318</v>
      </c>
      <c r="F261" t="inlineStr">
        <is>
          <t>VÄSTRA GÖTALANDS LÄN</t>
        </is>
      </c>
      <c r="G261" t="inlineStr">
        <is>
          <t>MARIESTAD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44964</v>
      </c>
      <c r="E262" s="1" t="n">
        <v>46318</v>
      </c>
      <c r="F262" t="inlineStr">
        <is>
          <t>VÄSTRA GÖTALANDS LÄN</t>
        </is>
      </c>
      <c r="G262" t="inlineStr">
        <is>
          <t>MARIESTAD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46945-2023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45201</v>
      </c>
      <c r="E263" s="1" t="n">
        <v>46318</v>
      </c>
      <c r="F263" t="inlineStr">
        <is>
          <t>VÄSTRA GÖTALANDS LÄN</t>
        </is>
      </c>
      <c r="G263" t="inlineStr">
        <is>
          <t>MARIESTAD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31384-2022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44774</v>
      </c>
      <c r="E264" s="1" t="n">
        <v>46318</v>
      </c>
      <c r="F264" t="inlineStr">
        <is>
          <t>VÄSTRA GÖTALANDS LÄN</t>
        </is>
      </c>
      <c r="G264" t="inlineStr">
        <is>
          <t>MARIESTAD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46318</v>
      </c>
      <c r="F265" t="inlineStr">
        <is>
          <t>VÄSTRA GÖTALANDS LÄN</t>
        </is>
      </c>
      <c r="G265" t="inlineStr">
        <is>
          <t>MARIESTAD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46318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11814-2023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46318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44645</v>
      </c>
      <c r="E268" s="1" t="n">
        <v>46318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43466-2022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44836</v>
      </c>
      <c r="E269" s="1" t="n">
        <v>46318</v>
      </c>
      <c r="F269" t="inlineStr">
        <is>
          <t>VÄSTRA GÖTALANDS LÄN</t>
        </is>
      </c>
      <c r="G269" t="inlineStr">
        <is>
          <t>MARIESTAD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45722</v>
      </c>
      <c r="E270" s="1" t="n">
        <v>46318</v>
      </c>
      <c r="F270" t="inlineStr">
        <is>
          <t>VÄSTRA GÖTALANDS LÄN</t>
        </is>
      </c>
      <c r="G270" t="inlineStr">
        <is>
          <t>MARIESTAD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46318</v>
      </c>
      <c r="F271" t="inlineStr">
        <is>
          <t>VÄSTRA GÖTALANDS LÄN</t>
        </is>
      </c>
      <c r="G271" t="inlineStr">
        <is>
          <t>MARIESTAD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44843</v>
      </c>
      <c r="E272" s="1" t="n">
        <v>46318</v>
      </c>
      <c r="F272" t="inlineStr">
        <is>
          <t>VÄSTRA GÖTALANDS LÄN</t>
        </is>
      </c>
      <c r="G272" t="inlineStr">
        <is>
          <t>MARIESTAD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49932-2022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46318</v>
      </c>
      <c r="F273" t="inlineStr">
        <is>
          <t>VÄSTRA GÖTALANDS LÄN</t>
        </is>
      </c>
      <c r="G273" t="inlineStr">
        <is>
          <t>MARIESTAD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39286-2026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46288</v>
      </c>
      <c r="E274" s="1" t="n">
        <v>46318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46318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46289</v>
      </c>
      <c r="E276" s="1" t="n">
        <v>46318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Kyrkan</t>
        </is>
      </c>
      <c r="I276" t="n">
        <v>8.9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46318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46288</v>
      </c>
      <c r="E278" s="1" t="n">
        <v>46318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46288</v>
      </c>
      <c r="E279" s="1" t="n">
        <v>46318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46318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46288</v>
      </c>
      <c r="E281" s="1" t="n">
        <v>46318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12532-2022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44638</v>
      </c>
      <c r="E282" s="1" t="n">
        <v>46318</v>
      </c>
      <c r="F282" t="inlineStr">
        <is>
          <t>VÄSTRA GÖTALANDS LÄN</t>
        </is>
      </c>
      <c r="G282" t="inlineStr">
        <is>
          <t>MARIESTAD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46318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44936</v>
      </c>
      <c r="E284" s="1" t="n">
        <v>46318</v>
      </c>
      <c r="F284" t="inlineStr">
        <is>
          <t>VÄSTRA GÖTALANDS LÄN</t>
        </is>
      </c>
      <c r="G284" t="inlineStr">
        <is>
          <t>MARIESTAD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44812</v>
      </c>
      <c r="E285" s="1" t="n">
        <v>46318</v>
      </c>
      <c r="F285" t="inlineStr">
        <is>
          <t>VÄSTRA GÖTALANDS LÄN</t>
        </is>
      </c>
      <c r="G285" t="inlineStr">
        <is>
          <t>MARIESTAD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46290</v>
      </c>
      <c r="E286" s="1" t="n">
        <v>46318</v>
      </c>
      <c r="F286" t="inlineStr">
        <is>
          <t>VÄSTRA GÖTALANDS LÄN</t>
        </is>
      </c>
      <c r="G286" t="inlineStr">
        <is>
          <t>MARIESTAD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46318</v>
      </c>
      <c r="F287" t="inlineStr">
        <is>
          <t>VÄSTRA GÖTALANDS LÄN</t>
        </is>
      </c>
      <c r="G287" t="inlineStr">
        <is>
          <t>MARIESTAD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47777-2023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45203</v>
      </c>
      <c r="E288" s="1" t="n">
        <v>46318</v>
      </c>
      <c r="F288" t="inlineStr">
        <is>
          <t>VÄSTRA GÖTALANDS LÄN</t>
        </is>
      </c>
      <c r="G288" t="inlineStr">
        <is>
          <t>MARIESTAD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44986</v>
      </c>
      <c r="E289" s="1" t="n">
        <v>46318</v>
      </c>
      <c r="F289" t="inlineStr">
        <is>
          <t>VÄSTRA GÖTALANDS LÄN</t>
        </is>
      </c>
      <c r="G289" t="inlineStr">
        <is>
          <t>MARIESTAD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46293</v>
      </c>
      <c r="E290" s="1" t="n">
        <v>46318</v>
      </c>
      <c r="F290" t="inlineStr">
        <is>
          <t>VÄSTRA GÖTALANDS LÄN</t>
        </is>
      </c>
      <c r="G290" t="inlineStr">
        <is>
          <t>MARIESTAD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44620</v>
      </c>
      <c r="E291" s="1" t="n">
        <v>46318</v>
      </c>
      <c r="F291" t="inlineStr">
        <is>
          <t>VÄSTRA GÖTALANDS LÄN</t>
        </is>
      </c>
      <c r="G291" t="inlineStr">
        <is>
          <t>MARIESTAD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49389-2023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45211</v>
      </c>
      <c r="E292" s="1" t="n">
        <v>46318</v>
      </c>
      <c r="F292" t="inlineStr">
        <is>
          <t>VÄSTRA GÖTALANDS LÄN</t>
        </is>
      </c>
      <c r="G292" t="inlineStr">
        <is>
          <t>MARIESTAD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46318</v>
      </c>
      <c r="F293" t="inlineStr">
        <is>
          <t>VÄSTRA GÖTALANDS LÄN</t>
        </is>
      </c>
      <c r="G293" t="inlineStr">
        <is>
          <t>MARIESTAD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46318</v>
      </c>
      <c r="F294" t="inlineStr">
        <is>
          <t>VÄSTRA GÖTALANDS LÄN</t>
        </is>
      </c>
      <c r="G294" t="inlineStr">
        <is>
          <t>MARIESTAD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46318</v>
      </c>
      <c r="F295" t="inlineStr">
        <is>
          <t>VÄSTRA GÖTALANDS LÄN</t>
        </is>
      </c>
      <c r="G295" t="inlineStr">
        <is>
          <t>MARIESTAD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46318</v>
      </c>
      <c r="F296" t="inlineStr">
        <is>
          <t>VÄSTRA GÖTALANDS LÄN</t>
        </is>
      </c>
      <c r="G296" t="inlineStr">
        <is>
          <t>MARIESTAD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46318</v>
      </c>
      <c r="F297" t="inlineStr">
        <is>
          <t>VÄSTRA GÖTALANDS LÄN</t>
        </is>
      </c>
      <c r="G297" t="inlineStr">
        <is>
          <t>MARIESTAD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45070</v>
      </c>
      <c r="E298" s="1" t="n">
        <v>46318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33571-2023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45131</v>
      </c>
      <c r="E299" s="1" t="n">
        <v>46318</v>
      </c>
      <c r="F299" t="inlineStr">
        <is>
          <t>VÄSTRA GÖTALANDS LÄN</t>
        </is>
      </c>
      <c r="G299" t="inlineStr">
        <is>
          <t>MARIESTAD</t>
        </is>
      </c>
      <c r="I299" t="n">
        <v>16.1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45664</v>
      </c>
      <c r="E300" s="1" t="n">
        <v>46318</v>
      </c>
      <c r="F300" t="inlineStr">
        <is>
          <t>VÄSTRA GÖTALANDS LÄN</t>
        </is>
      </c>
      <c r="G300" t="inlineStr">
        <is>
          <t>MARIESTAD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46300</v>
      </c>
      <c r="E301" s="1" t="n">
        <v>46318</v>
      </c>
      <c r="F301" t="inlineStr">
        <is>
          <t>VÄSTRA GÖTALANDS LÄN</t>
        </is>
      </c>
      <c r="G301" t="inlineStr">
        <is>
          <t>MARIESTAD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46318</v>
      </c>
      <c r="F302" t="inlineStr">
        <is>
          <t>VÄSTRA GÖTALANDS LÄN</t>
        </is>
      </c>
      <c r="G302" t="inlineStr">
        <is>
          <t>MARIESTAD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45033</v>
      </c>
      <c r="E303" s="1" t="n">
        <v>46318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45558</v>
      </c>
      <c r="E304" s="1" t="n">
        <v>46318</v>
      </c>
      <c r="F304" t="inlineStr">
        <is>
          <t>VÄSTRA GÖTALANDS LÄN</t>
        </is>
      </c>
      <c r="G304" t="inlineStr">
        <is>
          <t>MARIESTAD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49188-2023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45210</v>
      </c>
      <c r="E305" s="1" t="n">
        <v>46318</v>
      </c>
      <c r="F305" t="inlineStr">
        <is>
          <t>VÄSTRA GÖTALANDS LÄN</t>
        </is>
      </c>
      <c r="G305" t="inlineStr">
        <is>
          <t>MARIESTAD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49193-2023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46318</v>
      </c>
      <c r="F306" t="inlineStr">
        <is>
          <t>VÄSTRA GÖTALANDS LÄN</t>
        </is>
      </c>
      <c r="G306" t="inlineStr">
        <is>
          <t>MARIESTAD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44943</v>
      </c>
      <c r="E307" s="1" t="n">
        <v>46318</v>
      </c>
      <c r="F307" t="inlineStr">
        <is>
          <t>VÄSTRA GÖTALANDS LÄN</t>
        </is>
      </c>
      <c r="G307" t="inlineStr">
        <is>
          <t>MARIESTAD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46300</v>
      </c>
      <c r="E308" s="1" t="n">
        <v>46318</v>
      </c>
      <c r="F308" t="inlineStr">
        <is>
          <t>VÄSTRA GÖTALANDS LÄN</t>
        </is>
      </c>
      <c r="G308" t="inlineStr">
        <is>
          <t>MARIESTAD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45343</v>
      </c>
      <c r="E309" s="1" t="n">
        <v>46318</v>
      </c>
      <c r="F309" t="inlineStr">
        <is>
          <t>VÄSTRA GÖTALANDS LÄN</t>
        </is>
      </c>
      <c r="G309" t="inlineStr">
        <is>
          <t>MARIESTAD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46318</v>
      </c>
      <c r="F310" t="inlineStr">
        <is>
          <t>VÄSTRA GÖTALANDS LÄN</t>
        </is>
      </c>
      <c r="G310" t="inlineStr">
        <is>
          <t>MARIESTAD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41220-2026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46300</v>
      </c>
      <c r="E311" s="1" t="n">
        <v>46318</v>
      </c>
      <c r="F311" t="inlineStr">
        <is>
          <t>VÄSTRA GÖTALANDS LÄN</t>
        </is>
      </c>
      <c r="G311" t="inlineStr">
        <is>
          <t>MARIESTAD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45135</v>
      </c>
      <c r="E312" s="1" t="n">
        <v>46318</v>
      </c>
      <c r="F312" t="inlineStr">
        <is>
          <t>VÄSTRA GÖTALANDS LÄN</t>
        </is>
      </c>
      <c r="G312" t="inlineStr">
        <is>
          <t>MARIESTAD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46318</v>
      </c>
      <c r="F313" t="inlineStr">
        <is>
          <t>VÄSTRA GÖTALANDS LÄN</t>
        </is>
      </c>
      <c r="G313" t="inlineStr">
        <is>
          <t>MARIESTAD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46300</v>
      </c>
      <c r="E314" s="1" t="n">
        <v>46318</v>
      </c>
      <c r="F314" t="inlineStr">
        <is>
          <t>VÄSTRA GÖTALANDS LÄN</t>
        </is>
      </c>
      <c r="G314" t="inlineStr">
        <is>
          <t>MARIESTAD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45384</v>
      </c>
      <c r="E315" s="1" t="n">
        <v>46318</v>
      </c>
      <c r="F315" t="inlineStr">
        <is>
          <t>VÄSTRA GÖTALANDS LÄN</t>
        </is>
      </c>
      <c r="G315" t="inlineStr">
        <is>
          <t>MARIESTAD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13655-2023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45006</v>
      </c>
      <c r="E316" s="1" t="n">
        <v>46318</v>
      </c>
      <c r="F316" t="inlineStr">
        <is>
          <t>VÄSTRA GÖTALANDS LÄN</t>
        </is>
      </c>
      <c r="G316" t="inlineStr">
        <is>
          <t>MARIESTAD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52626-2023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45225</v>
      </c>
      <c r="E317" s="1" t="n">
        <v>46318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46318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45329</v>
      </c>
      <c r="E319" s="1" t="n">
        <v>46318</v>
      </c>
      <c r="F319" t="inlineStr">
        <is>
          <t>VÄSTRA GÖTALANDS LÄN</t>
        </is>
      </c>
      <c r="G319" t="inlineStr">
        <is>
          <t>MARIESTAD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35283-2026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46261</v>
      </c>
      <c r="E320" s="1" t="n">
        <v>46318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26688-2022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44739</v>
      </c>
      <c r="E321" s="1" t="n">
        <v>46318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Kommuner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35279-2026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46261</v>
      </c>
      <c r="E322" s="1" t="n">
        <v>46318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45761</v>
      </c>
      <c r="E323" s="1" t="n">
        <v>46318</v>
      </c>
      <c r="F323" t="inlineStr">
        <is>
          <t>VÄSTRA GÖTALANDS LÄN</t>
        </is>
      </c>
      <c r="G323" t="inlineStr">
        <is>
          <t>MARIESTAD</t>
        </is>
      </c>
      <c r="I323" t="n">
        <v>10.7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46262</v>
      </c>
      <c r="E324" s="1" t="n">
        <v>46318</v>
      </c>
      <c r="F324" t="inlineStr">
        <is>
          <t>VÄSTRA GÖTALANDS LÄN</t>
        </is>
      </c>
      <c r="G324" t="inlineStr">
        <is>
          <t>MARIESTAD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35516-2026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46262</v>
      </c>
      <c r="E325" s="1" t="n">
        <v>46318</v>
      </c>
      <c r="F325" t="inlineStr">
        <is>
          <t>VÄSTRA GÖTALANDS LÄN</t>
        </is>
      </c>
      <c r="G325" t="inlineStr">
        <is>
          <t>MARIESTAD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45324</v>
      </c>
      <c r="E326" s="1" t="n">
        <v>46318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44756</v>
      </c>
      <c r="E327" s="1" t="n">
        <v>46318</v>
      </c>
      <c r="F327" t="inlineStr">
        <is>
          <t>VÄSTRA GÖTALANDS LÄN</t>
        </is>
      </c>
      <c r="G327" t="inlineStr">
        <is>
          <t>MARIESTAD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44936</v>
      </c>
      <c r="E328" s="1" t="n">
        <v>46318</v>
      </c>
      <c r="F328" t="inlineStr">
        <is>
          <t>VÄSTRA GÖTALANDS LÄN</t>
        </is>
      </c>
      <c r="G328" t="inlineStr">
        <is>
          <t>MARIESTAD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45639</v>
      </c>
      <c r="E329" s="1" t="n">
        <v>46318</v>
      </c>
      <c r="F329" t="inlineStr">
        <is>
          <t>VÄSTRA GÖTALANDS LÄN</t>
        </is>
      </c>
      <c r="G329" t="inlineStr">
        <is>
          <t>MARIESTAD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36399-2024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45535</v>
      </c>
      <c r="E330" s="1" t="n">
        <v>46318</v>
      </c>
      <c r="F330" t="inlineStr">
        <is>
          <t>VÄSTRA GÖTALANDS LÄN</t>
        </is>
      </c>
      <c r="G330" t="inlineStr">
        <is>
          <t>MARIESTAD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46318</v>
      </c>
      <c r="F331" t="inlineStr">
        <is>
          <t>VÄSTRA GÖTALANDS LÄN</t>
        </is>
      </c>
      <c r="G331" t="inlineStr">
        <is>
          <t>MARIESTAD</t>
        </is>
      </c>
      <c r="I331" t="n">
        <v>9.699999999999999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46318</v>
      </c>
      <c r="F332" t="inlineStr">
        <is>
          <t>VÄSTRA GÖTALANDS LÄN</t>
        </is>
      </c>
      <c r="G332" t="inlineStr">
        <is>
          <t>MARIESTAD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46318</v>
      </c>
      <c r="F333" t="inlineStr">
        <is>
          <t>VÄSTRA GÖTALANDS LÄN</t>
        </is>
      </c>
      <c r="G333" t="inlineStr">
        <is>
          <t>MARIESTAD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46318</v>
      </c>
      <c r="F334" t="inlineStr">
        <is>
          <t>VÄSTRA GÖTALANDS LÄN</t>
        </is>
      </c>
      <c r="G334" t="inlineStr">
        <is>
          <t>MARIESTAD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45271</v>
      </c>
      <c r="E335" s="1" t="n">
        <v>46318</v>
      </c>
      <c r="F335" t="inlineStr">
        <is>
          <t>VÄSTRA GÖTALANDS LÄN</t>
        </is>
      </c>
      <c r="G335" t="inlineStr">
        <is>
          <t>MARIESTAD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46318</v>
      </c>
      <c r="F336" t="inlineStr">
        <is>
          <t>VÄSTRA GÖTALANDS LÄN</t>
        </is>
      </c>
      <c r="G336" t="inlineStr">
        <is>
          <t>MARIESTAD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45530</v>
      </c>
      <c r="E337" s="1" t="n">
        <v>46318</v>
      </c>
      <c r="F337" t="inlineStr">
        <is>
          <t>VÄSTRA GÖTALANDS LÄN</t>
        </is>
      </c>
      <c r="G337" t="inlineStr">
        <is>
          <t>MARIESTAD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44572</v>
      </c>
      <c r="E338" s="1" t="n">
        <v>46318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Naturvårdsverket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58896-2022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44903</v>
      </c>
      <c r="E339" s="1" t="n">
        <v>46318</v>
      </c>
      <c r="F339" t="inlineStr">
        <is>
          <t>VÄSTRA GÖTALANDS LÄN</t>
        </is>
      </c>
      <c r="G339" t="inlineStr">
        <is>
          <t>MARIESTAD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62751-2023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45271</v>
      </c>
      <c r="E340" s="1" t="n">
        <v>46318</v>
      </c>
      <c r="F340" t="inlineStr">
        <is>
          <t>VÄSTRA GÖTALANDS LÄN</t>
        </is>
      </c>
      <c r="G340" t="inlineStr">
        <is>
          <t>MARIESTAD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44986</v>
      </c>
      <c r="E341" s="1" t="n">
        <v>46318</v>
      </c>
      <c r="F341" t="inlineStr">
        <is>
          <t>VÄSTRA GÖTALANDS LÄN</t>
        </is>
      </c>
      <c r="G341" t="inlineStr">
        <is>
          <t>MARIESTAD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50579-2023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45217</v>
      </c>
      <c r="E342" s="1" t="n">
        <v>46318</v>
      </c>
      <c r="F342" t="inlineStr">
        <is>
          <t>VÄSTRA GÖTALANDS LÄN</t>
        </is>
      </c>
      <c r="G342" t="inlineStr">
        <is>
          <t>MARIESTAD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44930</v>
      </c>
      <c r="E343" s="1" t="n">
        <v>46318</v>
      </c>
      <c r="F343" t="inlineStr">
        <is>
          <t>VÄSTRA GÖTALANDS LÄN</t>
        </is>
      </c>
      <c r="G343" t="inlineStr">
        <is>
          <t>MARIESTAD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45330</v>
      </c>
      <c r="E344" s="1" t="n">
        <v>46318</v>
      </c>
      <c r="F344" t="inlineStr">
        <is>
          <t>VÄSTRA GÖTALANDS LÄN</t>
        </is>
      </c>
      <c r="G344" t="inlineStr">
        <is>
          <t>MARIESTAD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46318</v>
      </c>
      <c r="F345" t="inlineStr">
        <is>
          <t>VÄSTRA GÖTALANDS LÄN</t>
        </is>
      </c>
      <c r="G345" t="inlineStr">
        <is>
          <t>MARIESTAD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53097-2022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44876</v>
      </c>
      <c r="E346" s="1" t="n">
        <v>46318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Kyrkan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58077-2022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44900</v>
      </c>
      <c r="E347" s="1" t="n">
        <v>46318</v>
      </c>
      <c r="F347" t="inlineStr">
        <is>
          <t>VÄSTRA GÖTALANDS LÄN</t>
        </is>
      </c>
      <c r="G347" t="inlineStr">
        <is>
          <t>MARIESTAD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46318</v>
      </c>
      <c r="F348" t="inlineStr">
        <is>
          <t>VÄSTRA GÖTALANDS LÄN</t>
        </is>
      </c>
      <c r="G348" t="inlineStr">
        <is>
          <t>MARIESTAD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44957</v>
      </c>
      <c r="E349" s="1" t="n">
        <v>46318</v>
      </c>
      <c r="F349" t="inlineStr">
        <is>
          <t>VÄSTRA GÖTALANDS LÄN</t>
        </is>
      </c>
      <c r="G349" t="inlineStr">
        <is>
          <t>MARIESTAD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4868-2024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45618</v>
      </c>
      <c r="E350" s="1" t="n">
        <v>46318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1204-2025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45757</v>
      </c>
      <c r="E351" s="1" t="n">
        <v>46318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359-2026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46064</v>
      </c>
      <c r="E352" s="1" t="n">
        <v>46318</v>
      </c>
      <c r="F352" t="inlineStr">
        <is>
          <t>VÄSTRA GÖTALANDS LÄN</t>
        </is>
      </c>
      <c r="G352" t="inlineStr">
        <is>
          <t>MARIESTAD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2026-10-23T02:03:37Z</dcterms:created>
  <dcterms:modified xmlns:dcterms="http://purl.org/dc/terms/" xmlns:xsi="http://www.w3.org/2001/XMLSchema-instance" xsi:type="dcterms:W3CDTF">2026-10-23T02:03:37Z</dcterms:modified>
</cp:coreProperties>
</file>