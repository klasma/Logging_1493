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5141-2025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45691</v>
      </c>
      <c r="E2" s="1" t="n">
        <v>46220</v>
      </c>
      <c r="F2" t="inlineStr">
        <is>
          <t>VÄSTRA GÖTALANDS LÄN</t>
        </is>
      </c>
      <c r="G2" t="inlineStr">
        <is>
          <t>MARIESTAD</t>
        </is>
      </c>
      <c r="I2" t="n">
        <v>8.800000000000001</v>
      </c>
      <c r="J2" t="n">
        <v>7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9</v>
      </c>
      <c r="T2" t="n">
        <v>15</v>
      </c>
      <c r="U2" s="2" t="inlineStr">
        <is>
          <t>Entita
Gulsparv
Järnsparv
Kortskaftad ärgspik
Talltita
Björksplintborre
Spillkråka
Kungsfågel
Svartvit flugsnappare</t>
        </is>
      </c>
      <c r="V2">
        <f>HYPERLINK("https://klasma.github.io/Logging_1493/artfynd/A 5141-2025 artfynd.xlsx", "A 5141-2025")</f>
        <v/>
      </c>
      <c r="W2">
        <f>HYPERLINK("https://klasma.github.io/Logging_1493/kartor/A 5141-2025 karta.png", "A 5141-2025")</f>
        <v/>
      </c>
      <c r="Y2">
        <f>HYPERLINK("https://klasma.github.io/Logging_1493/klagomål/A 5141-2025 FSC-klagomål.docx", "A 5141-2025")</f>
        <v/>
      </c>
      <c r="Z2">
        <f>HYPERLINK("https://klasma.github.io/Logging_1493/klagomålsmail/A 5141-2025 FSC-klagomål mail.docx", "A 5141-2025")</f>
        <v/>
      </c>
      <c r="AA2">
        <f>HYPERLINK("https://klasma.github.io/Logging_1493/tillsyn/A 5141-2025 tillsynsbegäran.docx", "A 5141-2025")</f>
        <v/>
      </c>
      <c r="AB2">
        <f>HYPERLINK("https://klasma.github.io/Logging_1493/tillsynsmail/A 5141-2025 tillsynsbegäran mail.docx", "A 5141-2025")</f>
        <v/>
      </c>
      <c r="AC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45664</v>
      </c>
      <c r="E3" s="1" t="n">
        <v>46220</v>
      </c>
      <c r="F3" t="inlineStr">
        <is>
          <t>VÄSTRA GÖTALANDS LÄN</t>
        </is>
      </c>
      <c r="G3" t="inlineStr">
        <is>
          <t>MARIESTAD</t>
        </is>
      </c>
      <c r="I3" t="n">
        <v>2.5</v>
      </c>
      <c r="J3" t="n">
        <v>5</v>
      </c>
      <c r="K3" t="n">
        <v>0</v>
      </c>
      <c r="L3" t="n">
        <v>1</v>
      </c>
      <c r="M3" t="n">
        <v>3</v>
      </c>
      <c r="N3" t="n">
        <v>0</v>
      </c>
      <c r="O3" t="n">
        <v>0</v>
      </c>
      <c r="P3" t="n">
        <v>0</v>
      </c>
      <c r="Q3" t="n">
        <v>4</v>
      </c>
      <c r="R3" t="n">
        <v>3</v>
      </c>
      <c r="S3" t="n">
        <v>6</v>
      </c>
      <c r="T3" t="n">
        <v>19</v>
      </c>
      <c r="U3" s="2" t="inlineStr">
        <is>
          <t>Grönfink
Knärot
Ryl
Mindre hackspett
Nattskärra
Revlummer</t>
        </is>
      </c>
      <c r="V3">
        <f>HYPERLINK("https://klasma.github.io/Logging_1493/artfynd/A 631-2025 artfynd.xlsx", "A 631-2025")</f>
        <v/>
      </c>
      <c r="W3">
        <f>HYPERLINK("https://klasma.github.io/Logging_1493/kartor/A 631-2025 karta.png", "A 631-2025")</f>
        <v/>
      </c>
      <c r="X3">
        <f>HYPERLINK("https://klasma.github.io/Logging_1493/knärot/A 631-2025 karta knärot.png", "A 631-2025")</f>
        <v/>
      </c>
      <c r="Y3">
        <f>HYPERLINK("https://klasma.github.io/Logging_1493/klagomål/A 631-2025 FSC-klagomål.docx", "A 631-2025")</f>
        <v/>
      </c>
      <c r="Z3">
        <f>HYPERLINK("https://klasma.github.io/Logging_1493/klagomålsmail/A 631-2025 FSC-klagomål mail.docx", "A 631-2025")</f>
        <v/>
      </c>
      <c r="AA3">
        <f>HYPERLINK("https://klasma.github.io/Logging_1493/tillsyn/A 631-2025 tillsynsbegäran.docx", "A 631-2025")</f>
        <v/>
      </c>
      <c r="AB3">
        <f>HYPERLINK("https://klasma.github.io/Logging_1493/tillsynsmail/A 631-2025 tillsynsbegäran mail.docx", "A 631-2025")</f>
        <v/>
      </c>
      <c r="AC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44473</v>
      </c>
      <c r="E4" s="1" t="n">
        <v>46220</v>
      </c>
      <c r="F4" t="inlineStr">
        <is>
          <t>VÄSTRA GÖTALANDS LÄN</t>
        </is>
      </c>
      <c r="G4" t="inlineStr">
        <is>
          <t>MARIESTAD</t>
        </is>
      </c>
      <c r="I4" t="n">
        <v>4.2</v>
      </c>
      <c r="J4" t="n">
        <v>5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5</v>
      </c>
      <c r="T4" t="n">
        <v>5</v>
      </c>
      <c r="U4" s="2" t="inlineStr">
        <is>
          <t>Tofsvipa
Björktrast
Ladusvala
Mindre hackspett
Orre</t>
        </is>
      </c>
      <c r="V4">
        <f>HYPERLINK("https://klasma.github.io/Logging_1493/artfynd/A 54706-2021 artfynd.xlsx", "A 54706-2021")</f>
        <v/>
      </c>
      <c r="W4">
        <f>HYPERLINK("https://klasma.github.io/Logging_1493/kartor/A 54706-2021 karta.png", "A 54706-2021")</f>
        <v/>
      </c>
      <c r="Y4">
        <f>HYPERLINK("https://klasma.github.io/Logging_1493/klagomål/A 54706-2021 FSC-klagomål.docx", "A 54706-2021")</f>
        <v/>
      </c>
      <c r="Z4">
        <f>HYPERLINK("https://klasma.github.io/Logging_1493/klagomålsmail/A 54706-2021 FSC-klagomål mail.docx", "A 54706-2021")</f>
        <v/>
      </c>
      <c r="AA4">
        <f>HYPERLINK("https://klasma.github.io/Logging_1493/tillsyn/A 54706-2021 tillsynsbegäran.docx", "A 54706-2021")</f>
        <v/>
      </c>
      <c r="AB4">
        <f>HYPERLINK("https://klasma.github.io/Logging_1493/tillsynsmail/A 54706-2021 tillsynsbegäran mail.docx", "A 54706-2021")</f>
        <v/>
      </c>
      <c r="AC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45708</v>
      </c>
      <c r="E5" s="1" t="n">
        <v>46220</v>
      </c>
      <c r="F5" t="inlineStr">
        <is>
          <t>VÄSTRA GÖTALANDS LÄN</t>
        </is>
      </c>
      <c r="G5" t="inlineStr">
        <is>
          <t>MARIESTAD</t>
        </is>
      </c>
      <c r="I5" t="n">
        <v>4.5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s="2" t="inlineStr">
        <is>
          <t>Igelkott
Järnsparv
Talltita
Spillkråka
Kungsfågel</t>
        </is>
      </c>
      <c r="V5">
        <f>HYPERLINK("https://klasma.github.io/Logging_1493/artfynd/A 8319-2025 artfynd.xlsx", "A 8319-2025")</f>
        <v/>
      </c>
      <c r="W5">
        <f>HYPERLINK("https://klasma.github.io/Logging_1493/kartor/A 8319-2025 karta.png", "A 8319-2025")</f>
        <v/>
      </c>
      <c r="Y5">
        <f>HYPERLINK("https://klasma.github.io/Logging_1493/klagomål/A 8319-2025 FSC-klagomål.docx", "A 8319-2025")</f>
        <v/>
      </c>
      <c r="Z5">
        <f>HYPERLINK("https://klasma.github.io/Logging_1493/klagomålsmail/A 8319-2025 FSC-klagomål mail.docx", "A 8319-2025")</f>
        <v/>
      </c>
      <c r="AA5">
        <f>HYPERLINK("https://klasma.github.io/Logging_1493/tillsyn/A 8319-2025 tillsynsbegäran.docx", "A 8319-2025")</f>
        <v/>
      </c>
      <c r="AB5">
        <f>HYPERLINK("https://klasma.github.io/Logging_1493/tillsynsmail/A 8319-2025 tillsynsbegäran mail.docx", "A 8319-2025")</f>
        <v/>
      </c>
      <c r="AC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44648</v>
      </c>
      <c r="E6" s="1" t="n">
        <v>46220</v>
      </c>
      <c r="F6" t="inlineStr">
        <is>
          <t>VÄSTRA GÖTALANDS LÄN</t>
        </is>
      </c>
      <c r="G6" t="inlineStr">
        <is>
          <t>MARIESTAD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Större vattensalamander
Mindre vattensalamander
Vanlig padda</t>
        </is>
      </c>
      <c r="V6">
        <f>HYPERLINK("https://klasma.github.io/Logging_1493/artfynd/A 13606-2022 artfynd.xlsx", "A 13606-2022")</f>
        <v/>
      </c>
      <c r="W6">
        <f>HYPERLINK("https://klasma.github.io/Logging_1493/kartor/A 13606-2022 karta.png", "A 13606-2022")</f>
        <v/>
      </c>
      <c r="Y6">
        <f>HYPERLINK("https://klasma.github.io/Logging_1493/klagomål/A 13606-2022 FSC-klagomål.docx", "A 13606-2022")</f>
        <v/>
      </c>
      <c r="Z6">
        <f>HYPERLINK("https://klasma.github.io/Logging_1493/klagomålsmail/A 13606-2022 FSC-klagomål mail.docx", "A 13606-2022")</f>
        <v/>
      </c>
      <c r="AA6">
        <f>HYPERLINK("https://klasma.github.io/Logging_1493/tillsyn/A 13606-2022 tillsynsbegäran.docx", "A 13606-2022")</f>
        <v/>
      </c>
      <c r="AB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46220</v>
      </c>
      <c r="F7" t="inlineStr">
        <is>
          <t>VÄSTRA GÖTALANDS LÄN</t>
        </is>
      </c>
      <c r="G7" t="inlineStr">
        <is>
          <t>MARIESTAD</t>
        </is>
      </c>
      <c r="H7" t="inlineStr">
        <is>
          <t>Sveaskog</t>
        </is>
      </c>
      <c r="I7" t="n">
        <v>4.7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Tallticka
Blodticka</t>
        </is>
      </c>
      <c r="V7">
        <f>HYPERLINK("https://klasma.github.io/Logging_1493/artfynd/A 2769-2022 artfynd.xlsx", "A 2769-2022")</f>
        <v/>
      </c>
      <c r="W7">
        <f>HYPERLINK("https://klasma.github.io/Logging_1493/kartor/A 2769-2022 karta.png", "A 2769-2022")</f>
        <v/>
      </c>
      <c r="Y7">
        <f>HYPERLINK("https://klasma.github.io/Logging_1493/klagomål/A 2769-2022 FSC-klagomål.docx", "A 2769-2022")</f>
        <v/>
      </c>
      <c r="Z7">
        <f>HYPERLINK("https://klasma.github.io/Logging_1493/klagomålsmail/A 2769-2022 FSC-klagomål mail.docx", "A 2769-2022")</f>
        <v/>
      </c>
      <c r="AA7">
        <f>HYPERLINK("https://klasma.github.io/Logging_1493/tillsyn/A 2769-2022 tillsynsbegäran.docx", "A 2769-2022")</f>
        <v/>
      </c>
      <c r="AB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46220</v>
      </c>
      <c r="F8" t="inlineStr">
        <is>
          <t>VÄSTRA GÖTALANDS LÄN</t>
        </is>
      </c>
      <c r="G8" t="inlineStr">
        <is>
          <t>MARIESTAD</t>
        </is>
      </c>
      <c r="I8" t="n">
        <v>0.9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Gulsparv
Kungsfågel</t>
        </is>
      </c>
      <c r="V8">
        <f>HYPERLINK("https://klasma.github.io/Logging_1493/artfynd/A 8262-2022 artfynd.xlsx", "A 8262-2022")</f>
        <v/>
      </c>
      <c r="W8">
        <f>HYPERLINK("https://klasma.github.io/Logging_1493/kartor/A 8262-2022 karta.png", "A 8262-2022")</f>
        <v/>
      </c>
      <c r="Y8">
        <f>HYPERLINK("https://klasma.github.io/Logging_1493/klagomål/A 8262-2022 FSC-klagomål.docx", "A 8262-2022")</f>
        <v/>
      </c>
      <c r="Z8">
        <f>HYPERLINK("https://klasma.github.io/Logging_1493/klagomålsmail/A 8262-2022 FSC-klagomål mail.docx", "A 8262-2022")</f>
        <v/>
      </c>
      <c r="AA8">
        <f>HYPERLINK("https://klasma.github.io/Logging_1493/tillsyn/A 8262-2022 tillsynsbegäran.docx", "A 8262-2022")</f>
        <v/>
      </c>
      <c r="AB8">
        <f>HYPERLINK("https://klasma.github.io/Logging_1493/tillsynsmail/A 8262-2022 tillsynsbegäran mail.docx", "A 8262-2022")</f>
        <v/>
      </c>
      <c r="AC8">
        <f>HYPERLINK("https://klasma.github.io/Logging_1493/fåglar/A 8262-2022 prioriterade fågelarter.docx", "A 8262-2022")</f>
        <v/>
      </c>
    </row>
    <row r="9" ht="15" customHeight="1">
      <c r="A9" t="inlineStr">
        <is>
          <t>A 57791-2021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46220</v>
      </c>
      <c r="F9" t="inlineStr">
        <is>
          <t>VÄSTRA GÖTALANDS LÄN</t>
        </is>
      </c>
      <c r="G9" t="inlineStr">
        <is>
          <t>MARIESTAD</t>
        </is>
      </c>
      <c r="I9" t="n">
        <v>30.8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Fyrflikig jordstjärna
Blåmossa</t>
        </is>
      </c>
      <c r="V9">
        <f>HYPERLINK("https://klasma.github.io/Logging_1493/artfynd/A 57791-2021 artfynd.xlsx", "A 57791-2021")</f>
        <v/>
      </c>
      <c r="W9">
        <f>HYPERLINK("https://klasma.github.io/Logging_1493/kartor/A 57791-2021 karta.png", "A 57791-2021")</f>
        <v/>
      </c>
      <c r="Y9">
        <f>HYPERLINK("https://klasma.github.io/Logging_1493/klagomål/A 57791-2021 FSC-klagomål.docx", "A 57791-2021")</f>
        <v/>
      </c>
      <c r="Z9">
        <f>HYPERLINK("https://klasma.github.io/Logging_1493/klagomålsmail/A 57791-2021 FSC-klagomål mail.docx", "A 57791-2021")</f>
        <v/>
      </c>
      <c r="AA9">
        <f>HYPERLINK("https://klasma.github.io/Logging_1493/tillsyn/A 57791-2021 tillsynsbegäran.docx", "A 57791-2021")</f>
        <v/>
      </c>
      <c r="AB9">
        <f>HYPERLINK("https://klasma.github.io/Logging_1493/tillsynsmail/A 57791-2021 tillsynsbegäran mail.docx", "A 57791-2021")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46220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Blåsippa
Gullviva</t>
        </is>
      </c>
      <c r="V10">
        <f>HYPERLINK("https://klasma.github.io/Logging_1493/artfynd/A 47764-2023 artfynd.xlsx", "A 47764-2023")</f>
        <v/>
      </c>
      <c r="W10">
        <f>HYPERLINK("https://klasma.github.io/Logging_1493/kartor/A 47764-2023 karta.png", "A 47764-2023")</f>
        <v/>
      </c>
      <c r="Y10">
        <f>HYPERLINK("https://klasma.github.io/Logging_1493/klagomål/A 47764-2023 FSC-klagomål.docx", "A 47764-2023")</f>
        <v/>
      </c>
      <c r="Z10">
        <f>HYPERLINK("https://klasma.github.io/Logging_1493/klagomålsmail/A 47764-2023 FSC-klagomål mail.docx", "A 47764-2023")</f>
        <v/>
      </c>
      <c r="AA10">
        <f>HYPERLINK("https://klasma.github.io/Logging_1493/tillsyn/A 47764-2023 tillsynsbegäran.docx", "A 47764-2023")</f>
        <v/>
      </c>
      <c r="AB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46220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Brandticka
Vågbandad barkbock</t>
        </is>
      </c>
      <c r="V11">
        <f>HYPERLINK("https://klasma.github.io/Logging_1493/artfynd/A 67507-2021 artfynd.xlsx", "A 67507-2021")</f>
        <v/>
      </c>
      <c r="W11">
        <f>HYPERLINK("https://klasma.github.io/Logging_1493/kartor/A 67507-2021 karta.png", "A 67507-2021")</f>
        <v/>
      </c>
      <c r="Y11">
        <f>HYPERLINK("https://klasma.github.io/Logging_1493/klagomål/A 67507-2021 FSC-klagomål.docx", "A 67507-2021")</f>
        <v/>
      </c>
      <c r="Z11">
        <f>HYPERLINK("https://klasma.github.io/Logging_1493/klagomålsmail/A 67507-2021 FSC-klagomål mail.docx", "A 67507-2021")</f>
        <v/>
      </c>
      <c r="AA11">
        <f>HYPERLINK("https://klasma.github.io/Logging_1493/tillsyn/A 67507-2021 tillsynsbegäran.docx", "A 67507-2021")</f>
        <v/>
      </c>
      <c r="AB11">
        <f>HYPERLINK("https://klasma.github.io/Logging_1493/tillsynsmail/A 67507-2021 tillsynsbegäran mail.docx", "A 67507-2021")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46220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Tallticka</t>
        </is>
      </c>
      <c r="V12">
        <f>HYPERLINK("https://klasma.github.io/Logging_1493/artfynd/A 63287-2025 artfynd.xlsx", "A 63287-2025")</f>
        <v/>
      </c>
      <c r="W12">
        <f>HYPERLINK("https://klasma.github.io/Logging_1493/kartor/A 63287-2025 karta.png", "A 63287-2025")</f>
        <v/>
      </c>
      <c r="Y12">
        <f>HYPERLINK("https://klasma.github.io/Logging_1493/klagomål/A 63287-2025 FSC-klagomål.docx", "A 63287-2025")</f>
        <v/>
      </c>
      <c r="Z12">
        <f>HYPERLINK("https://klasma.github.io/Logging_1493/klagomålsmail/A 63287-2025 FSC-klagomål mail.docx", "A 63287-2025")</f>
        <v/>
      </c>
      <c r="AA12">
        <f>HYPERLINK("https://klasma.github.io/Logging_1493/tillsyn/A 63287-2025 tillsynsbegäran.docx", "A 63287-2025")</f>
        <v/>
      </c>
      <c r="AB12">
        <f>HYPERLINK("https://klasma.github.io/Logging_1493/tillsynsmail/A 63287-2025 tillsynsbegäran mail.docx", "A 63287-2025")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46220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s="2" t="inlineStr">
        <is>
          <t>Igelkott
Svinrot</t>
        </is>
      </c>
      <c r="V13">
        <f>HYPERLINK("https://klasma.github.io/Logging_1493/artfynd/A 53880-2022 artfynd.xlsx", "A 53880-2022")</f>
        <v/>
      </c>
      <c r="W13">
        <f>HYPERLINK("https://klasma.github.io/Logging_1493/kartor/A 53880-2022 karta.png", "A 53880-2022")</f>
        <v/>
      </c>
      <c r="Y13">
        <f>HYPERLINK("https://klasma.github.io/Logging_1493/klagomål/A 53880-2022 FSC-klagomål.docx", "A 53880-2022")</f>
        <v/>
      </c>
      <c r="Z13">
        <f>HYPERLINK("https://klasma.github.io/Logging_1493/klagomålsmail/A 53880-2022 FSC-klagomål mail.docx", "A 53880-2022")</f>
        <v/>
      </c>
      <c r="AA13">
        <f>HYPERLINK("https://klasma.github.io/Logging_1493/tillsyn/A 53880-2022 tillsynsbegäran.docx", "A 53880-2022")</f>
        <v/>
      </c>
      <c r="AB13">
        <f>HYPERLINK("https://klasma.github.io/Logging_1493/tillsynsmail/A 53880-2022 tillsynsbegäran mail.docx", "A 53880-2022")</f>
        <v/>
      </c>
    </row>
    <row r="14" ht="15" customHeight="1">
      <c r="A14" t="inlineStr">
        <is>
          <t>A 5162-2024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45330</v>
      </c>
      <c r="E14" s="1" t="n">
        <v>46220</v>
      </c>
      <c r="F14" t="inlineStr">
        <is>
          <t>VÄSTRA GÖTALANDS LÄN</t>
        </is>
      </c>
      <c r="G14" t="inlineStr">
        <is>
          <t>MARIESTAD</t>
        </is>
      </c>
      <c r="I14" t="n">
        <v>0.5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Större brunfladdermus
Revlummer</t>
        </is>
      </c>
      <c r="V14">
        <f>HYPERLINK("https://klasma.github.io/Logging_1493/artfynd/A 5162-2024 artfynd.xlsx", "A 5162-2024")</f>
        <v/>
      </c>
      <c r="W14">
        <f>HYPERLINK("https://klasma.github.io/Logging_1493/kartor/A 5162-2024 karta.png", "A 5162-2024")</f>
        <v/>
      </c>
      <c r="Y14">
        <f>HYPERLINK("https://klasma.github.io/Logging_1493/klagomål/A 5162-2024 FSC-klagomål.docx", "A 5162-2024")</f>
        <v/>
      </c>
      <c r="Z14">
        <f>HYPERLINK("https://klasma.github.io/Logging_1493/klagomålsmail/A 5162-2024 FSC-klagomål mail.docx", "A 5162-2024")</f>
        <v/>
      </c>
      <c r="AA14">
        <f>HYPERLINK("https://klasma.github.io/Logging_1493/tillsyn/A 5162-2024 tillsynsbegäran.docx", "A 5162-2024")</f>
        <v/>
      </c>
      <c r="AB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44628</v>
      </c>
      <c r="E15" s="1" t="n">
        <v>46220</v>
      </c>
      <c r="F15" t="inlineStr">
        <is>
          <t>VÄSTRA GÖTALANDS LÄN</t>
        </is>
      </c>
      <c r="G15" t="inlineStr">
        <is>
          <t>MARIESTAD</t>
        </is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Skogsduva</t>
        </is>
      </c>
      <c r="V15">
        <f>HYPERLINK("https://klasma.github.io/Logging_1493/artfynd/A 11073-2022 artfynd.xlsx", "A 11073-2022")</f>
        <v/>
      </c>
      <c r="W15">
        <f>HYPERLINK("https://klasma.github.io/Logging_1493/kartor/A 11073-2022 karta.png", "A 11073-2022")</f>
        <v/>
      </c>
      <c r="Y15">
        <f>HYPERLINK("https://klasma.github.io/Logging_1493/klagomål/A 11073-2022 FSC-klagomål.docx", "A 11073-2022")</f>
        <v/>
      </c>
      <c r="Z15">
        <f>HYPERLINK("https://klasma.github.io/Logging_1493/klagomålsmail/A 11073-2022 FSC-klagomål mail.docx", "A 11073-2022")</f>
        <v/>
      </c>
      <c r="AA15">
        <f>HYPERLINK("https://klasma.github.io/Logging_1493/tillsyn/A 11073-2022 tillsynsbegäran.docx", "A 11073-2022")</f>
        <v/>
      </c>
      <c r="AB15">
        <f>HYPERLINK("https://klasma.github.io/Logging_1493/tillsynsmail/A 11073-2022 tillsynsbegäran mail.docx", "A 11073-2022")</f>
        <v/>
      </c>
      <c r="AC15">
        <f>HYPERLINK("https://klasma.github.io/Logging_1493/fåglar/A 11073-2022 prioriterade fågelarter.docx", "A 11073-2022")</f>
        <v/>
      </c>
    </row>
    <row r="16" ht="15" customHeight="1">
      <c r="A16" t="inlineStr">
        <is>
          <t>A 50053-2023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45215</v>
      </c>
      <c r="E16" s="1" t="n">
        <v>46220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Grovticka</t>
        </is>
      </c>
      <c r="V16">
        <f>HYPERLINK("https://klasma.github.io/Logging_1493/artfynd/A 50053-2023 artfynd.xlsx", "A 50053-2023")</f>
        <v/>
      </c>
      <c r="W16">
        <f>HYPERLINK("https://klasma.github.io/Logging_1493/kartor/A 50053-2023 karta.png", "A 50053-2023")</f>
        <v/>
      </c>
      <c r="X16">
        <f>HYPERLINK("https://klasma.github.io/Logging_1493/knärot/A 50053-2023 karta knärot.png", "A 50053-2023")</f>
        <v/>
      </c>
      <c r="Y16">
        <f>HYPERLINK("https://klasma.github.io/Logging_1493/klagomål/A 50053-2023 FSC-klagomål.docx", "A 50053-2023")</f>
        <v/>
      </c>
      <c r="Z16">
        <f>HYPERLINK("https://klasma.github.io/Logging_1493/klagomålsmail/A 50053-2023 FSC-klagomål mail.docx", "A 50053-2023")</f>
        <v/>
      </c>
      <c r="AA16">
        <f>HYPERLINK("https://klasma.github.io/Logging_1493/tillsyn/A 50053-2023 tillsynsbegäran.docx", "A 50053-2023")</f>
        <v/>
      </c>
      <c r="AB16">
        <f>HYPERLINK("https://klasma.github.io/Logging_1493/tillsynsmail/A 50053-2023 tillsynsbegäran mail.docx", "A 50053-2023")</f>
        <v/>
      </c>
    </row>
    <row r="17" ht="15" customHeight="1">
      <c r="A17" t="inlineStr">
        <is>
          <t>A 21503-2024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45441</v>
      </c>
      <c r="E17" s="1" t="n">
        <v>46220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Kommuner</t>
        </is>
      </c>
      <c r="I17" t="n">
        <v>3.3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Krusfrö
Svinrot</t>
        </is>
      </c>
      <c r="V17">
        <f>HYPERLINK("https://klasma.github.io/Logging_1493/artfynd/A 21503-2024 artfynd.xlsx", "A 21503-2024")</f>
        <v/>
      </c>
      <c r="W17">
        <f>HYPERLINK("https://klasma.github.io/Logging_1493/kartor/A 21503-2024 karta.png", "A 21503-2024")</f>
        <v/>
      </c>
      <c r="Y17">
        <f>HYPERLINK("https://klasma.github.io/Logging_1493/klagomål/A 21503-2024 FSC-klagomål.docx", "A 21503-2024")</f>
        <v/>
      </c>
      <c r="Z17">
        <f>HYPERLINK("https://klasma.github.io/Logging_1493/klagomålsmail/A 21503-2024 FSC-klagomål mail.docx", "A 21503-2024")</f>
        <v/>
      </c>
      <c r="AA17">
        <f>HYPERLINK("https://klasma.github.io/Logging_1493/tillsyn/A 21503-2024 tillsynsbegäran.docx", "A 21503-2024")</f>
        <v/>
      </c>
      <c r="AB17">
        <f>HYPERLINK("https://klasma.github.io/Logging_1493/tillsynsmail/A 21503-2024 tillsynsbegäran mail.docx", "A 21503-2024")</f>
        <v/>
      </c>
    </row>
    <row r="18" ht="15" customHeight="1">
      <c r="A18" t="inlineStr">
        <is>
          <t>A 14947-2023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45015</v>
      </c>
      <c r="E18" s="1" t="n">
        <v>46220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s="2" t="inlineStr">
        <is>
          <t>Knärot
Grönpyrola</t>
        </is>
      </c>
      <c r="V18">
        <f>HYPERLINK("https://klasma.github.io/Logging_1493/artfynd/A 14947-2023 artfynd.xlsx", "A 14947-2023")</f>
        <v/>
      </c>
      <c r="W18">
        <f>HYPERLINK("https://klasma.github.io/Logging_1493/kartor/A 14947-2023 karta.png", "A 14947-2023")</f>
        <v/>
      </c>
      <c r="X18">
        <f>HYPERLINK("https://klasma.github.io/Logging_1493/knärot/A 14947-2023 karta knärot.png", "A 14947-2023")</f>
        <v/>
      </c>
      <c r="Y18">
        <f>HYPERLINK("https://klasma.github.io/Logging_1493/klagomål/A 14947-2023 FSC-klagomål.docx", "A 14947-2023")</f>
        <v/>
      </c>
      <c r="Z18">
        <f>HYPERLINK("https://klasma.github.io/Logging_1493/klagomålsmail/A 14947-2023 FSC-klagomål mail.docx", "A 14947-2023")</f>
        <v/>
      </c>
      <c r="AA18">
        <f>HYPERLINK("https://klasma.github.io/Logging_1493/tillsyn/A 14947-2023 tillsynsbegäran.docx", "A 14947-2023")</f>
        <v/>
      </c>
      <c r="AB18">
        <f>HYPERLINK("https://klasma.github.io/Logging_1493/tillsynsmail/A 14947-2023 tillsynsbegäran mail.docx", "A 14947-2023")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46220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Skogshare
Spillkråka</t>
        </is>
      </c>
      <c r="V19">
        <f>HYPERLINK("https://klasma.github.io/Logging_1493/artfynd/A 46886-2023 artfynd.xlsx", "A 46886-2023")</f>
        <v/>
      </c>
      <c r="W19">
        <f>HYPERLINK("https://klasma.github.io/Logging_1493/kartor/A 46886-2023 karta.png", "A 46886-2023")</f>
        <v/>
      </c>
      <c r="Y19">
        <f>HYPERLINK("https://klasma.github.io/Logging_1493/klagomål/A 46886-2023 FSC-klagomål.docx", "A 46886-2023")</f>
        <v/>
      </c>
      <c r="Z19">
        <f>HYPERLINK("https://klasma.github.io/Logging_1493/klagomålsmail/A 46886-2023 FSC-klagomål mail.docx", "A 46886-2023")</f>
        <v/>
      </c>
      <c r="AA19">
        <f>HYPERLINK("https://klasma.github.io/Logging_1493/tillsyn/A 46886-2023 tillsynsbegäran.docx", "A 46886-2023")</f>
        <v/>
      </c>
      <c r="AB19">
        <f>HYPERLINK("https://klasma.github.io/Logging_1493/tillsynsmail/A 46886-2023 tillsynsbegäran mail.docx", "A 46886-2023")</f>
        <v/>
      </c>
      <c r="AC19">
        <f>HYPERLINK("https://klasma.github.io/Logging_1493/fåglar/A 46886-2023 prioriterade fågelarter.docx", "A 46886-2023")</f>
        <v/>
      </c>
    </row>
    <row r="20" ht="15" customHeight="1">
      <c r="A20" t="inlineStr">
        <is>
          <t>A 72651-2021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46220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Skogsödla</t>
        </is>
      </c>
      <c r="V20">
        <f>HYPERLINK("https://klasma.github.io/Logging_1493/artfynd/A 72651-2021 artfynd.xlsx", "A 72651-2021")</f>
        <v/>
      </c>
      <c r="W20">
        <f>HYPERLINK("https://klasma.github.io/Logging_1493/kartor/A 72651-2021 karta.png", "A 72651-2021")</f>
        <v/>
      </c>
      <c r="Y20">
        <f>HYPERLINK("https://klasma.github.io/Logging_1493/klagomål/A 72651-2021 FSC-klagomål.docx", "A 72651-2021")</f>
        <v/>
      </c>
      <c r="Z20">
        <f>HYPERLINK("https://klasma.github.io/Logging_1493/klagomålsmail/A 72651-2021 FSC-klagomål mail.docx", "A 72651-2021")</f>
        <v/>
      </c>
      <c r="AA20">
        <f>HYPERLINK("https://klasma.github.io/Logging_1493/tillsyn/A 72651-2021 tillsynsbegäran.docx", "A 72651-2021")</f>
        <v/>
      </c>
      <c r="AB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46220</v>
      </c>
      <c r="F21" t="inlineStr">
        <is>
          <t>VÄSTRA GÖTALANDS LÄN</t>
        </is>
      </c>
      <c r="G21" t="inlineStr">
        <is>
          <t>MARIESTAD</t>
        </is>
      </c>
      <c r="I21" t="n">
        <v>3.3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Backmåra</t>
        </is>
      </c>
      <c r="V21">
        <f>HYPERLINK("https://klasma.github.io/Logging_1493/artfynd/A 46835-2021 artfynd.xlsx", "A 46835-2021")</f>
        <v/>
      </c>
      <c r="W21">
        <f>HYPERLINK("https://klasma.github.io/Logging_1493/kartor/A 46835-2021 karta.png", "A 46835-2021")</f>
        <v/>
      </c>
      <c r="Y21">
        <f>HYPERLINK("https://klasma.github.io/Logging_1493/klagomål/A 46835-2021 FSC-klagomål.docx", "A 46835-2021")</f>
        <v/>
      </c>
      <c r="Z21">
        <f>HYPERLINK("https://klasma.github.io/Logging_1493/klagomålsmail/A 46835-2021 FSC-klagomål mail.docx", "A 46835-2021")</f>
        <v/>
      </c>
      <c r="AA21">
        <f>HYPERLINK("https://klasma.github.io/Logging_1493/tillsyn/A 46835-2021 tillsynsbegäran.docx", "A 46835-2021")</f>
        <v/>
      </c>
      <c r="AB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46220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HYPERLINK("https://klasma.github.io/Logging_1493/artfynd/A 51265-2021 artfynd.xlsx", "A 51265-2021")</f>
        <v/>
      </c>
      <c r="W22">
        <f>HYPERLINK("https://klasma.github.io/Logging_1493/kartor/A 51265-2021 karta.png", "A 51265-2021")</f>
        <v/>
      </c>
      <c r="Y22">
        <f>HYPERLINK("https://klasma.github.io/Logging_1493/klagomål/A 51265-2021 FSC-klagomål.docx", "A 51265-2021")</f>
        <v/>
      </c>
      <c r="Z22">
        <f>HYPERLINK("https://klasma.github.io/Logging_1493/klagomålsmail/A 51265-2021 FSC-klagomål mail.docx", "A 51265-2021")</f>
        <v/>
      </c>
      <c r="AA22">
        <f>HYPERLINK("https://klasma.github.io/Logging_1493/tillsyn/A 51265-2021 tillsynsbegäran.docx", "A 51265-2021")</f>
        <v/>
      </c>
      <c r="AB22">
        <f>HYPERLINK("https://klasma.github.io/Logging_1493/tillsynsmail/A 51265-2021 tillsynsbegäran mail.docx", "A 51265-2021")</f>
        <v/>
      </c>
      <c r="AC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46220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Griffelblomfluga</t>
        </is>
      </c>
      <c r="V23">
        <f>HYPERLINK("https://klasma.github.io/Logging_1493/artfynd/A 20438-2024 artfynd.xlsx", "A 20438-2024")</f>
        <v/>
      </c>
      <c r="W23">
        <f>HYPERLINK("https://klasma.github.io/Logging_1493/kartor/A 20438-2024 karta.png", "A 20438-2024")</f>
        <v/>
      </c>
      <c r="Y23">
        <f>HYPERLINK("https://klasma.github.io/Logging_1493/klagomål/A 20438-2024 FSC-klagomål.docx", "A 20438-2024")</f>
        <v/>
      </c>
      <c r="Z23">
        <f>HYPERLINK("https://klasma.github.io/Logging_1493/klagomålsmail/A 20438-2024 FSC-klagomål mail.docx", "A 20438-2024")</f>
        <v/>
      </c>
      <c r="AA23">
        <f>HYPERLINK("https://klasma.github.io/Logging_1493/tillsyn/A 20438-2024 tillsynsbegäran.docx", "A 20438-2024")</f>
        <v/>
      </c>
      <c r="AB23">
        <f>HYPERLINK("https://klasma.github.io/Logging_1493/tillsynsmail/A 20438-2024 tillsynsbegäran mail.docx", "A 20438-2024")</f>
        <v/>
      </c>
    </row>
    <row r="24" ht="15" customHeight="1">
      <c r="A24" t="inlineStr">
        <is>
          <t>A 27444-2023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45097</v>
      </c>
      <c r="E24" s="1" t="n">
        <v>46220</v>
      </c>
      <c r="F24" t="inlineStr">
        <is>
          <t>VÄSTRA GÖTALANDS LÄN</t>
        </is>
      </c>
      <c r="G24" t="inlineStr">
        <is>
          <t>MARIESTAD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Svinrot</t>
        </is>
      </c>
      <c r="V24">
        <f>HYPERLINK("https://klasma.github.io/Logging_1493/artfynd/A 27444-2023 artfynd.xlsx", "A 27444-2023")</f>
        <v/>
      </c>
      <c r="W24">
        <f>HYPERLINK("https://klasma.github.io/Logging_1493/kartor/A 27444-2023 karta.png", "A 27444-2023")</f>
        <v/>
      </c>
      <c r="Y24">
        <f>HYPERLINK("https://klasma.github.io/Logging_1493/klagomål/A 27444-2023 FSC-klagomål.docx", "A 27444-2023")</f>
        <v/>
      </c>
      <c r="Z24">
        <f>HYPERLINK("https://klasma.github.io/Logging_1493/klagomålsmail/A 27444-2023 FSC-klagomål mail.docx", "A 27444-2023")</f>
        <v/>
      </c>
      <c r="AA24">
        <f>HYPERLINK("https://klasma.github.io/Logging_1493/tillsyn/A 27444-2023 tillsynsbegäran.docx", "A 27444-2023")</f>
        <v/>
      </c>
      <c r="AB24">
        <f>HYPERLINK("https://klasma.github.io/Logging_1493/tillsynsmail/A 27444-2023 tillsynsbegäran mail.docx", "A 27444-2023")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46220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HYPERLINK("https://klasma.github.io/Logging_1493/artfynd/A 29151-2025 artfynd.xlsx", "A 29151-2025")</f>
        <v/>
      </c>
      <c r="W25">
        <f>HYPERLINK("https://klasma.github.io/Logging_1493/kartor/A 29151-2025 karta.png", "A 29151-2025")</f>
        <v/>
      </c>
      <c r="Y25">
        <f>HYPERLINK("https://klasma.github.io/Logging_1493/klagomål/A 29151-2025 FSC-klagomål.docx", "A 29151-2025")</f>
        <v/>
      </c>
      <c r="Z25">
        <f>HYPERLINK("https://klasma.github.io/Logging_1493/klagomålsmail/A 29151-2025 FSC-klagomål mail.docx", "A 29151-2025")</f>
        <v/>
      </c>
      <c r="AA25">
        <f>HYPERLINK("https://klasma.github.io/Logging_1493/tillsyn/A 29151-2025 tillsynsbegäran.docx", "A 29151-2025")</f>
        <v/>
      </c>
      <c r="AB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46220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Blodticka</t>
        </is>
      </c>
      <c r="V26">
        <f>HYPERLINK("https://klasma.github.io/Logging_1493/artfynd/A 29152-2025 artfynd.xlsx", "A 29152-2025")</f>
        <v/>
      </c>
      <c r="W26">
        <f>HYPERLINK("https://klasma.github.io/Logging_1493/kartor/A 29152-2025 karta.png", "A 29152-2025")</f>
        <v/>
      </c>
      <c r="Y26">
        <f>HYPERLINK("https://klasma.github.io/Logging_1493/klagomål/A 29152-2025 FSC-klagomål.docx", "A 29152-2025")</f>
        <v/>
      </c>
      <c r="Z26">
        <f>HYPERLINK("https://klasma.github.io/Logging_1493/klagomålsmail/A 29152-2025 FSC-klagomål mail.docx", "A 29152-2025")</f>
        <v/>
      </c>
      <c r="AA26">
        <f>HYPERLINK("https://klasma.github.io/Logging_1493/tillsyn/A 29152-2025 tillsynsbegäran.docx", "A 29152-2025")</f>
        <v/>
      </c>
      <c r="AB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46220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HYPERLINK("https://klasma.github.io/Logging_1493/artfynd/A 51220-2025 artfynd.xlsx", "A 51220-2025")</f>
        <v/>
      </c>
      <c r="W27">
        <f>HYPERLINK("https://klasma.github.io/Logging_1493/kartor/A 51220-2025 karta.png", "A 51220-2025")</f>
        <v/>
      </c>
      <c r="Y27">
        <f>HYPERLINK("https://klasma.github.io/Logging_1493/klagomål/A 51220-2025 FSC-klagomål.docx", "A 51220-2025")</f>
        <v/>
      </c>
      <c r="Z27">
        <f>HYPERLINK("https://klasma.github.io/Logging_1493/klagomålsmail/A 51220-2025 FSC-klagomål mail.docx", "A 51220-2025")</f>
        <v/>
      </c>
      <c r="AA27">
        <f>HYPERLINK("https://klasma.github.io/Logging_1493/tillsyn/A 51220-2025 tillsynsbegäran.docx", "A 51220-2025")</f>
        <v/>
      </c>
      <c r="AB27">
        <f>HYPERLINK("https://klasma.github.io/Logging_1493/tillsynsmail/A 51220-2025 tillsynsbegäran mail.docx", "A 51220-2025")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46220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Gullklöver</t>
        </is>
      </c>
      <c r="V28">
        <f>HYPERLINK("https://klasma.github.io/Logging_1493/artfynd/A 17272-2023 artfynd.xlsx", "A 17272-2023")</f>
        <v/>
      </c>
      <c r="W28">
        <f>HYPERLINK("https://klasma.github.io/Logging_1493/kartor/A 17272-2023 karta.png", "A 17272-2023")</f>
        <v/>
      </c>
      <c r="Y28">
        <f>HYPERLINK("https://klasma.github.io/Logging_1493/klagomål/A 17272-2023 FSC-klagomål.docx", "A 17272-2023")</f>
        <v/>
      </c>
      <c r="Z28">
        <f>HYPERLINK("https://klasma.github.io/Logging_1493/klagomålsmail/A 17272-2023 FSC-klagomål mail.docx", "A 17272-2023")</f>
        <v/>
      </c>
      <c r="AA28">
        <f>HYPERLINK("https://klasma.github.io/Logging_1493/tillsyn/A 17272-2023 tillsynsbegäran.docx", "A 17272-2023")</f>
        <v/>
      </c>
      <c r="AB28">
        <f>HYPERLINK("https://klasma.github.io/Logging_1493/tillsynsmail/A 17272-2023 tillsynsbegäran mail.docx", "A 17272-2023")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46220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Svartvit flugsnappare</t>
        </is>
      </c>
      <c r="V29">
        <f>HYPERLINK("https://klasma.github.io/Logging_1493/artfynd/A 7578-2025 artfynd.xlsx", "A 7578-2025")</f>
        <v/>
      </c>
      <c r="W29">
        <f>HYPERLINK("https://klasma.github.io/Logging_1493/kartor/A 7578-2025 karta.png", "A 7578-2025")</f>
        <v/>
      </c>
      <c r="Y29">
        <f>HYPERLINK("https://klasma.github.io/Logging_1493/klagomål/A 7578-2025 FSC-klagomål.docx", "A 7578-2025")</f>
        <v/>
      </c>
      <c r="Z29">
        <f>HYPERLINK("https://klasma.github.io/Logging_1493/klagomålsmail/A 7578-2025 FSC-klagomål mail.docx", "A 7578-2025")</f>
        <v/>
      </c>
      <c r="AA29">
        <f>HYPERLINK("https://klasma.github.io/Logging_1493/tillsyn/A 7578-2025 tillsynsbegäran.docx", "A 7578-2025")</f>
        <v/>
      </c>
      <c r="AB29">
        <f>HYPERLINK("https://klasma.github.io/Logging_1493/tillsynsmail/A 7578-2025 tillsynsbegäran mail.docx", "A 7578-2025")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46220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HYPERLINK("https://klasma.github.io/Logging_1493/artfynd/A 59316-2025 artfynd.xlsx", "A 59316-2025")</f>
        <v/>
      </c>
      <c r="W30">
        <f>HYPERLINK("https://klasma.github.io/Logging_1493/kartor/A 59316-2025 karta.png", "A 59316-2025")</f>
        <v/>
      </c>
      <c r="Y30">
        <f>HYPERLINK("https://klasma.github.io/Logging_1493/klagomål/A 59316-2025 FSC-klagomål.docx", "A 59316-2025")</f>
        <v/>
      </c>
      <c r="Z30">
        <f>HYPERLINK("https://klasma.github.io/Logging_1493/klagomålsmail/A 59316-2025 FSC-klagomål mail.docx", "A 59316-2025")</f>
        <v/>
      </c>
      <c r="AA30">
        <f>HYPERLINK("https://klasma.github.io/Logging_1493/tillsyn/A 59316-2025 tillsynsbegäran.docx", "A 59316-2025")</f>
        <v/>
      </c>
      <c r="AB30">
        <f>HYPERLINK("https://klasma.github.io/Logging_1493/tillsynsmail/A 59316-2025 tillsynsbegäran mail.docx", "A 59316-2025")</f>
        <v/>
      </c>
    </row>
    <row r="31" ht="15" customHeight="1">
      <c r="A31" t="inlineStr">
        <is>
          <t>A 7612-2023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46220</v>
      </c>
      <c r="F31" t="inlineStr">
        <is>
          <t>VÄSTRA GÖTALANDS LÄN</t>
        </is>
      </c>
      <c r="G31" t="inlineStr">
        <is>
          <t>MARIESTAD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Skogsödla</t>
        </is>
      </c>
      <c r="V31">
        <f>HYPERLINK("https://klasma.github.io/Logging_1493/artfynd/A 7612-2023 artfynd.xlsx", "A 7612-2023")</f>
        <v/>
      </c>
      <c r="W31">
        <f>HYPERLINK("https://klasma.github.io/Logging_1493/kartor/A 7612-2023 karta.png", "A 7612-2023")</f>
        <v/>
      </c>
      <c r="Y31">
        <f>HYPERLINK("https://klasma.github.io/Logging_1493/klagomål/A 7612-2023 FSC-klagomål.docx", "A 7612-2023")</f>
        <v/>
      </c>
      <c r="Z31">
        <f>HYPERLINK("https://klasma.github.io/Logging_1493/klagomålsmail/A 7612-2023 FSC-klagomål mail.docx", "A 7612-2023")</f>
        <v/>
      </c>
      <c r="AA31">
        <f>HYPERLINK("https://klasma.github.io/Logging_1493/tillsyn/A 7612-2023 tillsynsbegäran.docx", "A 7612-2023")</f>
        <v/>
      </c>
      <c r="AB31">
        <f>HYPERLINK("https://klasma.github.io/Logging_1493/tillsynsmail/A 7612-2023 tillsynsbegäran mail.docx", "A 7612-2023")</f>
        <v/>
      </c>
    </row>
    <row r="32" ht="15" customHeight="1">
      <c r="A32" t="inlineStr">
        <is>
          <t>A 42647-2023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46220</v>
      </c>
      <c r="F32" t="inlineStr">
        <is>
          <t>VÄSTRA GÖTALANDS LÄN</t>
        </is>
      </c>
      <c r="G32" t="inlineStr">
        <is>
          <t>MARIESTAD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Ärtsångare</t>
        </is>
      </c>
      <c r="V32">
        <f>HYPERLINK("https://klasma.github.io/Logging_1493/artfynd/A 42647-2023 artfynd.xlsx", "A 42647-2023")</f>
        <v/>
      </c>
      <c r="W32">
        <f>HYPERLINK("https://klasma.github.io/Logging_1493/kartor/A 42647-2023 karta.png", "A 42647-2023")</f>
        <v/>
      </c>
      <c r="Y32">
        <f>HYPERLINK("https://klasma.github.io/Logging_1493/klagomål/A 42647-2023 FSC-klagomål.docx", "A 42647-2023")</f>
        <v/>
      </c>
      <c r="Z32">
        <f>HYPERLINK("https://klasma.github.io/Logging_1493/klagomålsmail/A 42647-2023 FSC-klagomål mail.docx", "A 42647-2023")</f>
        <v/>
      </c>
      <c r="AA32">
        <f>HYPERLINK("https://klasma.github.io/Logging_1493/tillsyn/A 42647-2023 tillsynsbegäran.docx", "A 42647-2023")</f>
        <v/>
      </c>
      <c r="AB32">
        <f>HYPERLINK("https://klasma.github.io/Logging_1493/tillsynsmail/A 42647-2023 tillsynsbegäran mail.docx", "A 42647-2023")</f>
        <v/>
      </c>
    </row>
    <row r="33" ht="15" customHeight="1">
      <c r="A33" t="inlineStr">
        <is>
          <t>A 12379-2026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46220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Älg</t>
        </is>
      </c>
      <c r="V33">
        <f>HYPERLINK("https://klasma.github.io/Logging_1493/artfynd/A 12379-2026 artfynd.xlsx", "A 12379-2026")</f>
        <v/>
      </c>
      <c r="W33">
        <f>HYPERLINK("https://klasma.github.io/Logging_1493/kartor/A 12379-2026 karta.png", "A 12379-2026")</f>
        <v/>
      </c>
      <c r="Y33">
        <f>HYPERLINK("https://klasma.github.io/Logging_1493/klagomål/A 12379-2026 FSC-klagomål.docx", "A 12379-2026")</f>
        <v/>
      </c>
      <c r="Z33">
        <f>HYPERLINK("https://klasma.github.io/Logging_1493/klagomålsmail/A 12379-2026 FSC-klagomål mail.docx", "A 12379-2026")</f>
        <v/>
      </c>
      <c r="AA33">
        <f>HYPERLINK("https://klasma.github.io/Logging_1493/tillsyn/A 12379-2026 tillsynsbegäran.docx", "A 12379-2026")</f>
        <v/>
      </c>
      <c r="AB33">
        <f>HYPERLINK("https://klasma.github.io/Logging_1493/tillsynsmail/A 12379-2026 tillsynsbegäran mail.docx", "A 12379-2026")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46220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Bivråk</t>
        </is>
      </c>
      <c r="V34">
        <f>HYPERLINK("https://klasma.github.io/Logging_1493/artfynd/A 15052-2023 artfynd.xlsx", "A 15052-2023")</f>
        <v/>
      </c>
      <c r="W34">
        <f>HYPERLINK("https://klasma.github.io/Logging_1493/kartor/A 15052-2023 karta.png", "A 15052-2023")</f>
        <v/>
      </c>
      <c r="Y34">
        <f>HYPERLINK("https://klasma.github.io/Logging_1493/klagomål/A 15052-2023 FSC-klagomål.docx", "A 15052-2023")</f>
        <v/>
      </c>
      <c r="Z34">
        <f>HYPERLINK("https://klasma.github.io/Logging_1493/klagomålsmail/A 15052-2023 FSC-klagomål mail.docx", "A 15052-2023")</f>
        <v/>
      </c>
      <c r="AA34">
        <f>HYPERLINK("https://klasma.github.io/Logging_1493/tillsyn/A 15052-2023 tillsynsbegäran.docx", "A 15052-2023")</f>
        <v/>
      </c>
      <c r="AB34">
        <f>HYPERLINK("https://klasma.github.io/Logging_1493/tillsynsmail/A 15052-2023 tillsynsbegäran mail.docx", "A 15052-2023")</f>
        <v/>
      </c>
      <c r="AC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46220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Nattviol</t>
        </is>
      </c>
      <c r="V35">
        <f>HYPERLINK("https://klasma.github.io/Logging_1493/artfynd/A 38580-2023 artfynd.xlsx", "A 38580-2023")</f>
        <v/>
      </c>
      <c r="W35">
        <f>HYPERLINK("https://klasma.github.io/Logging_1493/kartor/A 38580-2023 karta.png", "A 38580-2023")</f>
        <v/>
      </c>
      <c r="Y35">
        <f>HYPERLINK("https://klasma.github.io/Logging_1493/klagomål/A 38580-2023 FSC-klagomål.docx", "A 38580-2023")</f>
        <v/>
      </c>
      <c r="Z35">
        <f>HYPERLINK("https://klasma.github.io/Logging_1493/klagomålsmail/A 38580-2023 FSC-klagomål mail.docx", "A 38580-2023")</f>
        <v/>
      </c>
      <c r="AA35">
        <f>HYPERLINK("https://klasma.github.io/Logging_1493/tillsyn/A 38580-2023 tillsynsbegäran.docx", "A 38580-2023")</f>
        <v/>
      </c>
      <c r="AB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46220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Grovticka</t>
        </is>
      </c>
      <c r="V36">
        <f>HYPERLINK("https://klasma.github.io/Logging_1493/artfynd/A 18176-2025 artfynd.xlsx", "A 18176-2025")</f>
        <v/>
      </c>
      <c r="W36">
        <f>HYPERLINK("https://klasma.github.io/Logging_1493/kartor/A 18176-2025 karta.png", "A 18176-2025")</f>
        <v/>
      </c>
      <c r="Y36">
        <f>HYPERLINK("https://klasma.github.io/Logging_1493/klagomål/A 18176-2025 FSC-klagomål.docx", "A 18176-2025")</f>
        <v/>
      </c>
      <c r="Z36">
        <f>HYPERLINK("https://klasma.github.io/Logging_1493/klagomålsmail/A 18176-2025 FSC-klagomål mail.docx", "A 18176-2025")</f>
        <v/>
      </c>
      <c r="AA36">
        <f>HYPERLINK("https://klasma.github.io/Logging_1493/tillsyn/A 18176-2025 tillsynsbegäran.docx", "A 18176-2025")</f>
        <v/>
      </c>
      <c r="AB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46220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Lönnlav</t>
        </is>
      </c>
      <c r="V37">
        <f>HYPERLINK("https://klasma.github.io/Logging_1493/artfynd/A 49233-2023 artfynd.xlsx", "A 49233-2023")</f>
        <v/>
      </c>
      <c r="W37">
        <f>HYPERLINK("https://klasma.github.io/Logging_1493/kartor/A 49233-2023 karta.png", "A 49233-2023")</f>
        <v/>
      </c>
      <c r="Y37">
        <f>HYPERLINK("https://klasma.github.io/Logging_1493/klagomål/A 49233-2023 FSC-klagomål.docx", "A 49233-2023")</f>
        <v/>
      </c>
      <c r="Z37">
        <f>HYPERLINK("https://klasma.github.io/Logging_1493/klagomålsmail/A 49233-2023 FSC-klagomål mail.docx", "A 49233-2023")</f>
        <v/>
      </c>
      <c r="AA37">
        <f>HYPERLINK("https://klasma.github.io/Logging_1493/tillsyn/A 49233-2023 tillsynsbegäran.docx", "A 49233-2023")</f>
        <v/>
      </c>
      <c r="AB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46220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Nattviol</t>
        </is>
      </c>
      <c r="V38">
        <f>HYPERLINK("https://klasma.github.io/Logging_1493/artfynd/A 30652-2023 artfynd.xlsx", "A 30652-2023")</f>
        <v/>
      </c>
      <c r="W38">
        <f>HYPERLINK("https://klasma.github.io/Logging_1493/kartor/A 30652-2023 karta.png", "A 30652-2023")</f>
        <v/>
      </c>
      <c r="Y38">
        <f>HYPERLINK("https://klasma.github.io/Logging_1493/klagomål/A 30652-2023 FSC-klagomål.docx", "A 30652-2023")</f>
        <v/>
      </c>
      <c r="Z38">
        <f>HYPERLINK("https://klasma.github.io/Logging_1493/klagomålsmail/A 30652-2023 FSC-klagomål mail.docx", "A 30652-2023")</f>
        <v/>
      </c>
      <c r="AA38">
        <f>HYPERLINK("https://klasma.github.io/Logging_1493/tillsyn/A 30652-2023 tillsynsbegäran.docx", "A 30652-2023")</f>
        <v/>
      </c>
      <c r="AB38">
        <f>HYPERLINK("https://klasma.github.io/Logging_1493/tillsynsmail/A 30652-2023 tillsynsbegäran mail.docx", "A 30652-2023")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46220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HYPERLINK("https://klasma.github.io/Logging_1493/artfynd/A 9650-2025 artfynd.xlsx", "A 9650-2025")</f>
        <v/>
      </c>
      <c r="W39">
        <f>HYPERLINK("https://klasma.github.io/Logging_1493/kartor/A 9650-2025 karta.png", "A 9650-2025")</f>
        <v/>
      </c>
      <c r="Y39">
        <f>HYPERLINK("https://klasma.github.io/Logging_1493/klagomål/A 9650-2025 FSC-klagomål.docx", "A 9650-2025")</f>
        <v/>
      </c>
      <c r="Z39">
        <f>HYPERLINK("https://klasma.github.io/Logging_1493/klagomålsmail/A 9650-2025 FSC-klagomål mail.docx", "A 9650-2025")</f>
        <v/>
      </c>
      <c r="AA39">
        <f>HYPERLINK("https://klasma.github.io/Logging_1493/tillsyn/A 9650-2025 tillsynsbegäran.docx", "A 9650-2025")</f>
        <v/>
      </c>
      <c r="AB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46220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Revlummer</t>
        </is>
      </c>
      <c r="V40">
        <f>HYPERLINK("https://klasma.github.io/Logging_1493/artfynd/S 669-2025 artfynd.xlsx", "S 669-2025")</f>
        <v/>
      </c>
      <c r="W40">
        <f>HYPERLINK("https://klasma.github.io/Logging_1493/kartor/S 669-2025 karta.png", "S 669-2025")</f>
        <v/>
      </c>
      <c r="Y40">
        <f>HYPERLINK("https://klasma.github.io/Logging_1493/klagomål/S 669-2025 FSC-klagomål.docx", "S 669-2025")</f>
        <v/>
      </c>
      <c r="Z40">
        <f>HYPERLINK("https://klasma.github.io/Logging_1493/klagomålsmail/S 669-2025 FSC-klagomål mail.docx", "S 669-2025")</f>
        <v/>
      </c>
      <c r="AA40">
        <f>HYPERLINK("https://klasma.github.io/Logging_1493/tillsyn/S 669-2025 tillsynsbegäran.docx", "S 669-2025")</f>
        <v/>
      </c>
      <c r="AB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46220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HYPERLINK("https://klasma.github.io/Logging_1493/artfynd/S 1616-2025 artfynd.xlsx", "S 1616-2025")</f>
        <v/>
      </c>
      <c r="W41">
        <f>HYPERLINK("https://klasma.github.io/Logging_1493/kartor/S 1616-2025 karta.png", "S 1616-2025")</f>
        <v/>
      </c>
      <c r="Y41">
        <f>HYPERLINK("https://klasma.github.io/Logging_1493/klagomål/S 1616-2025 FSC-klagomål.docx", "S 1616-2025")</f>
        <v/>
      </c>
      <c r="Z41">
        <f>HYPERLINK("https://klasma.github.io/Logging_1493/klagomålsmail/S 1616-2025 FSC-klagomål mail.docx", "S 1616-2025")</f>
        <v/>
      </c>
      <c r="AA41">
        <f>HYPERLINK("https://klasma.github.io/Logging_1493/tillsyn/S 1616-2025 tillsynsbegäran.docx", "S 1616-2025")</f>
        <v/>
      </c>
      <c r="AB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46220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Blodticka</t>
        </is>
      </c>
      <c r="V42">
        <f>HYPERLINK("https://klasma.github.io/Logging_1493/artfynd/S 1867-2025 artfynd.xlsx", "S 1867-2025")</f>
        <v/>
      </c>
      <c r="W42">
        <f>HYPERLINK("https://klasma.github.io/Logging_1493/kartor/S 1867-2025 karta.png", "S 1867-2025")</f>
        <v/>
      </c>
      <c r="Y42">
        <f>HYPERLINK("https://klasma.github.io/Logging_1493/klagomål/S 1867-2025 FSC-klagomål.docx", "S 1867-2025")</f>
        <v/>
      </c>
      <c r="Z42">
        <f>HYPERLINK("https://klasma.github.io/Logging_1493/klagomålsmail/S 1867-2025 FSC-klagomål mail.docx", "S 1867-2025")</f>
        <v/>
      </c>
      <c r="AA42">
        <f>HYPERLINK("https://klasma.github.io/Logging_1493/tillsyn/S 1867-2025 tillsynsbegäran.docx", "S 1867-2025")</f>
        <v/>
      </c>
      <c r="AB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46220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Oxtungssvamp</t>
        </is>
      </c>
      <c r="V43">
        <f>HYPERLINK("https://klasma.github.io/Logging_1493/artfynd/S 484-2025 artfynd.xlsx", "S 484-2025")</f>
        <v/>
      </c>
      <c r="W43">
        <f>HYPERLINK("https://klasma.github.io/Logging_1493/kartor/S 484-2025 karta.png", "S 484-2025")</f>
        <v/>
      </c>
      <c r="Y43">
        <f>HYPERLINK("https://klasma.github.io/Logging_1493/klagomål/S 484-2025 FSC-klagomål.docx", "S 484-2025")</f>
        <v/>
      </c>
      <c r="Z43">
        <f>HYPERLINK("https://klasma.github.io/Logging_1493/klagomålsmail/S 484-2025 FSC-klagomål mail.docx", "S 484-2025")</f>
        <v/>
      </c>
      <c r="AA43">
        <f>HYPERLINK("https://klasma.github.io/Logging_1493/tillsyn/S 484-2025 tillsynsbegäran.docx", "S 484-2025")</f>
        <v/>
      </c>
      <c r="AB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46220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HYPERLINK("https://klasma.github.io/Logging_1493/artfynd/S 483-2025 artfynd.xlsx", "S 483-2025")</f>
        <v/>
      </c>
      <c r="W44">
        <f>HYPERLINK("https://klasma.github.io/Logging_1493/kartor/S 483-2025 karta.png", "S 483-2025")</f>
        <v/>
      </c>
      <c r="Y44">
        <f>HYPERLINK("https://klasma.github.io/Logging_1493/klagomål/S 483-2025 FSC-klagomål.docx", "S 483-2025")</f>
        <v/>
      </c>
      <c r="Z44">
        <f>HYPERLINK("https://klasma.github.io/Logging_1493/klagomålsmail/S 483-2025 FSC-klagomål mail.docx", "S 483-2025")</f>
        <v/>
      </c>
      <c r="AA44">
        <f>HYPERLINK("https://klasma.github.io/Logging_1493/tillsyn/S 483-2025 tillsynsbegäran.docx", "S 483-2025")</f>
        <v/>
      </c>
      <c r="AB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46220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46220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46220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46220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46220</v>
      </c>
      <c r="F49" t="inlineStr">
        <is>
          <t>VÄSTRA GÖTALANDS LÄN</t>
        </is>
      </c>
      <c r="G49" t="inlineStr">
        <is>
          <t>MARIESTAD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44464-2022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46220</v>
      </c>
      <c r="F50" t="inlineStr">
        <is>
          <t>VÄSTRA GÖTALANDS LÄN</t>
        </is>
      </c>
      <c r="G50" t="inlineStr">
        <is>
          <t>MARIESTAD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46220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46220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46220</v>
      </c>
      <c r="F53" t="inlineStr">
        <is>
          <t>VÄSTRA GÖTALANDS LÄN</t>
        </is>
      </c>
      <c r="G53" t="inlineStr">
        <is>
          <t>MARIESTAD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51153-2021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44461</v>
      </c>
      <c r="E54" s="1" t="n">
        <v>46220</v>
      </c>
      <c r="F54" t="inlineStr">
        <is>
          <t>VÄSTRA GÖTALANDS LÄN</t>
        </is>
      </c>
      <c r="G54" t="inlineStr">
        <is>
          <t>MARIESTAD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46220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46220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46220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44766</v>
      </c>
      <c r="E58" s="1" t="n">
        <v>46220</v>
      </c>
      <c r="F58" t="inlineStr">
        <is>
          <t>VÄSTRA GÖTALANDS LÄN</t>
        </is>
      </c>
      <c r="G58" t="inlineStr">
        <is>
          <t>MARIESTAD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53758-2022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46220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46220</v>
      </c>
      <c r="F60" t="inlineStr">
        <is>
          <t>VÄSTRA GÖTALANDS LÄN</t>
        </is>
      </c>
      <c r="G60" t="inlineStr">
        <is>
          <t>MARIESTAD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46220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38054-2021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44404</v>
      </c>
      <c r="E62" s="1" t="n">
        <v>46220</v>
      </c>
      <c r="F62" t="inlineStr">
        <is>
          <t>VÄSTRA GÖTALANDS LÄN</t>
        </is>
      </c>
      <c r="G62" t="inlineStr">
        <is>
          <t>MARIESTAD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46220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46220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46220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46220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46220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46220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46220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46220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46220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46220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46220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46220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46220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46220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46220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46220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46220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46220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46220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46220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46220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44574</v>
      </c>
      <c r="E84" s="1" t="n">
        <v>46220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46220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45705</v>
      </c>
      <c r="E86" s="1" t="n">
        <v>46220</v>
      </c>
      <c r="F86" t="inlineStr">
        <is>
          <t>VÄSTRA GÖTALANDS LÄN</t>
        </is>
      </c>
      <c r="G86" t="inlineStr">
        <is>
          <t>MARIESTAD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11147-2022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46220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48297-2024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46220</v>
      </c>
      <c r="F88" t="inlineStr">
        <is>
          <t>VÄSTRA GÖTALANDS LÄN</t>
        </is>
      </c>
      <c r="G88" t="inlineStr">
        <is>
          <t>MARIESTAD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46220</v>
      </c>
      <c r="F89" t="inlineStr">
        <is>
          <t>VÄSTRA GÖTALANDS LÄN</t>
        </is>
      </c>
      <c r="G89" t="inlineStr">
        <is>
          <t>MARIESTAD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46220</v>
      </c>
      <c r="F90" t="inlineStr">
        <is>
          <t>VÄSTRA GÖTALANDS LÄN</t>
        </is>
      </c>
      <c r="G90" t="inlineStr">
        <is>
          <t>MARIESTAD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46220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27451-2023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46220</v>
      </c>
      <c r="F92" t="inlineStr">
        <is>
          <t>VÄSTRA GÖTALANDS LÄN</t>
        </is>
      </c>
      <c r="G92" t="inlineStr">
        <is>
          <t>MARIESTAD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26345-2024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46220</v>
      </c>
      <c r="F93" t="inlineStr">
        <is>
          <t>VÄSTRA GÖTALANDS LÄN</t>
        </is>
      </c>
      <c r="G93" t="inlineStr">
        <is>
          <t>MARIESTAD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46523-2022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46220</v>
      </c>
      <c r="F94" t="inlineStr">
        <is>
          <t>VÄSTRA GÖTALANDS LÄN</t>
        </is>
      </c>
      <c r="G94" t="inlineStr">
        <is>
          <t>MARIESTAD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50327-2024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46220</v>
      </c>
      <c r="F95" t="inlineStr">
        <is>
          <t>VÄSTRA GÖTALANDS LÄN</t>
        </is>
      </c>
      <c r="G95" t="inlineStr">
        <is>
          <t>MARIESTAD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66771-2021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44521</v>
      </c>
      <c r="E96" s="1" t="n">
        <v>46220</v>
      </c>
      <c r="F96" t="inlineStr">
        <is>
          <t>VÄSTRA GÖTALANDS LÄN</t>
        </is>
      </c>
      <c r="G96" t="inlineStr">
        <is>
          <t>MARIESTAD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49184-2023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46220</v>
      </c>
      <c r="F97" t="inlineStr">
        <is>
          <t>VÄSTRA GÖTALANDS LÄN</t>
        </is>
      </c>
      <c r="G97" t="inlineStr">
        <is>
          <t>MARIESTAD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46220</v>
      </c>
      <c r="F98" t="inlineStr">
        <is>
          <t>VÄSTRA GÖTALANDS LÄN</t>
        </is>
      </c>
      <c r="G98" t="inlineStr">
        <is>
          <t>MARIESTAD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52869-2024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45610</v>
      </c>
      <c r="E99" s="1" t="n">
        <v>46220</v>
      </c>
      <c r="F99" t="inlineStr">
        <is>
          <t>VÄSTRA GÖTALANDS LÄN</t>
        </is>
      </c>
      <c r="G99" t="inlineStr">
        <is>
          <t>MARIESTAD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50575-2024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46220</v>
      </c>
      <c r="F100" t="inlineStr">
        <is>
          <t>VÄSTRA GÖTALANDS LÄN</t>
        </is>
      </c>
      <c r="G100" t="inlineStr">
        <is>
          <t>MARIESTAD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24495-2025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46220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24510-2025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46220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46220</v>
      </c>
      <c r="F103" t="inlineStr">
        <is>
          <t>VÄSTRA GÖTALANDS LÄN</t>
        </is>
      </c>
      <c r="G103" t="inlineStr">
        <is>
          <t>MARIESTAD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46220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28053-2022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46220</v>
      </c>
      <c r="F105" t="inlineStr">
        <is>
          <t>VÄSTRA GÖTALANDS LÄN</t>
        </is>
      </c>
      <c r="G105" t="inlineStr">
        <is>
          <t>MARIESTAD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46029</v>
      </c>
      <c r="E106" s="1" t="n">
        <v>46220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46220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24503-2025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46220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70295-2021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44536</v>
      </c>
      <c r="E109" s="1" t="n">
        <v>46220</v>
      </c>
      <c r="F109" t="inlineStr">
        <is>
          <t>VÄSTRA GÖTALANDS LÄN</t>
        </is>
      </c>
      <c r="G109" t="inlineStr">
        <is>
          <t>MARIESTAD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19553-2022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44693</v>
      </c>
      <c r="E110" s="1" t="n">
        <v>46220</v>
      </c>
      <c r="F110" t="inlineStr">
        <is>
          <t>VÄSTRA GÖTALANDS LÄN</t>
        </is>
      </c>
      <c r="G110" t="inlineStr">
        <is>
          <t>MARIESTAD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7418-2023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46220</v>
      </c>
      <c r="F111" t="inlineStr">
        <is>
          <t>VÄSTRA GÖTALANDS LÄN</t>
        </is>
      </c>
      <c r="G111" t="inlineStr">
        <is>
          <t>MARIESTAD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25799-2025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46220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46220</v>
      </c>
      <c r="F113" t="inlineStr">
        <is>
          <t>VÄSTRA GÖTALANDS LÄN</t>
        </is>
      </c>
      <c r="G113" t="inlineStr">
        <is>
          <t>MARIESTAD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11414-2023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44993</v>
      </c>
      <c r="E114" s="1" t="n">
        <v>46220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25946-2025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46220</v>
      </c>
      <c r="F115" t="inlineStr">
        <is>
          <t>VÄSTRA GÖTALANDS LÄN</t>
        </is>
      </c>
      <c r="G115" t="inlineStr">
        <is>
          <t>MARIESTAD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56054-2023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45240</v>
      </c>
      <c r="E116" s="1" t="n">
        <v>46220</v>
      </c>
      <c r="F116" t="inlineStr">
        <is>
          <t>VÄSTRA GÖTALANDS LÄN</t>
        </is>
      </c>
      <c r="G116" t="inlineStr">
        <is>
          <t>MARIESTAD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35047-2022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44797</v>
      </c>
      <c r="E117" s="1" t="n">
        <v>46220</v>
      </c>
      <c r="F117" t="inlineStr">
        <is>
          <t>VÄSTRA GÖTALANDS LÄN</t>
        </is>
      </c>
      <c r="G117" t="inlineStr">
        <is>
          <t>MARIESTAD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16713-2025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46220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46220</v>
      </c>
      <c r="F119" t="inlineStr">
        <is>
          <t>VÄSTRA GÖTALANDS LÄN</t>
        </is>
      </c>
      <c r="G119" t="inlineStr">
        <is>
          <t>MARIESTAD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46220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7033-2024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46220</v>
      </c>
      <c r="F121" t="inlineStr">
        <is>
          <t>VÄSTRA GÖTALANDS LÄN</t>
        </is>
      </c>
      <c r="G121" t="inlineStr">
        <is>
          <t>MARIESTAD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62772-2023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46220</v>
      </c>
      <c r="F122" t="inlineStr">
        <is>
          <t>VÄSTRA GÖTALANDS LÄN</t>
        </is>
      </c>
      <c r="G122" t="inlineStr">
        <is>
          <t>MARIESTAD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40952-2025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46220</v>
      </c>
      <c r="F123" t="inlineStr">
        <is>
          <t>VÄSTRA GÖTALANDS LÄN</t>
        </is>
      </c>
      <c r="G123" t="inlineStr">
        <is>
          <t>MARIESTAD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11729-2024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46220</v>
      </c>
      <c r="F124" t="inlineStr">
        <is>
          <t>VÄSTRA GÖTALANDS LÄN</t>
        </is>
      </c>
      <c r="G124" t="inlineStr">
        <is>
          <t>MARIESTAD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28012-2025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45817</v>
      </c>
      <c r="E125" s="1" t="n">
        <v>46220</v>
      </c>
      <c r="F125" t="inlineStr">
        <is>
          <t>VÄSTRA GÖTALANDS LÄN</t>
        </is>
      </c>
      <c r="G125" t="inlineStr">
        <is>
          <t>MARIESTAD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28313-2025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46220</v>
      </c>
      <c r="F126" t="inlineStr">
        <is>
          <t>VÄSTRA GÖTALANDS LÄN</t>
        </is>
      </c>
      <c r="G126" t="inlineStr">
        <is>
          <t>MARIESTAD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28449-2025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46220</v>
      </c>
      <c r="F127" t="inlineStr">
        <is>
          <t>VÄSTRA GÖTALANDS LÄN</t>
        </is>
      </c>
      <c r="G127" t="inlineStr">
        <is>
          <t>MARIESTAD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61601-2023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46220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28956-2025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46220</v>
      </c>
      <c r="F129" t="inlineStr">
        <is>
          <t>VÄSTRA GÖTALANDS LÄN</t>
        </is>
      </c>
      <c r="G129" t="inlineStr">
        <is>
          <t>MARIESTAD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28899-2025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46220</v>
      </c>
      <c r="F130" t="inlineStr">
        <is>
          <t>VÄSTRA GÖTALANDS LÄN</t>
        </is>
      </c>
      <c r="G130" t="inlineStr">
        <is>
          <t>MARIESTAD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28902-2025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46220</v>
      </c>
      <c r="F131" t="inlineStr">
        <is>
          <t>VÄSTRA GÖTALANDS LÄN</t>
        </is>
      </c>
      <c r="G131" t="inlineStr">
        <is>
          <t>MARIESTAD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29805-2025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46220</v>
      </c>
      <c r="F132" t="inlineStr">
        <is>
          <t>VÄSTRA GÖTALANDS LÄN</t>
        </is>
      </c>
      <c r="G132" t="inlineStr">
        <is>
          <t>MARIESTAD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46220</v>
      </c>
      <c r="F133" t="inlineStr">
        <is>
          <t>VÄSTRA GÖTALANDS LÄN</t>
        </is>
      </c>
      <c r="G133" t="inlineStr">
        <is>
          <t>MARIESTAD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46220</v>
      </c>
      <c r="F134" t="inlineStr">
        <is>
          <t>VÄSTRA GÖTALANDS LÄN</t>
        </is>
      </c>
      <c r="G134" t="inlineStr">
        <is>
          <t>MARIESTAD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46220</v>
      </c>
      <c r="F135" t="inlineStr">
        <is>
          <t>VÄSTRA GÖTALANDS LÄN</t>
        </is>
      </c>
      <c r="G135" t="inlineStr">
        <is>
          <t>MARIESTAD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46220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43090-2025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46220</v>
      </c>
      <c r="F137" t="inlineStr">
        <is>
          <t>VÄSTRA GÖTALANDS LÄN</t>
        </is>
      </c>
      <c r="G137" t="inlineStr">
        <is>
          <t>MARIESTAD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30413-2025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46220</v>
      </c>
      <c r="F138" t="inlineStr">
        <is>
          <t>VÄSTRA GÖTALANDS LÄN</t>
        </is>
      </c>
      <c r="G138" t="inlineStr">
        <is>
          <t>MARIESTAD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46220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42161-2021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44426</v>
      </c>
      <c r="E140" s="1" t="n">
        <v>46220</v>
      </c>
      <c r="F140" t="inlineStr">
        <is>
          <t>VÄSTRA GÖTALANDS LÄN</t>
        </is>
      </c>
      <c r="G140" t="inlineStr">
        <is>
          <t>MARIESTAD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43580-2025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46220</v>
      </c>
      <c r="F141" t="inlineStr">
        <is>
          <t>VÄSTRA GÖTALANDS LÄN</t>
        </is>
      </c>
      <c r="G141" t="inlineStr">
        <is>
          <t>MARIESTAD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28050-2022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46220</v>
      </c>
      <c r="F142" t="inlineStr">
        <is>
          <t>VÄSTRA GÖTALANDS LÄN</t>
        </is>
      </c>
      <c r="G142" t="inlineStr">
        <is>
          <t>MARIESTAD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28056-2022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46220</v>
      </c>
      <c r="F143" t="inlineStr">
        <is>
          <t>VÄSTRA GÖTALANDS LÄN</t>
        </is>
      </c>
      <c r="G143" t="inlineStr">
        <is>
          <t>MARIESTAD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70259-2021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46220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14288-2024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46220</v>
      </c>
      <c r="F145" t="inlineStr">
        <is>
          <t>VÄSTRA GÖTALANDS LÄN</t>
        </is>
      </c>
      <c r="G145" t="inlineStr">
        <is>
          <t>MARIESTAD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46220</v>
      </c>
      <c r="F146" t="inlineStr">
        <is>
          <t>VÄSTRA GÖTALANDS LÄN</t>
        </is>
      </c>
      <c r="G146" t="inlineStr">
        <is>
          <t>MARIESTAD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46220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46220</v>
      </c>
      <c r="F148" t="inlineStr">
        <is>
          <t>VÄSTRA GÖTALANDS LÄN</t>
        </is>
      </c>
      <c r="G148" t="inlineStr">
        <is>
          <t>MARIESTAD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54717-2022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44883</v>
      </c>
      <c r="E149" s="1" t="n">
        <v>46220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39437-2021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44414</v>
      </c>
      <c r="E150" s="1" t="n">
        <v>46220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15206-2025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46220</v>
      </c>
      <c r="F151" t="inlineStr">
        <is>
          <t>VÄSTRA GÖTALANDS LÄN</t>
        </is>
      </c>
      <c r="G151" t="inlineStr">
        <is>
          <t>MARIESTAD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45199</v>
      </c>
      <c r="E152" s="1" t="n">
        <v>46220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46220</v>
      </c>
      <c r="F153" t="inlineStr">
        <is>
          <t>VÄSTRA GÖTALANDS LÄN</t>
        </is>
      </c>
      <c r="G153" t="inlineStr">
        <is>
          <t>MARIESTAD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46220</v>
      </c>
      <c r="F154" t="inlineStr">
        <is>
          <t>VÄSTRA GÖTALANDS LÄN</t>
        </is>
      </c>
      <c r="G154" t="inlineStr">
        <is>
          <t>MARIESTAD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46220</v>
      </c>
      <c r="F155" t="inlineStr">
        <is>
          <t>VÄSTRA GÖTALANDS LÄN</t>
        </is>
      </c>
      <c r="G155" t="inlineStr">
        <is>
          <t>MARIESTAD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46220</v>
      </c>
      <c r="F156" t="inlineStr">
        <is>
          <t>VÄSTRA GÖTALANDS LÄN</t>
        </is>
      </c>
      <c r="G156" t="inlineStr">
        <is>
          <t>MARIESTAD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46220</v>
      </c>
      <c r="F157" t="inlineStr">
        <is>
          <t>VÄSTRA GÖTALANDS LÄN</t>
        </is>
      </c>
      <c r="G157" t="inlineStr">
        <is>
          <t>MARIESTAD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45873</v>
      </c>
      <c r="E158" s="1" t="n">
        <v>46220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37041-2025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46220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31384-2022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44774</v>
      </c>
      <c r="E160" s="1" t="n">
        <v>46220</v>
      </c>
      <c r="F160" t="inlineStr">
        <is>
          <t>VÄSTRA GÖTALANDS LÄN</t>
        </is>
      </c>
      <c r="G160" t="inlineStr">
        <is>
          <t>MARIESTAD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46220</v>
      </c>
      <c r="F161" t="inlineStr">
        <is>
          <t>VÄSTRA GÖTALANDS LÄN</t>
        </is>
      </c>
      <c r="G161" t="inlineStr">
        <is>
          <t>MARIESTAD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45764</v>
      </c>
      <c r="E162" s="1" t="n">
        <v>46220</v>
      </c>
      <c r="F162" t="inlineStr">
        <is>
          <t>VÄSTRA GÖTALANDS LÄN</t>
        </is>
      </c>
      <c r="G162" t="inlineStr">
        <is>
          <t>MARIESTAD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11814-2023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46220</v>
      </c>
      <c r="F163" t="inlineStr">
        <is>
          <t>VÄSTRA GÖTALANDS LÄN</t>
        </is>
      </c>
      <c r="G163" t="inlineStr">
        <is>
          <t>MARIESTAD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46220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46220</v>
      </c>
      <c r="F165" t="inlineStr">
        <is>
          <t>VÄSTRA GÖTALANDS LÄN</t>
        </is>
      </c>
      <c r="G165" t="inlineStr">
        <is>
          <t>MARIESTAD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13315-2022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46220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38915-2025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46220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38950-2025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46220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38947-2025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46220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Sveaskog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43466-2022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44836</v>
      </c>
      <c r="E170" s="1" t="n">
        <v>46220</v>
      </c>
      <c r="F170" t="inlineStr">
        <is>
          <t>VÄSTRA GÖTALANDS LÄN</t>
        </is>
      </c>
      <c r="G170" t="inlineStr">
        <is>
          <t>MARIESTAD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19261-2025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45769</v>
      </c>
      <c r="E171" s="1" t="n">
        <v>46220</v>
      </c>
      <c r="F171" t="inlineStr">
        <is>
          <t>VÄSTRA GÖTALANDS LÄN</t>
        </is>
      </c>
      <c r="G171" t="inlineStr">
        <is>
          <t>MARIESTAD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19268-2025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45769</v>
      </c>
      <c r="E172" s="1" t="n">
        <v>46220</v>
      </c>
      <c r="F172" t="inlineStr">
        <is>
          <t>VÄSTRA GÖTALANDS LÄN</t>
        </is>
      </c>
      <c r="G172" t="inlineStr">
        <is>
          <t>MARIESTAD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46220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53104-2025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46220</v>
      </c>
      <c r="F174" t="inlineStr">
        <is>
          <t>VÄSTRA GÖTALANDS LÄN</t>
        </is>
      </c>
      <c r="G174" t="inlineStr">
        <is>
          <t>MARIESTAD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51776-2023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46220</v>
      </c>
      <c r="F175" t="inlineStr">
        <is>
          <t>VÄSTRA GÖTALANDS LÄN</t>
        </is>
      </c>
      <c r="G175" t="inlineStr">
        <is>
          <t>MARIESTAD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46220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45636-2022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44843</v>
      </c>
      <c r="E177" s="1" t="n">
        <v>46220</v>
      </c>
      <c r="F177" t="inlineStr">
        <is>
          <t>VÄSTRA GÖTALANDS LÄN</t>
        </is>
      </c>
      <c r="G177" t="inlineStr">
        <is>
          <t>MARIESTAD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53118-2025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46220</v>
      </c>
      <c r="F178" t="inlineStr">
        <is>
          <t>VÄSTRA GÖTALANDS LÄN</t>
        </is>
      </c>
      <c r="G178" t="inlineStr">
        <is>
          <t>MARIESTAD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46220</v>
      </c>
      <c r="F179" t="inlineStr">
        <is>
          <t>VÄSTRA GÖTALANDS LÄN</t>
        </is>
      </c>
      <c r="G179" t="inlineStr">
        <is>
          <t>MARIESTAD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46220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Kyrkan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46220</v>
      </c>
      <c r="F181" t="inlineStr">
        <is>
          <t>VÄSTRA GÖTALANDS LÄN</t>
        </is>
      </c>
      <c r="G181" t="inlineStr">
        <is>
          <t>MARIESTAD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46220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54828-2025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46220</v>
      </c>
      <c r="F183" t="inlineStr">
        <is>
          <t>VÄSTRA GÖTALANDS LÄN</t>
        </is>
      </c>
      <c r="G183" t="inlineStr">
        <is>
          <t>MARIESTAD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46220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55744-2025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46220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Övriga Aktiebolag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46220</v>
      </c>
      <c r="F186" t="inlineStr">
        <is>
          <t>VÄSTRA GÖTALANDS LÄN</t>
        </is>
      </c>
      <c r="G186" t="inlineStr">
        <is>
          <t>MARIESTAD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46220</v>
      </c>
      <c r="F187" t="inlineStr">
        <is>
          <t>VÄSTRA GÖTALANDS LÄN</t>
        </is>
      </c>
      <c r="G187" t="inlineStr">
        <is>
          <t>MARIESTAD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44936</v>
      </c>
      <c r="E188" s="1" t="n">
        <v>46220</v>
      </c>
      <c r="F188" t="inlineStr">
        <is>
          <t>VÄSTRA GÖTALANDS LÄN</t>
        </is>
      </c>
      <c r="G188" t="inlineStr">
        <is>
          <t>MARIESTAD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38114-2022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46220</v>
      </c>
      <c r="F189" t="inlineStr">
        <is>
          <t>VÄSTRA GÖTALANDS LÄN</t>
        </is>
      </c>
      <c r="G189" t="inlineStr">
        <is>
          <t>MARIESTAD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46893-2023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46220</v>
      </c>
      <c r="F190" t="inlineStr">
        <is>
          <t>VÄSTRA GÖTALANDS LÄN</t>
        </is>
      </c>
      <c r="G190" t="inlineStr">
        <is>
          <t>MARIESTAD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47777-2023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46220</v>
      </c>
      <c r="F191" t="inlineStr">
        <is>
          <t>VÄSTRA GÖTALANDS LÄN</t>
        </is>
      </c>
      <c r="G191" t="inlineStr">
        <is>
          <t>MARIESTAD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10182-2023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46220</v>
      </c>
      <c r="F192" t="inlineStr">
        <is>
          <t>VÄSTRA GÖTALANDS LÄN</t>
        </is>
      </c>
      <c r="G192" t="inlineStr">
        <is>
          <t>MARIESTAD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7587-2026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46061</v>
      </c>
      <c r="E193" s="1" t="n">
        <v>46220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44620</v>
      </c>
      <c r="E194" s="1" t="n">
        <v>46220</v>
      </c>
      <c r="F194" t="inlineStr">
        <is>
          <t>VÄSTRA GÖTALANDS LÄN</t>
        </is>
      </c>
      <c r="G194" t="inlineStr">
        <is>
          <t>MARIESTAD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49389-2023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45211</v>
      </c>
      <c r="E195" s="1" t="n">
        <v>46220</v>
      </c>
      <c r="F195" t="inlineStr">
        <is>
          <t>VÄSTRA GÖTALANDS LÄN</t>
        </is>
      </c>
      <c r="G195" t="inlineStr">
        <is>
          <t>MARIESTAD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49563-2023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46220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62089-2023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46220</v>
      </c>
      <c r="F197" t="inlineStr">
        <is>
          <t>VÄSTRA GÖTALANDS LÄN</t>
        </is>
      </c>
      <c r="G197" t="inlineStr">
        <is>
          <t>MARIESTAD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46220</v>
      </c>
      <c r="F198" t="inlineStr">
        <is>
          <t>VÄSTRA GÖTALANDS LÄN</t>
        </is>
      </c>
      <c r="G198" t="inlineStr">
        <is>
          <t>MARIESTAD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8146-2023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46220</v>
      </c>
      <c r="F199" t="inlineStr">
        <is>
          <t>VÄSTRA GÖTALANDS LÄN</t>
        </is>
      </c>
      <c r="G199" t="inlineStr">
        <is>
          <t>MARIESTAD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45070</v>
      </c>
      <c r="E200" s="1" t="n">
        <v>46220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33571-2023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45131</v>
      </c>
      <c r="E201" s="1" t="n">
        <v>46220</v>
      </c>
      <c r="F201" t="inlineStr">
        <is>
          <t>VÄSTRA GÖTALANDS LÄN</t>
        </is>
      </c>
      <c r="G201" t="inlineStr">
        <is>
          <t>MARIESTAD</t>
        </is>
      </c>
      <c r="I201" t="n">
        <v>16.1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46220</v>
      </c>
      <c r="F202" t="inlineStr">
        <is>
          <t>VÄSTRA GÖTALANDS LÄN</t>
        </is>
      </c>
      <c r="G202" t="inlineStr">
        <is>
          <t>MARIESTAD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61863-2025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46220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11815-2023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46220</v>
      </c>
      <c r="F204" t="inlineStr">
        <is>
          <t>VÄSTRA GÖTALANDS LÄN</t>
        </is>
      </c>
      <c r="G204" t="inlineStr">
        <is>
          <t>MARIESTAD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16867-2023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46220</v>
      </c>
      <c r="F205" t="inlineStr">
        <is>
          <t>VÄSTRA GÖTALANDS LÄN</t>
        </is>
      </c>
      <c r="G205" t="inlineStr">
        <is>
          <t>MARIESTAD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40651-2024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46220</v>
      </c>
      <c r="F206" t="inlineStr">
        <is>
          <t>VÄSTRA GÖTALANDS LÄN</t>
        </is>
      </c>
      <c r="G206" t="inlineStr">
        <is>
          <t>MARIESTAD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49188-2023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46220</v>
      </c>
      <c r="F207" t="inlineStr">
        <is>
          <t>VÄSTRA GÖTALANDS LÄN</t>
        </is>
      </c>
      <c r="G207" t="inlineStr">
        <is>
          <t>MARIESTAD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49193-2023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46220</v>
      </c>
      <c r="F208" t="inlineStr">
        <is>
          <t>VÄSTRA GÖTALANDS LÄN</t>
        </is>
      </c>
      <c r="G208" t="inlineStr">
        <is>
          <t>MARIESTAD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46220</v>
      </c>
      <c r="F209" t="inlineStr">
        <is>
          <t>VÄSTRA GÖTALANDS LÄN</t>
        </is>
      </c>
      <c r="G209" t="inlineStr">
        <is>
          <t>MARIESTAD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46220</v>
      </c>
      <c r="F210" t="inlineStr">
        <is>
          <t>VÄSTRA GÖTALANDS LÄN</t>
        </is>
      </c>
      <c r="G210" t="inlineStr">
        <is>
          <t>MARIESTAD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9558-2026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46071</v>
      </c>
      <c r="E211" s="1" t="n">
        <v>46220</v>
      </c>
      <c r="F211" t="inlineStr">
        <is>
          <t>VÄSTRA GÖTALANDS LÄN</t>
        </is>
      </c>
      <c r="G211" t="inlineStr">
        <is>
          <t>MARIESTAD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9563-2026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46220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62633-2025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46008</v>
      </c>
      <c r="E213" s="1" t="n">
        <v>46220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46220</v>
      </c>
      <c r="F214" t="inlineStr">
        <is>
          <t>VÄSTRA GÖTALANDS LÄN</t>
        </is>
      </c>
      <c r="G214" t="inlineStr">
        <is>
          <t>MARIESTAD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46220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46220</v>
      </c>
      <c r="F216" t="inlineStr">
        <is>
          <t>VÄSTRA GÖTALANDS LÄN</t>
        </is>
      </c>
      <c r="G216" t="inlineStr">
        <is>
          <t>MARIESTAD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35581-2023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45135</v>
      </c>
      <c r="E217" s="1" t="n">
        <v>46220</v>
      </c>
      <c r="F217" t="inlineStr">
        <is>
          <t>VÄSTRA GÖTALANDS LÄN</t>
        </is>
      </c>
      <c r="G217" t="inlineStr">
        <is>
          <t>MARIESTAD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46220</v>
      </c>
      <c r="F218" t="inlineStr">
        <is>
          <t>VÄSTRA GÖTALANDS LÄN</t>
        </is>
      </c>
      <c r="G218" t="inlineStr">
        <is>
          <t>MARIESTAD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11216-2026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46080</v>
      </c>
      <c r="E219" s="1" t="n">
        <v>46220</v>
      </c>
      <c r="F219" t="inlineStr">
        <is>
          <t>VÄSTRA GÖTALANDS LÄN</t>
        </is>
      </c>
      <c r="G219" t="inlineStr">
        <is>
          <t>MARIESTAD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12767-2024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45384</v>
      </c>
      <c r="E220" s="1" t="n">
        <v>46220</v>
      </c>
      <c r="F220" t="inlineStr">
        <is>
          <t>VÄSTRA GÖTALANDS LÄN</t>
        </is>
      </c>
      <c r="G220" t="inlineStr">
        <is>
          <t>MARIESTAD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12380-2026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46220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12381-2026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46220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13655-2023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45006</v>
      </c>
      <c r="E223" s="1" t="n">
        <v>46220</v>
      </c>
      <c r="F223" t="inlineStr">
        <is>
          <t>VÄSTRA GÖTALANDS LÄN</t>
        </is>
      </c>
      <c r="G223" t="inlineStr">
        <is>
          <t>MARIESTAD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52626-2023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46220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44219-2023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46220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46220</v>
      </c>
      <c r="F226" t="inlineStr">
        <is>
          <t>VÄSTRA GÖTALANDS LÄN</t>
        </is>
      </c>
      <c r="G226" t="inlineStr">
        <is>
          <t>MARIESTAD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26688-2022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44739</v>
      </c>
      <c r="E227" s="1" t="n">
        <v>46220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18129-2025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46220</v>
      </c>
      <c r="F228" t="inlineStr">
        <is>
          <t>VÄSTRA GÖTALANDS LÄN</t>
        </is>
      </c>
      <c r="G228" t="inlineStr">
        <is>
          <t>MARIESTAD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46220</v>
      </c>
      <c r="F229" t="inlineStr">
        <is>
          <t>VÄSTRA GÖTALANDS LÄN</t>
        </is>
      </c>
      <c r="G229" t="inlineStr">
        <is>
          <t>MARIESTAD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46220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44756</v>
      </c>
      <c r="E231" s="1" t="n">
        <v>46220</v>
      </c>
      <c r="F231" t="inlineStr">
        <is>
          <t>VÄSTRA GÖTALANDS LÄN</t>
        </is>
      </c>
      <c r="G231" t="inlineStr">
        <is>
          <t>MARIESTAD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46220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59857-2024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45639</v>
      </c>
      <c r="E233" s="1" t="n">
        <v>46220</v>
      </c>
      <c r="F233" t="inlineStr">
        <is>
          <t>VÄSTRA GÖTALANDS LÄN</t>
        </is>
      </c>
      <c r="G233" t="inlineStr">
        <is>
          <t>MARIESTAD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36399-2024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45535</v>
      </c>
      <c r="E234" s="1" t="n">
        <v>46220</v>
      </c>
      <c r="F234" t="inlineStr">
        <is>
          <t>VÄSTRA GÖTALANDS LÄN</t>
        </is>
      </c>
      <c r="G234" t="inlineStr">
        <is>
          <t>MARIESTAD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57692-2023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45243</v>
      </c>
      <c r="E235" s="1" t="n">
        <v>46220</v>
      </c>
      <c r="F235" t="inlineStr">
        <is>
          <t>VÄSTRA GÖTALANDS LÄN</t>
        </is>
      </c>
      <c r="G235" t="inlineStr">
        <is>
          <t>MARIESTAD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17143-2024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45412</v>
      </c>
      <c r="E236" s="1" t="n">
        <v>46220</v>
      </c>
      <c r="F236" t="inlineStr">
        <is>
          <t>VÄSTRA GÖTALANDS LÄN</t>
        </is>
      </c>
      <c r="G236" t="inlineStr">
        <is>
          <t>MARIESTAD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17166-2024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45412</v>
      </c>
      <c r="E237" s="1" t="n">
        <v>46220</v>
      </c>
      <c r="F237" t="inlineStr">
        <is>
          <t>VÄSTRA GÖTALANDS LÄN</t>
        </is>
      </c>
      <c r="G237" t="inlineStr">
        <is>
          <t>MARIESTAD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37917-2024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46220</v>
      </c>
      <c r="F238" t="inlineStr">
        <is>
          <t>VÄSTRA GÖTALANDS LÄN</t>
        </is>
      </c>
      <c r="G238" t="inlineStr">
        <is>
          <t>MARIESTAD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46220</v>
      </c>
      <c r="F239" t="inlineStr">
        <is>
          <t>VÄSTRA GÖTALANDS LÄN</t>
        </is>
      </c>
      <c r="G239" t="inlineStr">
        <is>
          <t>MARIESTAD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62718-2023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46220</v>
      </c>
      <c r="F240" t="inlineStr">
        <is>
          <t>VÄSTRA GÖTALANDS LÄN</t>
        </is>
      </c>
      <c r="G240" t="inlineStr">
        <is>
          <t>MARIESTAD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35169-2024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45530</v>
      </c>
      <c r="E241" s="1" t="n">
        <v>46220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17249-2026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46119</v>
      </c>
      <c r="E242" s="1" t="n">
        <v>46220</v>
      </c>
      <c r="F242" t="inlineStr">
        <is>
          <t>VÄSTRA GÖTALANDS LÄN</t>
        </is>
      </c>
      <c r="G242" t="inlineStr">
        <is>
          <t>MARIESTAD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44572</v>
      </c>
      <c r="E243" s="1" t="n">
        <v>46220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Naturvårdsverket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58896-2022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44903</v>
      </c>
      <c r="E244" s="1" t="n">
        <v>46220</v>
      </c>
      <c r="F244" t="inlineStr">
        <is>
          <t>VÄSTRA GÖTALANDS LÄN</t>
        </is>
      </c>
      <c r="G244" t="inlineStr">
        <is>
          <t>MARIESTAD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62751-2023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46220</v>
      </c>
      <c r="F245" t="inlineStr">
        <is>
          <t>VÄSTRA GÖTALANDS LÄN</t>
        </is>
      </c>
      <c r="G245" t="inlineStr">
        <is>
          <t>MARIESTAD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11089-2023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44986</v>
      </c>
      <c r="E246" s="1" t="n">
        <v>46220</v>
      </c>
      <c r="F246" t="inlineStr">
        <is>
          <t>VÄSTRA GÖTALANDS LÄN</t>
        </is>
      </c>
      <c r="G246" t="inlineStr">
        <is>
          <t>MARIESTAD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50579-2023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45217</v>
      </c>
      <c r="E247" s="1" t="n">
        <v>46220</v>
      </c>
      <c r="F247" t="inlineStr">
        <is>
          <t>VÄSTRA GÖTALANDS LÄN</t>
        </is>
      </c>
      <c r="G247" t="inlineStr">
        <is>
          <t>MARIESTAD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46220</v>
      </c>
      <c r="F248" t="inlineStr">
        <is>
          <t>VÄSTRA GÖTALANDS LÄN</t>
        </is>
      </c>
      <c r="G248" t="inlineStr">
        <is>
          <t>MARIESTAD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46220</v>
      </c>
      <c r="F249" t="inlineStr">
        <is>
          <t>VÄSTRA GÖTALANDS LÄN</t>
        </is>
      </c>
      <c r="G249" t="inlineStr">
        <is>
          <t>MARIESTAD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14977-2023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45015</v>
      </c>
      <c r="E250" s="1" t="n">
        <v>46220</v>
      </c>
      <c r="F250" t="inlineStr">
        <is>
          <t>VÄSTRA GÖTALANDS LÄN</t>
        </is>
      </c>
      <c r="G250" t="inlineStr">
        <is>
          <t>MARIESTAD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53097-2022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44876</v>
      </c>
      <c r="E251" s="1" t="n">
        <v>46220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Kyrkan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58077-2022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44900</v>
      </c>
      <c r="E252" s="1" t="n">
        <v>46220</v>
      </c>
      <c r="F252" t="inlineStr">
        <is>
          <t>VÄSTRA GÖTALANDS LÄN</t>
        </is>
      </c>
      <c r="G252" t="inlineStr">
        <is>
          <t>MARIESTAD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38108-2022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46220</v>
      </c>
      <c r="F253" t="inlineStr">
        <is>
          <t>VÄSTRA GÖTALANDS LÄN</t>
        </is>
      </c>
      <c r="G253" t="inlineStr">
        <is>
          <t>MARIESTAD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44957</v>
      </c>
      <c r="E254" s="1" t="n">
        <v>46220</v>
      </c>
      <c r="F254" t="inlineStr">
        <is>
          <t>VÄSTRA GÖTALANDS LÄN</t>
        </is>
      </c>
      <c r="G254" t="inlineStr">
        <is>
          <t>MARIESTAD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40455-2023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45170</v>
      </c>
      <c r="E255" s="1" t="n">
        <v>46220</v>
      </c>
      <c r="F255" t="inlineStr">
        <is>
          <t>VÄSTRA GÖTALANDS LÄN</t>
        </is>
      </c>
      <c r="G255" t="inlineStr">
        <is>
          <t>MARIESTAD</t>
        </is>
      </c>
      <c r="I255" t="n">
        <v>34.9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11137-2024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46220</v>
      </c>
      <c r="F256" t="inlineStr">
        <is>
          <t>VÄSTRA GÖTALANDS LÄN</t>
        </is>
      </c>
      <c r="G256" t="inlineStr">
        <is>
          <t>MARIESTAD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10192-2022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44622</v>
      </c>
      <c r="E257" s="1" t="n">
        <v>46220</v>
      </c>
      <c r="F257" t="inlineStr">
        <is>
          <t>VÄSTRA GÖTALANDS LÄN</t>
        </is>
      </c>
      <c r="G257" t="inlineStr">
        <is>
          <t>MARIESTAD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32798-2024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46220</v>
      </c>
      <c r="F258" t="inlineStr">
        <is>
          <t>VÄSTRA GÖTALANDS LÄN</t>
        </is>
      </c>
      <c r="G258" t="inlineStr">
        <is>
          <t>MARIESTAD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39766-2023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45167</v>
      </c>
      <c r="E259" s="1" t="n">
        <v>46220</v>
      </c>
      <c r="F259" t="inlineStr">
        <is>
          <t>VÄSTRA GÖTALANDS LÄN</t>
        </is>
      </c>
      <c r="G259" t="inlineStr">
        <is>
          <t>MARIESTAD</t>
        </is>
      </c>
      <c r="I259" t="n">
        <v>26.5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62754-2023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46220</v>
      </c>
      <c r="F260" t="inlineStr">
        <is>
          <t>VÄSTRA GÖTALANDS LÄN</t>
        </is>
      </c>
      <c r="G260" t="inlineStr">
        <is>
          <t>MARIESTAD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62765-2023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46220</v>
      </c>
      <c r="F261" t="inlineStr">
        <is>
          <t>VÄSTRA GÖTALANDS LÄN</t>
        </is>
      </c>
      <c r="G261" t="inlineStr">
        <is>
          <t>MARIESTAD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49156-2023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46220</v>
      </c>
      <c r="F262" t="inlineStr">
        <is>
          <t>VÄSTRA GÖTALANDS LÄN</t>
        </is>
      </c>
      <c r="G262" t="inlineStr">
        <is>
          <t>MARIESTAD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8021-2024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45350</v>
      </c>
      <c r="E263" s="1" t="n">
        <v>46220</v>
      </c>
      <c r="F263" t="inlineStr">
        <is>
          <t>VÄSTRA GÖTALANDS LÄN</t>
        </is>
      </c>
      <c r="G263" t="inlineStr">
        <is>
          <t>MARIESTAD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37171-2025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45875</v>
      </c>
      <c r="E264" s="1" t="n">
        <v>46220</v>
      </c>
      <c r="F264" t="inlineStr">
        <is>
          <t>VÄSTRA GÖTALANDS LÄN</t>
        </is>
      </c>
      <c r="G264" t="inlineStr">
        <is>
          <t>MARIESTAD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41406-2024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46220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49200-2023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46220</v>
      </c>
      <c r="F266" t="inlineStr">
        <is>
          <t>VÄSTRA GÖTALANDS LÄN</t>
        </is>
      </c>
      <c r="G266" t="inlineStr">
        <is>
          <t>MARIESTAD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12011-2025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46220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11345-2023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46220</v>
      </c>
      <c r="F268" t="inlineStr">
        <is>
          <t>VÄSTRA GÖTALANDS LÄN</t>
        </is>
      </c>
      <c r="G268" t="inlineStr">
        <is>
          <t>MARIESTAD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7161-2025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46220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56344-2022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44890</v>
      </c>
      <c r="E270" s="1" t="n">
        <v>46220</v>
      </c>
      <c r="F270" t="inlineStr">
        <is>
          <t>VÄSTRA GÖTALANDS LÄN</t>
        </is>
      </c>
      <c r="G270" t="inlineStr">
        <is>
          <t>MARIESTAD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46220</v>
      </c>
      <c r="F271" t="inlineStr">
        <is>
          <t>VÄSTRA GÖTALANDS LÄN</t>
        </is>
      </c>
      <c r="G271" t="inlineStr">
        <is>
          <t>MARIESTAD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47194-2021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44447</v>
      </c>
      <c r="E272" s="1" t="n">
        <v>46220</v>
      </c>
      <c r="F272" t="inlineStr">
        <is>
          <t>VÄSTRA GÖTALANDS LÄN</t>
        </is>
      </c>
      <c r="G272" t="inlineStr">
        <is>
          <t>MARIESTAD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8771-2023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46220</v>
      </c>
      <c r="F273" t="inlineStr">
        <is>
          <t>VÄSTRA GÖTALANDS LÄN</t>
        </is>
      </c>
      <c r="G273" t="inlineStr">
        <is>
          <t>MARIESTAD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46220</v>
      </c>
      <c r="F274" t="inlineStr">
        <is>
          <t>VÄSTRA GÖTALANDS LÄN</t>
        </is>
      </c>
      <c r="G274" t="inlineStr">
        <is>
          <t>MARIESTAD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8849-2022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44614</v>
      </c>
      <c r="E275" s="1" t="n">
        <v>46220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38817-2022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44816</v>
      </c>
      <c r="E276" s="1" t="n">
        <v>46220</v>
      </c>
      <c r="F276" t="inlineStr">
        <is>
          <t>VÄSTRA GÖTALANDS LÄN</t>
        </is>
      </c>
      <c r="G276" t="inlineStr">
        <is>
          <t>MARIESTAD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46220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46220</v>
      </c>
      <c r="F278" t="inlineStr">
        <is>
          <t>VÄSTRA GÖTALANDS LÄN</t>
        </is>
      </c>
      <c r="G278" t="inlineStr">
        <is>
          <t>MARIESTAD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10500-2023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46220</v>
      </c>
      <c r="F279" t="inlineStr">
        <is>
          <t>VÄSTRA GÖTALANDS LÄN</t>
        </is>
      </c>
      <c r="G279" t="inlineStr">
        <is>
          <t>MARIESTAD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46220</v>
      </c>
      <c r="F280" t="inlineStr">
        <is>
          <t>VÄSTRA GÖTALANDS LÄN</t>
        </is>
      </c>
      <c r="G280" t="inlineStr">
        <is>
          <t>MARIESTAD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29857-2022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44756</v>
      </c>
      <c r="E281" s="1" t="n">
        <v>46220</v>
      </c>
      <c r="F281" t="inlineStr">
        <is>
          <t>VÄSTRA GÖTALANDS LÄN</t>
        </is>
      </c>
      <c r="G281" t="inlineStr">
        <is>
          <t>MARIESTAD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26912-2026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46185</v>
      </c>
      <c r="E282" s="1" t="n">
        <v>46220</v>
      </c>
      <c r="F282" t="inlineStr">
        <is>
          <t>VÄSTRA GÖTALANDS LÄN</t>
        </is>
      </c>
      <c r="G282" t="inlineStr">
        <is>
          <t>MARIESTAD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17139-2024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45412</v>
      </c>
      <c r="E283" s="1" t="n">
        <v>46220</v>
      </c>
      <c r="F283" t="inlineStr">
        <is>
          <t>VÄSTRA GÖTALANDS LÄN</t>
        </is>
      </c>
      <c r="G283" t="inlineStr">
        <is>
          <t>MARIESTAD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17165-2024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46220</v>
      </c>
      <c r="F284" t="inlineStr">
        <is>
          <t>VÄSTRA GÖTALANDS LÄN</t>
        </is>
      </c>
      <c r="G284" t="inlineStr">
        <is>
          <t>MARIESTAD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27116-2026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46220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7168-2023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46220</v>
      </c>
      <c r="F286" t="inlineStr">
        <is>
          <t>VÄSTRA GÖTALANDS LÄN</t>
        </is>
      </c>
      <c r="G286" t="inlineStr">
        <is>
          <t>MARIESTAD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60376-2021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46220</v>
      </c>
      <c r="F287" t="inlineStr">
        <is>
          <t>VÄSTRA GÖTALANDS LÄN</t>
        </is>
      </c>
      <c r="G287" t="inlineStr">
        <is>
          <t>MARIESTAD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46873-2023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45200</v>
      </c>
      <c r="E288" s="1" t="n">
        <v>46220</v>
      </c>
      <c r="F288" t="inlineStr">
        <is>
          <t>VÄSTRA GÖTALANDS LÄN</t>
        </is>
      </c>
      <c r="G288" t="inlineStr">
        <is>
          <t>MARIESTAD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48269-2024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46220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45709</v>
      </c>
      <c r="E290" s="1" t="n">
        <v>46220</v>
      </c>
      <c r="F290" t="inlineStr">
        <is>
          <t>VÄSTRA GÖTALANDS LÄN</t>
        </is>
      </c>
      <c r="G290" t="inlineStr">
        <is>
          <t>MARIESTAD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46220</v>
      </c>
      <c r="F291" t="inlineStr">
        <is>
          <t>VÄSTRA GÖTALANDS LÄN</t>
        </is>
      </c>
      <c r="G291" t="inlineStr">
        <is>
          <t>MARIESTAD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46220</v>
      </c>
      <c r="F292" t="inlineStr">
        <is>
          <t>VÄSTRA GÖTALANDS LÄN</t>
        </is>
      </c>
      <c r="G292" t="inlineStr">
        <is>
          <t>MARIESTAD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58598-2021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44489</v>
      </c>
      <c r="E293" s="1" t="n">
        <v>46220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65197-2023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45289</v>
      </c>
      <c r="E294" s="1" t="n">
        <v>46220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39116-2024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46220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22879-2026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46157</v>
      </c>
      <c r="E296" s="1" t="n">
        <v>46220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22878-2026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46157</v>
      </c>
      <c r="E297" s="1" t="n">
        <v>46220</v>
      </c>
      <c r="F297" t="inlineStr">
        <is>
          <t>VÄSTRA GÖTALANDS LÄN</t>
        </is>
      </c>
      <c r="G297" t="inlineStr">
        <is>
          <t>MARIESTAD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49566-2023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46220</v>
      </c>
      <c r="F298" t="inlineStr">
        <is>
          <t>VÄSTRA GÖTALANDS LÄN</t>
        </is>
      </c>
      <c r="G298" t="inlineStr">
        <is>
          <t>MARIESTAD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54225-2022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46220</v>
      </c>
      <c r="F299" t="inlineStr">
        <is>
          <t>VÄSTRA GÖTALANDS LÄN</t>
        </is>
      </c>
      <c r="G299" t="inlineStr">
        <is>
          <t>MARIESTAD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21361-2026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46142</v>
      </c>
      <c r="E300" s="1" t="n">
        <v>46220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24765-2024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46220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34253-2024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46220</v>
      </c>
      <c r="F302" t="inlineStr">
        <is>
          <t>VÄSTRA GÖTALANDS LÄN</t>
        </is>
      </c>
      <c r="G302" t="inlineStr">
        <is>
          <t>MARIESTAD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74081-2021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44553</v>
      </c>
      <c r="E303" s="1" t="n">
        <v>46220</v>
      </c>
      <c r="F303" t="inlineStr">
        <is>
          <t>VÄSTRA GÖTALANDS LÄN</t>
        </is>
      </c>
      <c r="G303" t="inlineStr">
        <is>
          <t>MARIESTAD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48267-2024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46220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23453-2026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46220</v>
      </c>
      <c r="F305" t="inlineStr">
        <is>
          <t>VÄSTRA GÖTALANDS LÄN</t>
        </is>
      </c>
      <c r="G305" t="inlineStr">
        <is>
          <t>MARIESTAD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23585-2026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46220</v>
      </c>
      <c r="F306" t="inlineStr">
        <is>
          <t>VÄSTRA GÖTALANDS LÄN</t>
        </is>
      </c>
      <c r="G306" t="inlineStr">
        <is>
          <t>MARIESTAD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29890-2026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46220</v>
      </c>
      <c r="F307" t="inlineStr">
        <is>
          <t>VÄSTRA GÖTALANDS LÄN</t>
        </is>
      </c>
      <c r="G307" t="inlineStr">
        <is>
          <t>MARIESTAD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13798-2022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44649</v>
      </c>
      <c r="E308" s="1" t="n">
        <v>46220</v>
      </c>
      <c r="F308" t="inlineStr">
        <is>
          <t>VÄSTRA GÖTALANDS LÄN</t>
        </is>
      </c>
      <c r="G308" t="inlineStr">
        <is>
          <t>MARIESTAD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23454-2026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46220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9610-2022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44617</v>
      </c>
      <c r="E310" s="1" t="n">
        <v>46220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Kyrkan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27452-2023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46220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46220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10842-2025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46220</v>
      </c>
      <c r="F313" t="inlineStr">
        <is>
          <t>VÄSTRA GÖTALANDS LÄN</t>
        </is>
      </c>
      <c r="G313" t="inlineStr">
        <is>
          <t>MARIESTAD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29668-2026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46220</v>
      </c>
      <c r="F314" t="inlineStr">
        <is>
          <t>VÄSTRA GÖTALANDS LÄN</t>
        </is>
      </c>
      <c r="G314" t="inlineStr">
        <is>
          <t>MARIESTAD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9410-2022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44616</v>
      </c>
      <c r="E315" s="1" t="n">
        <v>46220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29645-2026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46220</v>
      </c>
      <c r="F316" t="inlineStr">
        <is>
          <t>VÄSTRA GÖTALANDS LÄN</t>
        </is>
      </c>
      <c r="G316" t="inlineStr">
        <is>
          <t>MARIESTAD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30192-2026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46206</v>
      </c>
      <c r="E317" s="1" t="n">
        <v>46220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48273-2024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46220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22360-2023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46220</v>
      </c>
      <c r="F319" t="inlineStr">
        <is>
          <t>VÄSTRA GÖTALANDS LÄN</t>
        </is>
      </c>
      <c r="G319" t="inlineStr">
        <is>
          <t>MARIESTAD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46220</v>
      </c>
      <c r="F320" t="inlineStr">
        <is>
          <t>VÄSTRA GÖTALANDS LÄN</t>
        </is>
      </c>
      <c r="G320" t="inlineStr">
        <is>
          <t>MARIESTAD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12361-2023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46220</v>
      </c>
      <c r="F321" t="inlineStr">
        <is>
          <t>VÄSTRA GÖTALANDS LÄN</t>
        </is>
      </c>
      <c r="G321" t="inlineStr">
        <is>
          <t>MARIESTAD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46875-2023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45200</v>
      </c>
      <c r="E322" s="1" t="n">
        <v>46220</v>
      </c>
      <c r="F322" t="inlineStr">
        <is>
          <t>VÄSTRA GÖTALANDS LÄN</t>
        </is>
      </c>
      <c r="G322" t="inlineStr">
        <is>
          <t>MARIESTAD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35097-2024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45528</v>
      </c>
      <c r="E323" s="1" t="n">
        <v>46220</v>
      </c>
      <c r="F323" t="inlineStr">
        <is>
          <t>VÄSTRA GÖTALANDS LÄN</t>
        </is>
      </c>
      <c r="G323" t="inlineStr">
        <is>
          <t>MARIESTAD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49166-2023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46220</v>
      </c>
      <c r="F324" t="inlineStr">
        <is>
          <t>VÄSTRA GÖTALANDS LÄN</t>
        </is>
      </c>
      <c r="G324" t="inlineStr">
        <is>
          <t>MARIESTAD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46220</v>
      </c>
      <c r="F325" t="inlineStr">
        <is>
          <t>VÄSTRA GÖTALANDS LÄN</t>
        </is>
      </c>
      <c r="G325" t="inlineStr">
        <is>
          <t>MARIESTAD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24412-2026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46169</v>
      </c>
      <c r="E326" s="1" t="n">
        <v>46220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46555-2022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44848</v>
      </c>
      <c r="E327" s="1" t="n">
        <v>46220</v>
      </c>
      <c r="F327" t="inlineStr">
        <is>
          <t>VÄSTRA GÖTALANDS LÄN</t>
        </is>
      </c>
      <c r="G327" t="inlineStr">
        <is>
          <t>MARIESTAD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60812-2023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45260</v>
      </c>
      <c r="E328" s="1" t="n">
        <v>46220</v>
      </c>
      <c r="F328" t="inlineStr">
        <is>
          <t>VÄSTRA GÖTALANDS LÄN</t>
        </is>
      </c>
      <c r="G328" t="inlineStr">
        <is>
          <t>MARIESTAD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14291-2024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46220</v>
      </c>
      <c r="F329" t="inlineStr">
        <is>
          <t>VÄSTRA GÖTALANDS LÄN</t>
        </is>
      </c>
      <c r="G329" t="inlineStr">
        <is>
          <t>MARIESTAD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24731-2026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46220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24733-2026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46220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24730-2026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46220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32794-2024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45516</v>
      </c>
      <c r="E333" s="1" t="n">
        <v>46220</v>
      </c>
      <c r="F333" t="inlineStr">
        <is>
          <t>VÄSTRA GÖTALANDS LÄN</t>
        </is>
      </c>
      <c r="G333" t="inlineStr">
        <is>
          <t>MARIESTAD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24735-2026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46220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28162-2022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46220</v>
      </c>
      <c r="F335" t="inlineStr">
        <is>
          <t>VÄSTRA GÖTALANDS LÄN</t>
        </is>
      </c>
      <c r="G335" t="inlineStr">
        <is>
          <t>MARIESTAD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32799-2024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46220</v>
      </c>
      <c r="F336" t="inlineStr">
        <is>
          <t>VÄSTRA GÖTALANDS LÄN</t>
        </is>
      </c>
      <c r="G336" t="inlineStr">
        <is>
          <t>MARIESTAD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2391-2025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45674</v>
      </c>
      <c r="E337" s="1" t="n">
        <v>46220</v>
      </c>
      <c r="F337" t="inlineStr">
        <is>
          <t>VÄSTRA GÖTALANDS LÄN</t>
        </is>
      </c>
      <c r="G337" t="inlineStr">
        <is>
          <t>MARIESTAD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61716-2022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46220</v>
      </c>
      <c r="F338" t="inlineStr">
        <is>
          <t>VÄSTRA GÖTALANDS LÄN</t>
        </is>
      </c>
      <c r="G338" t="inlineStr">
        <is>
          <t>MARIESTAD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46220</v>
      </c>
      <c r="F339" t="inlineStr">
        <is>
          <t>VÄSTRA GÖTALANDS LÄN</t>
        </is>
      </c>
      <c r="G339" t="inlineStr">
        <is>
          <t>MARIESTAD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61603-2023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45265</v>
      </c>
      <c r="E340" s="1" t="n">
        <v>46220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49582-2023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46220</v>
      </c>
      <c r="F341" t="inlineStr">
        <is>
          <t>VÄSTRA GÖTALANDS LÄN</t>
        </is>
      </c>
      <c r="G341" t="inlineStr">
        <is>
          <t>MARIESTAD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10457-2025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46220</v>
      </c>
      <c r="F342" t="inlineStr">
        <is>
          <t>VÄSTRA GÖTALANDS LÄN</t>
        </is>
      </c>
      <c r="G342" t="inlineStr">
        <is>
          <t>MARIESTAD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46220</v>
      </c>
      <c r="F343" t="inlineStr">
        <is>
          <t>VÄSTRA GÖTALANDS LÄN</t>
        </is>
      </c>
      <c r="G343" t="inlineStr">
        <is>
          <t>MARIESTAD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10408-2025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46220</v>
      </c>
      <c r="F344" t="inlineStr">
        <is>
          <t>VÄSTRA GÖTALANDS LÄN</t>
        </is>
      </c>
      <c r="G344" t="inlineStr">
        <is>
          <t>MARIESTAD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21737-2025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46220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46220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21740-2025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46220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45684</v>
      </c>
      <c r="E348" s="1" t="n">
        <v>46220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Kyrkan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46655-2021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44445</v>
      </c>
      <c r="E349" s="1" t="n">
        <v>46220</v>
      </c>
      <c r="F349" t="inlineStr">
        <is>
          <t>VÄSTRA GÖTALANDS LÄN</t>
        </is>
      </c>
      <c r="G349" t="inlineStr">
        <is>
          <t>MARIESTAD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45307</v>
      </c>
      <c r="E350" s="1" t="n">
        <v>46220</v>
      </c>
      <c r="F350" t="inlineStr">
        <is>
          <t>VÄSTRA GÖTALANDS LÄN</t>
        </is>
      </c>
      <c r="G350" t="inlineStr">
        <is>
          <t>MARIESTAD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32796-2024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45516</v>
      </c>
      <c r="E351" s="1" t="n">
        <v>46220</v>
      </c>
      <c r="F351" t="inlineStr">
        <is>
          <t>VÄSTRA GÖTALANDS LÄN</t>
        </is>
      </c>
      <c r="G351" t="inlineStr">
        <is>
          <t>MARIESTAD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48324-2024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46220</v>
      </c>
      <c r="F352" t="inlineStr">
        <is>
          <t>VÄSTRA GÖTALANDS LÄN</t>
        </is>
      </c>
      <c r="G352" t="inlineStr">
        <is>
          <t>MARIESTAD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38376-2024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45545</v>
      </c>
      <c r="E353" s="1" t="n">
        <v>46220</v>
      </c>
      <c r="F353" t="inlineStr">
        <is>
          <t>VÄSTRA GÖTALANDS LÄN</t>
        </is>
      </c>
      <c r="G353" t="inlineStr">
        <is>
          <t>MARIESTAD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66772-2021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44521</v>
      </c>
      <c r="E354" s="1" t="n">
        <v>46220</v>
      </c>
      <c r="F354" t="inlineStr">
        <is>
          <t>VÄSTRA GÖTALANDS LÄN</t>
        </is>
      </c>
      <c r="G354" t="inlineStr">
        <is>
          <t>MARIESTAD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7580-2025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45705</v>
      </c>
      <c r="E355" s="1" t="n">
        <v>46220</v>
      </c>
      <c r="F355" t="inlineStr">
        <is>
          <t>VÄSTRA GÖTALANDS LÄN</t>
        </is>
      </c>
      <c r="G355" t="inlineStr">
        <is>
          <t>MARIESTAD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54263-2024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45616</v>
      </c>
      <c r="E356" s="1" t="n">
        <v>46220</v>
      </c>
      <c r="F356" t="inlineStr">
        <is>
          <t>VÄSTRA GÖTALANDS LÄN</t>
        </is>
      </c>
      <c r="G356" t="inlineStr">
        <is>
          <t>MARIESTAD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49385-2023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45211</v>
      </c>
      <c r="E357" s="1" t="n">
        <v>46220</v>
      </c>
      <c r="F357" t="inlineStr">
        <is>
          <t>VÄSTRA GÖTALANDS LÄN</t>
        </is>
      </c>
      <c r="G357" t="inlineStr">
        <is>
          <t>MARIESTAD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12001-2025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45728</v>
      </c>
      <c r="E358" s="1" t="n">
        <v>46220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45502</v>
      </c>
      <c r="E359" s="1" t="n">
        <v>46220</v>
      </c>
      <c r="F359" t="inlineStr">
        <is>
          <t>VÄSTRA GÖTALANDS LÄN</t>
        </is>
      </c>
      <c r="G359" t="inlineStr">
        <is>
          <t>MARIESTAD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8468-2025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46220</v>
      </c>
      <c r="F360" t="inlineStr">
        <is>
          <t>VÄSTRA GÖTALANDS LÄN</t>
        </is>
      </c>
      <c r="G360" t="inlineStr">
        <is>
          <t>MARIESTAD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22975-2025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45790</v>
      </c>
      <c r="E361" s="1" t="n">
        <v>46220</v>
      </c>
      <c r="F361" t="inlineStr">
        <is>
          <t>VÄSTRA GÖTALANDS LÄN</t>
        </is>
      </c>
      <c r="G361" t="inlineStr">
        <is>
          <t>MARIESTAD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9868-2025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45716</v>
      </c>
      <c r="E362" s="1" t="n">
        <v>46220</v>
      </c>
      <c r="F362" t="inlineStr">
        <is>
          <t>VÄSTRA GÖTALANDS LÄN</t>
        </is>
      </c>
      <c r="G362" t="inlineStr">
        <is>
          <t>MARIESTAD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46220</v>
      </c>
      <c r="F363" t="inlineStr">
        <is>
          <t>VÄSTRA GÖTALANDS LÄN</t>
        </is>
      </c>
      <c r="G363" t="inlineStr">
        <is>
          <t>MARIESTAD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4868-2024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45618</v>
      </c>
      <c r="E364" s="1" t="n">
        <v>46220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45757</v>
      </c>
      <c r="E365" s="1" t="n">
        <v>46220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>
      <c r="A366" t="inlineStr">
        <is>
          <t>S 359-2026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46064</v>
      </c>
      <c r="E366" s="1" t="n">
        <v>46220</v>
      </c>
      <c r="F366" t="inlineStr">
        <is>
          <t>VÄSTRA GÖTALANDS LÄN</t>
        </is>
      </c>
      <c r="G366" t="inlineStr">
        <is>
          <t>MARIESTAD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2026-07-17T01:41:43Z</dcterms:created>
  <dcterms:modified xmlns:dcterms="http://purl.org/dc/terms/" xmlns:xsi="http://www.w3.org/2001/XMLSchema-instance" xsi:type="dcterms:W3CDTF">2026-07-17T01:41:44Z</dcterms:modified>
</cp:coreProperties>
</file>