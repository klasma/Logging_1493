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46289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46289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46289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46289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46289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46289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67507-2021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44524</v>
      </c>
      <c r="E11" s="1" t="n">
        <v>46289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Sveaskog</t>
        </is>
      </c>
      <c r="I11" t="n">
        <v>23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Brandticka
Vågbandad barkbock</t>
        </is>
      </c>
      <c r="W11">
        <f>HYPERLINK("https://klasma.github.io/Logging_1493/artfynd/A 67507-2021 artfynd.xlsx", "A 67507-2021")</f>
        <v/>
      </c>
      <c r="X11">
        <f>HYPERLINK("https://klasma.github.io/Logging_1493/kartor/A 67507-2021 karta.png", "A 67507-2021")</f>
        <v/>
      </c>
      <c r="Y11">
        <f>HYPERLINK("https://klasma.github.io/Logging_1493/kartor_geotiff/A 67507-2021 georefererad karta.tif", "A 67507-2021")</f>
        <v/>
      </c>
      <c r="AA11">
        <f>HYPERLINK("https://klasma.github.io/Logging_1493/klagomål/A 67507-2021 FSC-klagomål.docx", "A 67507-2021")</f>
        <v/>
      </c>
      <c r="AB11">
        <f>HYPERLINK("https://klasma.github.io/Logging_1493/klagomålsmail/A 67507-2021 FSC-klagomål mail.docx", "A 67507-2021")</f>
        <v/>
      </c>
      <c r="AC11">
        <f>HYPERLINK("https://klasma.github.io/Logging_1493/tillsyn/A 67507-2021 tillsynsbegäran.docx", "A 67507-2021")</f>
        <v/>
      </c>
      <c r="AD11">
        <f>HYPERLINK("https://klasma.github.io/Logging_1493/tillsynsmail/A 67507-2021 tillsynsbegäran mail.docx", "A 67507-2021")</f>
        <v/>
      </c>
    </row>
    <row r="12" ht="15" customHeight="1">
      <c r="A12" t="inlineStr">
        <is>
          <t>A 50053-2023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45215</v>
      </c>
      <c r="E12" s="1" t="n">
        <v>46289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Grovticka</t>
        </is>
      </c>
      <c r="W12">
        <f>HYPERLINK("https://klasma.github.io/Logging_1493/artfynd/A 50053-2023 artfynd.xlsx", "A 50053-2023")</f>
        <v/>
      </c>
      <c r="X12">
        <f>HYPERLINK("https://klasma.github.io/Logging_1493/kartor/A 50053-2023 karta.png", "A 50053-2023")</f>
        <v/>
      </c>
      <c r="Y12">
        <f>HYPERLINK("https://klasma.github.io/Logging_1493/kartor_geotiff/A 50053-2023 georefererad karta.tif", "A 50053-2023")</f>
        <v/>
      </c>
      <c r="Z12">
        <f>HYPERLINK("https://klasma.github.io/Logging_1493/knärot/A 50053-2023 karta knärot.png", "A 50053-2023")</f>
        <v/>
      </c>
      <c r="AA12">
        <f>HYPERLINK("https://klasma.github.io/Logging_1493/klagomål/A 50053-2023 FSC-klagomål.docx", "A 50053-2023")</f>
        <v/>
      </c>
      <c r="AB12">
        <f>HYPERLINK("https://klasma.github.io/Logging_1493/klagomålsmail/A 50053-2023 FSC-klagomål mail.docx", "A 50053-2023")</f>
        <v/>
      </c>
      <c r="AC12">
        <f>HYPERLINK("https://klasma.github.io/Logging_1493/tillsyn/A 50053-2023 tillsynsbegäran.docx", "A 50053-2023")</f>
        <v/>
      </c>
      <c r="AD12">
        <f>HYPERLINK("https://klasma.github.io/Logging_1493/tillsynsmail/A 50053-2023 tillsynsbegäran mail.docx", "A 50053-2023")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46289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21503-2024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45441</v>
      </c>
      <c r="E14" s="1" t="n">
        <v>46289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Kommuner</t>
        </is>
      </c>
      <c r="I14" t="n">
        <v>3.3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Krusfrö
Svinrot</t>
        </is>
      </c>
      <c r="W14">
        <f>HYPERLINK("https://klasma.github.io/Logging_1493/artfynd/A 21503-2024 artfynd.xlsx", "A 21503-2024")</f>
        <v/>
      </c>
      <c r="X14">
        <f>HYPERLINK("https://klasma.github.io/Logging_1493/kartor/A 21503-2024 karta.png", "A 21503-2024")</f>
        <v/>
      </c>
      <c r="Y14">
        <f>HYPERLINK("https://klasma.github.io/Logging_1493/kartor_geotiff/A 21503-2024 georefererad karta.tif", "A 21503-2024")</f>
        <v/>
      </c>
      <c r="AA14">
        <f>HYPERLINK("https://klasma.github.io/Logging_1493/klagomål/A 21503-2024 FSC-klagomål.docx", "A 21503-2024")</f>
        <v/>
      </c>
      <c r="AB14">
        <f>HYPERLINK("https://klasma.github.io/Logging_1493/klagomålsmail/A 21503-2024 FSC-klagomål mail.docx", "A 21503-2024")</f>
        <v/>
      </c>
      <c r="AC14">
        <f>HYPERLINK("https://klasma.github.io/Logging_1493/tillsyn/A 21503-2024 tillsynsbegäran.docx", "A 21503-2024")</f>
        <v/>
      </c>
      <c r="AD14">
        <f>HYPERLINK("https://klasma.github.io/Logging_1493/tillsynsmail/A 21503-2024 tillsynsbegäran mail.docx", "A 21503-2024")</f>
        <v/>
      </c>
    </row>
    <row r="15" ht="15" customHeight="1">
      <c r="A15" t="inlineStr">
        <is>
          <t>A 57791-2021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46289</v>
      </c>
      <c r="F15" t="inlineStr">
        <is>
          <t>VÄSTRA GÖTALANDS LÄN</t>
        </is>
      </c>
      <c r="G15" t="inlineStr">
        <is>
          <t>MARIESTAD</t>
        </is>
      </c>
      <c r="I15" t="n">
        <v>30.8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Fyrflikig jordstjärna
Blåmossa</t>
        </is>
      </c>
      <c r="W15">
        <f>HYPERLINK("https://klasma.github.io/Logging_1493/artfynd/A 57791-2021 artfynd.xlsx", "A 57791-2021")</f>
        <v/>
      </c>
      <c r="X15">
        <f>HYPERLINK("https://klasma.github.io/Logging_1493/kartor/A 57791-2021 karta.png", "A 57791-2021")</f>
        <v/>
      </c>
      <c r="Y15">
        <f>HYPERLINK("https://klasma.github.io/Logging_1493/kartor_geotiff/A 57791-2021 georefererad karta.tif", "A 57791-2021")</f>
        <v/>
      </c>
      <c r="AA15">
        <f>HYPERLINK("https://klasma.github.io/Logging_1493/klagomål/A 57791-2021 FSC-klagomål.docx", "A 57791-2021")</f>
        <v/>
      </c>
      <c r="AB15">
        <f>HYPERLINK("https://klasma.github.io/Logging_1493/klagomålsmail/A 57791-2021 FSC-klagomål mail.docx", "A 57791-2021")</f>
        <v/>
      </c>
      <c r="AC15">
        <f>HYPERLINK("https://klasma.github.io/Logging_1493/tillsyn/A 57791-2021 tillsynsbegäran.docx", "A 57791-2021")</f>
        <v/>
      </c>
      <c r="AD15">
        <f>HYPERLINK("https://klasma.github.io/Logging_1493/tillsynsmail/A 57791-2021 tillsynsbegäran mail.docx", "A 57791-2021")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46289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46289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Blåsippa
Gullviva</t>
        </is>
      </c>
      <c r="W17">
        <f>HYPERLINK("https://klasma.github.io/Logging_1493/artfynd/A 47764-2023 artfynd.xlsx", "A 47764-2023")</f>
        <v/>
      </c>
      <c r="X17">
        <f>HYPERLINK("https://klasma.github.io/Logging_1493/kartor/A 47764-2023 karta.png", "A 47764-2023")</f>
        <v/>
      </c>
      <c r="Y17">
        <f>HYPERLINK("https://klasma.github.io/Logging_1493/kartor_geotiff/A 47764-2023 georefererad karta.tif", "A 47764-2023")</f>
        <v/>
      </c>
      <c r="AA17">
        <f>HYPERLINK("https://klasma.github.io/Logging_1493/klagomål/A 47764-2023 FSC-klagomål.docx", "A 47764-2023")</f>
        <v/>
      </c>
      <c r="AB17">
        <f>HYPERLINK("https://klasma.github.io/Logging_1493/klagomålsmail/A 47764-2023 FSC-klagomål mail.docx", "A 47764-2023")</f>
        <v/>
      </c>
      <c r="AC17">
        <f>HYPERLINK("https://klasma.github.io/Logging_1493/tillsyn/A 47764-2023 tillsynsbegäran.docx", "A 47764-2023")</f>
        <v/>
      </c>
      <c r="AD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46289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Skogshare
Spillkråka</t>
        </is>
      </c>
      <c r="W18">
        <f>HYPERLINK("https://klasma.github.io/Logging_1493/artfynd/A 46886-2023 artfynd.xlsx", "A 46886-2023")</f>
        <v/>
      </c>
      <c r="X18">
        <f>HYPERLINK("https://klasma.github.io/Logging_1493/kartor/A 46886-2023 karta.png", "A 46886-2023")</f>
        <v/>
      </c>
      <c r="Y18">
        <f>HYPERLINK("https://klasma.github.io/Logging_1493/kartor_geotiff/A 46886-2023 georefererad karta.tif", "A 46886-2023")</f>
        <v/>
      </c>
      <c r="AA18">
        <f>HYPERLINK("https://klasma.github.io/Logging_1493/klagomål/A 46886-2023 FSC-klagomål.docx", "A 46886-2023")</f>
        <v/>
      </c>
      <c r="AB18">
        <f>HYPERLINK("https://klasma.github.io/Logging_1493/klagomålsmail/A 46886-2023 FSC-klagomål mail.docx", "A 46886-2023")</f>
        <v/>
      </c>
      <c r="AC18">
        <f>HYPERLINK("https://klasma.github.io/Logging_1493/tillsyn/A 46886-2023 tillsynsbegäran.docx", "A 46886-2023")</f>
        <v/>
      </c>
      <c r="AD18">
        <f>HYPERLINK("https://klasma.github.io/Logging_1493/tillsynsmail/A 46886-2023 tillsynsbegäran mail.docx", "A 46886-2023")</f>
        <v/>
      </c>
      <c r="AE18">
        <f>HYPERLINK("https://klasma.github.io/Logging_1493/fåglar/A 46886-2023 prioriterade fågelarter.docx", "A 46886-2023")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46289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63287-2025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46009</v>
      </c>
      <c r="E20" s="1" t="n">
        <v>46289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Kyrkan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Ask
Tallticka</t>
        </is>
      </c>
      <c r="W20">
        <f>HYPERLINK("https://klasma.github.io/Logging_1493/artfynd/A 63287-2025 artfynd.xlsx", "A 63287-2025")</f>
        <v/>
      </c>
      <c r="X20">
        <f>HYPERLINK("https://klasma.github.io/Logging_1493/kartor/A 63287-2025 karta.png", "A 63287-2025")</f>
        <v/>
      </c>
      <c r="Y20">
        <f>HYPERLINK("https://klasma.github.io/Logging_1493/kartor_geotiff/A 63287-2025 georefererad karta.tif", "A 63287-2025")</f>
        <v/>
      </c>
      <c r="AA20">
        <f>HYPERLINK("https://klasma.github.io/Logging_1493/klagomål/A 63287-2025 FSC-klagomål.docx", "A 63287-2025")</f>
        <v/>
      </c>
      <c r="AB20">
        <f>HYPERLINK("https://klasma.github.io/Logging_1493/klagomålsmail/A 63287-2025 FSC-klagomål mail.docx", "A 63287-2025")</f>
        <v/>
      </c>
      <c r="AC20">
        <f>HYPERLINK("https://klasma.github.io/Logging_1493/tillsyn/A 63287-2025 tillsynsbegäran.docx", "A 63287-2025")</f>
        <v/>
      </c>
      <c r="AD20">
        <f>HYPERLINK("https://klasma.github.io/Logging_1493/tillsynsmail/A 63287-2025 tillsynsbegäran mail.docx", "A 63287-2025")</f>
        <v/>
      </c>
    </row>
    <row r="21" ht="15" customHeight="1">
      <c r="A21" t="inlineStr">
        <is>
          <t>A 27444-2023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45097</v>
      </c>
      <c r="E21" s="1" t="n">
        <v>46289</v>
      </c>
      <c r="F21" t="inlineStr">
        <is>
          <t>VÄSTRA GÖTALANDS LÄN</t>
        </is>
      </c>
      <c r="G21" t="inlineStr">
        <is>
          <t>MARIESTAD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Svinrot
Gullviva</t>
        </is>
      </c>
      <c r="W21">
        <f>HYPERLINK("https://klasma.github.io/Logging_1493/artfynd/A 27444-2023 artfynd.xlsx", "A 27444-2023")</f>
        <v/>
      </c>
      <c r="X21">
        <f>HYPERLINK("https://klasma.github.io/Logging_1493/kartor/A 27444-2023 karta.png", "A 27444-2023")</f>
        <v/>
      </c>
      <c r="Y21">
        <f>HYPERLINK("https://klasma.github.io/Logging_1493/kartor_geotiff/A 27444-2023 georefererad karta.tif", "A 27444-2023")</f>
        <v/>
      </c>
      <c r="AA21">
        <f>HYPERLINK("https://klasma.github.io/Logging_1493/klagomål/A 27444-2023 FSC-klagomål.docx", "A 27444-2023")</f>
        <v/>
      </c>
      <c r="AB21">
        <f>HYPERLINK("https://klasma.github.io/Logging_1493/klagomålsmail/A 27444-2023 FSC-klagomål mail.docx", "A 27444-2023")</f>
        <v/>
      </c>
      <c r="AC21">
        <f>HYPERLINK("https://klasma.github.io/Logging_1493/tillsyn/A 27444-2023 tillsynsbegäran.docx", "A 27444-2023")</f>
        <v/>
      </c>
      <c r="AD21">
        <f>HYPERLINK("https://klasma.github.io/Logging_1493/tillsynsmail/A 27444-2023 tillsynsbegäran mail.docx", "A 27444-2023")</f>
        <v/>
      </c>
    </row>
    <row r="22" ht="15" customHeight="1">
      <c r="A22" t="inlineStr">
        <is>
          <t>A 11073-2022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44628</v>
      </c>
      <c r="E22" s="1" t="n">
        <v>46289</v>
      </c>
      <c r="F22" t="inlineStr">
        <is>
          <t>VÄSTRA GÖTALANDS LÄN</t>
        </is>
      </c>
      <c r="G22" t="inlineStr">
        <is>
          <t>MARIESTAD</t>
        </is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Spillkråka
Skogsduva</t>
        </is>
      </c>
      <c r="W22">
        <f>HYPERLINK("https://klasma.github.io/Logging_1493/artfynd/A 11073-2022 artfynd.xlsx", "A 11073-2022")</f>
        <v/>
      </c>
      <c r="X22">
        <f>HYPERLINK("https://klasma.github.io/Logging_1493/kartor/A 11073-2022 karta.png", "A 11073-2022")</f>
        <v/>
      </c>
      <c r="Y22">
        <f>HYPERLINK("https://klasma.github.io/Logging_1493/kartor_geotiff/A 11073-2022 georefererad karta.tif", "A 11073-2022")</f>
        <v/>
      </c>
      <c r="AA22">
        <f>HYPERLINK("https://klasma.github.io/Logging_1493/klagomål/A 11073-2022 FSC-klagomål.docx", "A 11073-2022")</f>
        <v/>
      </c>
      <c r="AB22">
        <f>HYPERLINK("https://klasma.github.io/Logging_1493/klagomålsmail/A 11073-2022 FSC-klagomål mail.docx", "A 11073-2022")</f>
        <v/>
      </c>
      <c r="AC22">
        <f>HYPERLINK("https://klasma.github.io/Logging_1493/tillsyn/A 11073-2022 tillsynsbegäran.docx", "A 11073-2022")</f>
        <v/>
      </c>
      <c r="AD22">
        <f>HYPERLINK("https://klasma.github.io/Logging_1493/tillsynsmail/A 11073-2022 tillsynsbegäran mail.docx", "A 11073-2022")</f>
        <v/>
      </c>
      <c r="AE22">
        <f>HYPERLINK("https://klasma.github.io/Logging_1493/fåglar/A 11073-2022 prioriterade fågelarter.docx", "A 11073-2022")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46289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9650-2025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46289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HYPERLINK("https://klasma.github.io/Logging_1493/artfynd/A 9650-2025 artfynd.xlsx", "A 9650-2025")</f>
        <v/>
      </c>
      <c r="X24">
        <f>HYPERLINK("https://klasma.github.io/Logging_1493/kartor/A 9650-2025 karta.png", "A 9650-2025")</f>
        <v/>
      </c>
      <c r="Y24">
        <f>HYPERLINK("https://klasma.github.io/Logging_1493/kartor_geotiff/A 9650-2025 georefererad karta.tif", "A 9650-2025")</f>
        <v/>
      </c>
      <c r="AA24">
        <f>HYPERLINK("https://klasma.github.io/Logging_1493/klagomål/A 9650-2025 FSC-klagomål.docx", "A 9650-2025")</f>
        <v/>
      </c>
      <c r="AB24">
        <f>HYPERLINK("https://klasma.github.io/Logging_1493/klagomålsmail/A 9650-2025 FSC-klagomål mail.docx", "A 9650-2025")</f>
        <v/>
      </c>
      <c r="AC24">
        <f>HYPERLINK("https://klasma.github.io/Logging_1493/tillsyn/A 9650-2025 tillsynsbegäran.docx", "A 9650-2025")</f>
        <v/>
      </c>
      <c r="AD24">
        <f>HYPERLINK("https://klasma.github.io/Logging_1493/tillsynsmail/A 9650-2025 tillsynsbegäran mail.docx", "A 9650-2025")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46289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46289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46289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38580-2023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46289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Nattviol</t>
        </is>
      </c>
      <c r="W28">
        <f>HYPERLINK("https://klasma.github.io/Logging_1493/artfynd/A 38580-2023 artfynd.xlsx", "A 38580-2023")</f>
        <v/>
      </c>
      <c r="X28">
        <f>HYPERLINK("https://klasma.github.io/Logging_1493/kartor/A 38580-2023 karta.png", "A 38580-2023")</f>
        <v/>
      </c>
      <c r="Y28">
        <f>HYPERLINK("https://klasma.github.io/Logging_1493/kartor_geotiff/A 38580-2023 georefererad karta.tif", "A 38580-2023")</f>
        <v/>
      </c>
      <c r="AA28">
        <f>HYPERLINK("https://klasma.github.io/Logging_1493/klagomål/A 38580-2023 FSC-klagomål.docx", "A 38580-2023")</f>
        <v/>
      </c>
      <c r="AB28">
        <f>HYPERLINK("https://klasma.github.io/Logging_1493/klagomålsmail/A 38580-2023 FSC-klagomål mail.docx", "A 38580-2023")</f>
        <v/>
      </c>
      <c r="AC28">
        <f>HYPERLINK("https://klasma.github.io/Logging_1493/tillsyn/A 38580-2023 tillsynsbegäran.docx", "A 38580-2023")</f>
        <v/>
      </c>
      <c r="AD28">
        <f>HYPERLINK("https://klasma.github.io/Logging_1493/tillsynsmail/A 38580-2023 tillsynsbegäran mail.docx", "A 38580-2023")</f>
        <v/>
      </c>
    </row>
    <row r="29" ht="15" customHeight="1">
      <c r="A29" t="inlineStr">
        <is>
          <t>A 29151-2025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46289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HYPERLINK("https://klasma.github.io/Logging_1493/artfynd/A 29151-2025 artfynd.xlsx", "A 29151-2025")</f>
        <v/>
      </c>
      <c r="X29">
        <f>HYPERLINK("https://klasma.github.io/Logging_1493/kartor/A 29151-2025 karta.png", "A 29151-2025")</f>
        <v/>
      </c>
      <c r="Y29">
        <f>HYPERLINK("https://klasma.github.io/Logging_1493/kartor_geotiff/A 29151-2025 georefererad karta.tif", "A 29151-2025")</f>
        <v/>
      </c>
      <c r="AA29">
        <f>HYPERLINK("https://klasma.github.io/Logging_1493/klagomål/A 29151-2025 FSC-klagomål.docx", "A 29151-2025")</f>
        <v/>
      </c>
      <c r="AB29">
        <f>HYPERLINK("https://klasma.github.io/Logging_1493/klagomålsmail/A 29151-2025 FSC-klagomål mail.docx", "A 29151-2025")</f>
        <v/>
      </c>
      <c r="AC29">
        <f>HYPERLINK("https://klasma.github.io/Logging_1493/tillsyn/A 29151-2025 tillsynsbegäran.docx", "A 29151-2025")</f>
        <v/>
      </c>
      <c r="AD29">
        <f>HYPERLINK("https://klasma.github.io/Logging_1493/tillsynsmail/A 29151-2025 tillsynsbegäran mail.docx", "A 29151-2025")</f>
        <v/>
      </c>
    </row>
    <row r="30" ht="15" customHeight="1">
      <c r="A30" t="inlineStr">
        <is>
          <t>A 29152-2025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46289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HYPERLINK("https://klasma.github.io/Logging_1493/artfynd/A 29152-2025 artfynd.xlsx", "A 29152-2025")</f>
        <v/>
      </c>
      <c r="X30">
        <f>HYPERLINK("https://klasma.github.io/Logging_1493/kartor/A 29152-2025 karta.png", "A 29152-2025")</f>
        <v/>
      </c>
      <c r="Y30">
        <f>HYPERLINK("https://klasma.github.io/Logging_1493/kartor_geotiff/A 29152-2025 georefererad karta.tif", "A 29152-2025")</f>
        <v/>
      </c>
      <c r="AA30">
        <f>HYPERLINK("https://klasma.github.io/Logging_1493/klagomål/A 29152-2025 FSC-klagomål.docx", "A 29152-2025")</f>
        <v/>
      </c>
      <c r="AB30">
        <f>HYPERLINK("https://klasma.github.io/Logging_1493/klagomålsmail/A 29152-2025 FSC-klagomål mail.docx", "A 29152-2025")</f>
        <v/>
      </c>
      <c r="AC30">
        <f>HYPERLINK("https://klasma.github.io/Logging_1493/tillsyn/A 29152-2025 tillsynsbegäran.docx", "A 29152-2025")</f>
        <v/>
      </c>
      <c r="AD30">
        <f>HYPERLINK("https://klasma.github.io/Logging_1493/tillsynsmail/A 29152-2025 tillsynsbegäran mail.docx", "A 29152-2025")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46289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46289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46289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12379-2026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46090</v>
      </c>
      <c r="E34" s="1" t="n">
        <v>46289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5.7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HYPERLINK("https://klasma.github.io/Logging_1493/artfynd/A 12379-2026 artfynd.xlsx", "A 12379-2026")</f>
        <v/>
      </c>
      <c r="X34">
        <f>HYPERLINK("https://klasma.github.io/Logging_1493/kartor/A 12379-2026 karta.png", "A 12379-2026")</f>
        <v/>
      </c>
      <c r="Y34">
        <f>HYPERLINK("https://klasma.github.io/Logging_1493/kartor_geotiff/A 12379-2026 georefererad karta.tif", "A 12379-2026")</f>
        <v/>
      </c>
      <c r="AA34">
        <f>HYPERLINK("https://klasma.github.io/Logging_1493/klagomål/A 12379-2026 FSC-klagomål.docx", "A 12379-2026")</f>
        <v/>
      </c>
      <c r="AB34">
        <f>HYPERLINK("https://klasma.github.io/Logging_1493/klagomålsmail/A 12379-2026 FSC-klagomål mail.docx", "A 12379-2026")</f>
        <v/>
      </c>
      <c r="AC34">
        <f>HYPERLINK("https://klasma.github.io/Logging_1493/tillsyn/A 12379-2026 tillsynsbegäran.docx", "A 12379-2026")</f>
        <v/>
      </c>
      <c r="AD34">
        <f>HYPERLINK("https://klasma.github.io/Logging_1493/tillsynsmail/A 12379-2026 tillsynsbegäran mail.docx", "A 12379-2026")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46289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46289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46289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46289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46289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46289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46289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46289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46289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46289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46289</v>
      </c>
      <c r="F47" t="inlineStr">
        <is>
          <t>VÄSTRA GÖTALANDS LÄN</t>
        </is>
      </c>
      <c r="G47" t="inlineStr">
        <is>
          <t>MARIESTAD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46289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46289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46289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67146-2021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46289</v>
      </c>
      <c r="F51" t="inlineStr">
        <is>
          <t>VÄSTRA GÖTALANDS LÄN</t>
        </is>
      </c>
      <c r="G51" t="inlineStr">
        <is>
          <t>MARIESTAD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46289</v>
      </c>
      <c r="F52" t="inlineStr">
        <is>
          <t>VÄSTRA GÖTALANDS LÄN</t>
        </is>
      </c>
      <c r="G52" t="inlineStr">
        <is>
          <t>MARIESTAD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46289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46289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46289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46289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46289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46289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46289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46289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46289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45664</v>
      </c>
      <c r="E62" s="1" t="n">
        <v>46289</v>
      </c>
      <c r="F62" t="inlineStr">
        <is>
          <t>VÄSTRA GÖTALANDS LÄN</t>
        </is>
      </c>
      <c r="G62" t="inlineStr">
        <is>
          <t>MARIESTAD</t>
        </is>
      </c>
      <c r="I62" t="n">
        <v>8.9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46289</v>
      </c>
      <c r="F63" t="inlineStr">
        <is>
          <t>VÄSTRA GÖTALANDS LÄN</t>
        </is>
      </c>
      <c r="G63" t="inlineStr">
        <is>
          <t>MARIESTAD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68081-2021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46289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46289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46289</v>
      </c>
      <c r="F66" t="inlineStr">
        <is>
          <t>VÄSTRA GÖTALANDS LÄN</t>
        </is>
      </c>
      <c r="G66" t="inlineStr">
        <is>
          <t>MARIESTAD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67142-2021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46289</v>
      </c>
      <c r="F67" t="inlineStr">
        <is>
          <t>VÄSTRA GÖTALANDS LÄN</t>
        </is>
      </c>
      <c r="G67" t="inlineStr">
        <is>
          <t>MARIESTAD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46289</v>
      </c>
      <c r="F68" t="inlineStr">
        <is>
          <t>VÄSTRA GÖTALANDS LÄN</t>
        </is>
      </c>
      <c r="G68" t="inlineStr">
        <is>
          <t>MARIESTAD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45709</v>
      </c>
      <c r="E69" s="1" t="n">
        <v>46289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45544</v>
      </c>
      <c r="E70" s="1" t="n">
        <v>46289</v>
      </c>
      <c r="F70" t="inlineStr">
        <is>
          <t>VÄSTRA GÖTALANDS LÄN</t>
        </is>
      </c>
      <c r="G70" t="inlineStr">
        <is>
          <t>MARIESTAD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45307</v>
      </c>
      <c r="E71" s="1" t="n">
        <v>46289</v>
      </c>
      <c r="F71" t="inlineStr">
        <is>
          <t>VÄSTRA GÖTALANDS LÄN</t>
        </is>
      </c>
      <c r="G71" t="inlineStr">
        <is>
          <t>MARIESTAD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46289</v>
      </c>
      <c r="F72" t="inlineStr">
        <is>
          <t>VÄSTRA GÖTALANDS LÄN</t>
        </is>
      </c>
      <c r="G72" t="inlineStr">
        <is>
          <t>MARIESTAD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46289</v>
      </c>
      <c r="F73" t="inlineStr">
        <is>
          <t>VÄSTRA GÖTALANDS LÄN</t>
        </is>
      </c>
      <c r="G73" t="inlineStr">
        <is>
          <t>MARIESTAD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46289</v>
      </c>
      <c r="F74" t="inlineStr">
        <is>
          <t>VÄSTRA GÖTALANDS LÄN</t>
        </is>
      </c>
      <c r="G74" t="inlineStr">
        <is>
          <t>MARIESTAD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46289</v>
      </c>
      <c r="F75" t="inlineStr">
        <is>
          <t>VÄSTRA GÖTALANDS LÄN</t>
        </is>
      </c>
      <c r="G75" t="inlineStr">
        <is>
          <t>MARIESTAD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46289</v>
      </c>
      <c r="F76" t="inlineStr">
        <is>
          <t>VÄSTRA GÖTALANDS LÄN</t>
        </is>
      </c>
      <c r="G76" t="inlineStr">
        <is>
          <t>MARIESTAD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45343</v>
      </c>
      <c r="E77" s="1" t="n">
        <v>46289</v>
      </c>
      <c r="F77" t="inlineStr">
        <is>
          <t>VÄSTRA GÖTALANDS LÄN</t>
        </is>
      </c>
      <c r="G77" t="inlineStr">
        <is>
          <t>MARIESTAD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49385-2023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45211</v>
      </c>
      <c r="E78" s="1" t="n">
        <v>46289</v>
      </c>
      <c r="F78" t="inlineStr">
        <is>
          <t>VÄSTRA GÖTALANDS LÄN</t>
        </is>
      </c>
      <c r="G78" t="inlineStr">
        <is>
          <t>MARIESTAD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66772-2021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44521</v>
      </c>
      <c r="E79" s="1" t="n">
        <v>46289</v>
      </c>
      <c r="F79" t="inlineStr">
        <is>
          <t>VÄSTRA GÖTALANDS LÄN</t>
        </is>
      </c>
      <c r="G79" t="inlineStr">
        <is>
          <t>MARIESTAD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46289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46289</v>
      </c>
      <c r="F81" t="inlineStr">
        <is>
          <t>VÄSTRA GÖTALANDS LÄN</t>
        </is>
      </c>
      <c r="G81" t="inlineStr">
        <is>
          <t>MARIESTAD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46289</v>
      </c>
      <c r="F82" t="inlineStr">
        <is>
          <t>VÄSTRA GÖTALANDS LÄN</t>
        </is>
      </c>
      <c r="G82" t="inlineStr">
        <is>
          <t>MARIESTAD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45502</v>
      </c>
      <c r="E83" s="1" t="n">
        <v>46289</v>
      </c>
      <c r="F83" t="inlineStr">
        <is>
          <t>VÄSTRA GÖTALANDS LÄN</t>
        </is>
      </c>
      <c r="G83" t="inlineStr">
        <is>
          <t>MARIESTAD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45412</v>
      </c>
      <c r="E84" s="1" t="n">
        <v>46289</v>
      </c>
      <c r="F84" t="inlineStr">
        <is>
          <t>VÄSTRA GÖTALANDS LÄN</t>
        </is>
      </c>
      <c r="G84" t="inlineStr">
        <is>
          <t>MARIESTAD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45412</v>
      </c>
      <c r="E85" s="1" t="n">
        <v>46289</v>
      </c>
      <c r="F85" t="inlineStr">
        <is>
          <t>VÄSTRA GÖTALANDS LÄN</t>
        </is>
      </c>
      <c r="G85" t="inlineStr">
        <is>
          <t>MARIESTAD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46289</v>
      </c>
      <c r="F86" t="inlineStr">
        <is>
          <t>VÄSTRA GÖTALANDS LÄN</t>
        </is>
      </c>
      <c r="G86" t="inlineStr">
        <is>
          <t>MARIESTAD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45331</v>
      </c>
      <c r="E87" s="1" t="n">
        <v>46289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46289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46289</v>
      </c>
      <c r="F89" t="inlineStr">
        <is>
          <t>VÄSTRA GÖTALANDS LÄN</t>
        </is>
      </c>
      <c r="G89" t="inlineStr">
        <is>
          <t>MARIESTAD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46289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46289</v>
      </c>
      <c r="F91" t="inlineStr">
        <is>
          <t>VÄSTRA GÖTALANDS LÄN</t>
        </is>
      </c>
      <c r="G91" t="inlineStr">
        <is>
          <t>MARIESTAD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44848</v>
      </c>
      <c r="E92" s="1" t="n">
        <v>46289</v>
      </c>
      <c r="F92" t="inlineStr">
        <is>
          <t>VÄSTRA GÖTALANDS LÄN</t>
        </is>
      </c>
      <c r="G92" t="inlineStr">
        <is>
          <t>MARIESTAD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45705</v>
      </c>
      <c r="E93" s="1" t="n">
        <v>46289</v>
      </c>
      <c r="F93" t="inlineStr">
        <is>
          <t>VÄSTRA GÖTALANDS LÄN</t>
        </is>
      </c>
      <c r="G93" t="inlineStr">
        <is>
          <t>MARIESTAD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46289</v>
      </c>
      <c r="F94" t="inlineStr">
        <is>
          <t>VÄSTRA GÖTALANDS LÄN</t>
        </is>
      </c>
      <c r="G94" t="inlineStr">
        <is>
          <t>MARIESTAD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46289</v>
      </c>
      <c r="F95" t="inlineStr">
        <is>
          <t>VÄSTRA GÖTALANDS LÄN</t>
        </is>
      </c>
      <c r="G95" t="inlineStr">
        <is>
          <t>MARIESTAD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46289</v>
      </c>
      <c r="F96" t="inlineStr">
        <is>
          <t>VÄSTRA GÖTALANDS LÄN</t>
        </is>
      </c>
      <c r="G96" t="inlineStr">
        <is>
          <t>MARIESTAD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45070</v>
      </c>
      <c r="E97" s="1" t="n">
        <v>46289</v>
      </c>
      <c r="F97" t="inlineStr">
        <is>
          <t>VÄSTRA GÖTALANDS LÄN</t>
        </is>
      </c>
      <c r="G97" t="inlineStr">
        <is>
          <t>MARIESTAD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46289</v>
      </c>
      <c r="F98" t="inlineStr">
        <is>
          <t>VÄSTRA GÖTALANDS LÄN</t>
        </is>
      </c>
      <c r="G98" t="inlineStr">
        <is>
          <t>MARIESTAD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46289</v>
      </c>
      <c r="F99" t="inlineStr">
        <is>
          <t>VÄSTRA GÖTALANDS LÄN</t>
        </is>
      </c>
      <c r="G99" t="inlineStr">
        <is>
          <t>MARIESTAD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36399-2024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45535</v>
      </c>
      <c r="E100" s="1" t="n">
        <v>46289</v>
      </c>
      <c r="F100" t="inlineStr">
        <is>
          <t>VÄSTRA GÖTALANDS LÄN</t>
        </is>
      </c>
      <c r="G100" t="inlineStr">
        <is>
          <t>MARIESTAD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46289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46289</v>
      </c>
      <c r="F102" t="inlineStr">
        <is>
          <t>VÄSTRA GÖTALANDS LÄN</t>
        </is>
      </c>
      <c r="G102" t="inlineStr">
        <is>
          <t>MARIESTAD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46289</v>
      </c>
      <c r="F103" t="inlineStr">
        <is>
          <t>VÄSTRA GÖTALANDS LÄN</t>
        </is>
      </c>
      <c r="G103" t="inlineStr">
        <is>
          <t>MARIESTAD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46289</v>
      </c>
      <c r="F104" t="inlineStr">
        <is>
          <t>VÄSTRA GÖTALANDS LÄN</t>
        </is>
      </c>
      <c r="G104" t="inlineStr">
        <is>
          <t>MARIESTAD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44943</v>
      </c>
      <c r="E105" s="1" t="n">
        <v>46289</v>
      </c>
      <c r="F105" t="inlineStr">
        <is>
          <t>VÄSTRA GÖTALANDS LÄN</t>
        </is>
      </c>
      <c r="G105" t="inlineStr">
        <is>
          <t>MARIESTAD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46289</v>
      </c>
      <c r="F106" t="inlineStr">
        <is>
          <t>VÄSTRA GÖTALANDS LÄN</t>
        </is>
      </c>
      <c r="G106" t="inlineStr">
        <is>
          <t>MARIESTAD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52869-2024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45610</v>
      </c>
      <c r="E107" s="1" t="n">
        <v>46289</v>
      </c>
      <c r="F107" t="inlineStr">
        <is>
          <t>VÄSTRA GÖTALANDS LÄN</t>
        </is>
      </c>
      <c r="G107" t="inlineStr">
        <is>
          <t>MARIESTAD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46289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46289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46289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44901</v>
      </c>
      <c r="E111" s="1" t="n">
        <v>46289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Kyrkan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46289</v>
      </c>
      <c r="F112" t="inlineStr">
        <is>
          <t>VÄSTRA GÖTALANDS LÄN</t>
        </is>
      </c>
      <c r="G112" t="inlineStr">
        <is>
          <t>MARIESTAD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46289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46289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46289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46289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44553</v>
      </c>
      <c r="E117" s="1" t="n">
        <v>46289</v>
      </c>
      <c r="F117" t="inlineStr">
        <is>
          <t>VÄSTRA GÖTALANDS LÄN</t>
        </is>
      </c>
      <c r="G117" t="inlineStr">
        <is>
          <t>MARIESTAD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45131</v>
      </c>
      <c r="E118" s="1" t="n">
        <v>46289</v>
      </c>
      <c r="F118" t="inlineStr">
        <is>
          <t>VÄSTRA GÖTALANDS LÄN</t>
        </is>
      </c>
      <c r="G118" t="inlineStr">
        <is>
          <t>MARIESTAD</t>
        </is>
      </c>
      <c r="I118" t="n">
        <v>16.1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44836</v>
      </c>
      <c r="E119" s="1" t="n">
        <v>46289</v>
      </c>
      <c r="F119" t="inlineStr">
        <is>
          <t>VÄSTRA GÖTALANDS LÄN</t>
        </is>
      </c>
      <c r="G119" t="inlineStr">
        <is>
          <t>MARIESTAD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46289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46289</v>
      </c>
      <c r="F121" t="inlineStr">
        <is>
          <t>VÄSTRA GÖTALANDS LÄN</t>
        </is>
      </c>
      <c r="G121" t="inlineStr">
        <is>
          <t>MARIESTAD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46289</v>
      </c>
      <c r="F122" t="inlineStr">
        <is>
          <t>VÄSTRA GÖTALANDS LÄN</t>
        </is>
      </c>
      <c r="G122" t="inlineStr">
        <is>
          <t>MARIESTAD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46289</v>
      </c>
      <c r="F123" t="inlineStr">
        <is>
          <t>VÄSTRA GÖTALANDS LÄN</t>
        </is>
      </c>
      <c r="G123" t="inlineStr">
        <is>
          <t>MARIESTAD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46289</v>
      </c>
      <c r="F124" t="inlineStr">
        <is>
          <t>VÄSTRA GÖTALANDS LÄN</t>
        </is>
      </c>
      <c r="G124" t="inlineStr">
        <is>
          <t>MARIESTAD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46289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46289</v>
      </c>
      <c r="F126" t="inlineStr">
        <is>
          <t>VÄSTRA GÖTALANDS LÄN</t>
        </is>
      </c>
      <c r="G126" t="inlineStr">
        <is>
          <t>MARIESTAD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61601-2023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46289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46289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45200</v>
      </c>
      <c r="E129" s="1" t="n">
        <v>46289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46289</v>
      </c>
      <c r="F130" t="inlineStr">
        <is>
          <t>VÄSTRA GÖTALANDS LÄN</t>
        </is>
      </c>
      <c r="G130" t="inlineStr">
        <is>
          <t>MARIESTAD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46289</v>
      </c>
      <c r="F131" t="inlineStr">
        <is>
          <t>VÄSTRA GÖTALANDS LÄN</t>
        </is>
      </c>
      <c r="G131" t="inlineStr">
        <is>
          <t>MARIESTAD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44489</v>
      </c>
      <c r="E132" s="1" t="n">
        <v>46289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45393</v>
      </c>
      <c r="E133" s="1" t="n">
        <v>46289</v>
      </c>
      <c r="F133" t="inlineStr">
        <is>
          <t>VÄSTRA GÖTALANDS LÄN</t>
        </is>
      </c>
      <c r="G133" t="inlineStr">
        <is>
          <t>MARIESTAD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46289</v>
      </c>
      <c r="F134" t="inlineStr">
        <is>
          <t>VÄSTRA GÖTALANDS LÄN</t>
        </is>
      </c>
      <c r="G134" t="inlineStr">
        <is>
          <t>MARIESTAD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46289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46289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66771-2021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44521</v>
      </c>
      <c r="E137" s="1" t="n">
        <v>46289</v>
      </c>
      <c r="F137" t="inlineStr">
        <is>
          <t>VÄSTRA GÖTALANDS LÄN</t>
        </is>
      </c>
      <c r="G137" t="inlineStr">
        <is>
          <t>MARIESTAD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46289</v>
      </c>
      <c r="F138" t="inlineStr">
        <is>
          <t>VÄSTRA GÖTALANDS LÄN</t>
        </is>
      </c>
      <c r="G138" t="inlineStr">
        <is>
          <t>MARIESTAD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45412</v>
      </c>
      <c r="E139" s="1" t="n">
        <v>46289</v>
      </c>
      <c r="F139" t="inlineStr">
        <is>
          <t>VÄSTRA GÖTALANDS LÄN</t>
        </is>
      </c>
      <c r="G139" t="inlineStr">
        <is>
          <t>MARIESTAD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45412</v>
      </c>
      <c r="E140" s="1" t="n">
        <v>46289</v>
      </c>
      <c r="F140" t="inlineStr">
        <is>
          <t>VÄSTRA GÖTALANDS LÄN</t>
        </is>
      </c>
      <c r="G140" t="inlineStr">
        <is>
          <t>MARIESTAD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45397</v>
      </c>
      <c r="E141" s="1" t="n">
        <v>46289</v>
      </c>
      <c r="F141" t="inlineStr">
        <is>
          <t>VÄSTRA GÖTALANDS LÄN</t>
        </is>
      </c>
      <c r="G141" t="inlineStr">
        <is>
          <t>MARIESTAD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46289</v>
      </c>
      <c r="F142" t="inlineStr">
        <is>
          <t>VÄSTRA GÖTALANDS LÄN</t>
        </is>
      </c>
      <c r="G142" t="inlineStr">
        <is>
          <t>MARIESTAD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46289</v>
      </c>
      <c r="F143" t="inlineStr">
        <is>
          <t>VÄSTRA GÖTALANDS LÄN</t>
        </is>
      </c>
      <c r="G143" t="inlineStr">
        <is>
          <t>MARIESTAD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46289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46289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44620</v>
      </c>
      <c r="E146" s="1" t="n">
        <v>46289</v>
      </c>
      <c r="F146" t="inlineStr">
        <is>
          <t>VÄSTRA GÖTALANDS LÄN</t>
        </is>
      </c>
      <c r="G146" t="inlineStr">
        <is>
          <t>MARIESTAD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46289</v>
      </c>
      <c r="F147" t="inlineStr">
        <is>
          <t>VÄSTRA GÖTALANDS LÄN</t>
        </is>
      </c>
      <c r="G147" t="inlineStr">
        <is>
          <t>MARIESTAD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46289</v>
      </c>
      <c r="F148" t="inlineStr">
        <is>
          <t>VÄSTRA GÖTALANDS LÄN</t>
        </is>
      </c>
      <c r="G148" t="inlineStr">
        <is>
          <t>MARIESTAD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46289</v>
      </c>
      <c r="F149" t="inlineStr">
        <is>
          <t>VÄSTRA GÖTALANDS LÄN</t>
        </is>
      </c>
      <c r="G149" t="inlineStr">
        <is>
          <t>MARIESTAD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46289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45674</v>
      </c>
      <c r="E151" s="1" t="n">
        <v>46289</v>
      </c>
      <c r="F151" t="inlineStr">
        <is>
          <t>VÄSTRA GÖTALANDS LÄN</t>
        </is>
      </c>
      <c r="G151" t="inlineStr">
        <is>
          <t>MARIESTAD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70259-2021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46289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46289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46289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Kyrkan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60812-2023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45260</v>
      </c>
      <c r="E155" s="1" t="n">
        <v>46289</v>
      </c>
      <c r="F155" t="inlineStr">
        <is>
          <t>VÄSTRA GÖTALANDS LÄN</t>
        </is>
      </c>
      <c r="G155" t="inlineStr">
        <is>
          <t>MARIESTAD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44630</v>
      </c>
      <c r="E156" s="1" t="n">
        <v>46289</v>
      </c>
      <c r="F156" t="inlineStr">
        <is>
          <t>VÄSTRA GÖTALANDS LÄN</t>
        </is>
      </c>
      <c r="G156" t="inlineStr">
        <is>
          <t>MARIESTAD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45516</v>
      </c>
      <c r="E157" s="1" t="n">
        <v>46289</v>
      </c>
      <c r="F157" t="inlineStr">
        <is>
          <t>VÄSTRA GÖTALANDS LÄN</t>
        </is>
      </c>
      <c r="G157" t="inlineStr">
        <is>
          <t>MARIESTAD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46289</v>
      </c>
      <c r="F158" t="inlineStr">
        <is>
          <t>VÄSTRA GÖTALANDS LÄN</t>
        </is>
      </c>
      <c r="G158" t="inlineStr">
        <is>
          <t>MARIESTAD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44999</v>
      </c>
      <c r="E159" s="1" t="n">
        <v>46289</v>
      </c>
      <c r="F159" t="inlineStr">
        <is>
          <t>VÄSTRA GÖTALANDS LÄN</t>
        </is>
      </c>
      <c r="G159" t="inlineStr">
        <is>
          <t>MARIESTAD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46289</v>
      </c>
      <c r="F160" t="inlineStr">
        <is>
          <t>VÄSTRA GÖTALANDS LÄN</t>
        </is>
      </c>
      <c r="G160" t="inlineStr">
        <is>
          <t>MARIESTAD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45751</v>
      </c>
      <c r="E161" s="1" t="n">
        <v>46289</v>
      </c>
      <c r="F161" t="inlineStr">
        <is>
          <t>VÄSTRA GÖTALANDS LÄN</t>
        </is>
      </c>
      <c r="G161" t="inlineStr">
        <is>
          <t>MARIESTAD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45330</v>
      </c>
      <c r="E162" s="1" t="n">
        <v>46289</v>
      </c>
      <c r="F162" t="inlineStr">
        <is>
          <t>VÄSTRA GÖTALANDS LÄN</t>
        </is>
      </c>
      <c r="G162" t="inlineStr">
        <is>
          <t>MARIESTAD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46289</v>
      </c>
      <c r="F163" t="inlineStr">
        <is>
          <t>VÄSTRA GÖTALANDS LÄN</t>
        </is>
      </c>
      <c r="G163" t="inlineStr">
        <is>
          <t>MARIESTAD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46289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45590</v>
      </c>
      <c r="E165" s="1" t="n">
        <v>46289</v>
      </c>
      <c r="F165" t="inlineStr">
        <is>
          <t>VÄSTRA GÖTALANDS LÄN</t>
        </is>
      </c>
      <c r="G165" t="inlineStr">
        <is>
          <t>MARIESTAD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46289</v>
      </c>
      <c r="F166" t="inlineStr">
        <is>
          <t>VÄSTRA GÖTALANDS LÄN</t>
        </is>
      </c>
      <c r="G166" t="inlineStr">
        <is>
          <t>MARIESTAD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46289</v>
      </c>
      <c r="F167" t="inlineStr">
        <is>
          <t>VÄSTRA GÖTALANDS LÄN</t>
        </is>
      </c>
      <c r="G167" t="inlineStr">
        <is>
          <t>MARIESTAD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45560</v>
      </c>
      <c r="E168" s="1" t="n">
        <v>46289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46289</v>
      </c>
      <c r="F169" t="inlineStr">
        <is>
          <t>VÄSTRA GÖTALANDS LÄN</t>
        </is>
      </c>
      <c r="G169" t="inlineStr">
        <is>
          <t>MARIESTAD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44936</v>
      </c>
      <c r="E170" s="1" t="n">
        <v>46289</v>
      </c>
      <c r="F170" t="inlineStr">
        <is>
          <t>VÄSTRA GÖTALANDS LÄN</t>
        </is>
      </c>
      <c r="G170" t="inlineStr">
        <is>
          <t>MARIESTAD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46289</v>
      </c>
      <c r="F171" t="inlineStr">
        <is>
          <t>VÄSTRA GÖTALANDS LÄN</t>
        </is>
      </c>
      <c r="G171" t="inlineStr">
        <is>
          <t>MARIESTAD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46289</v>
      </c>
      <c r="F172" t="inlineStr">
        <is>
          <t>VÄSTRA GÖTALANDS LÄN</t>
        </is>
      </c>
      <c r="G172" t="inlineStr">
        <is>
          <t>MARIESTAD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44876</v>
      </c>
      <c r="E173" s="1" t="n">
        <v>46289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Kyrkan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48267-2024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46289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Kyrkan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46289</v>
      </c>
      <c r="F175" t="inlineStr">
        <is>
          <t>VÄSTRA GÖTALANDS LÄN</t>
        </is>
      </c>
      <c r="G175" t="inlineStr">
        <is>
          <t>MARIESTAD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50579-2023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45217</v>
      </c>
      <c r="E176" s="1" t="n">
        <v>46289</v>
      </c>
      <c r="F176" t="inlineStr">
        <is>
          <t>VÄSTRA GÖTALANDS LÄN</t>
        </is>
      </c>
      <c r="G176" t="inlineStr">
        <is>
          <t>MARIESTAD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46289</v>
      </c>
      <c r="F177" t="inlineStr">
        <is>
          <t>VÄSTRA GÖTALANDS LÄN</t>
        </is>
      </c>
      <c r="G177" t="inlineStr">
        <is>
          <t>MARIESTAD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45744</v>
      </c>
      <c r="E178" s="1" t="n">
        <v>46289</v>
      </c>
      <c r="F178" t="inlineStr">
        <is>
          <t>VÄSTRA GÖTALANDS LÄN</t>
        </is>
      </c>
      <c r="G178" t="inlineStr">
        <is>
          <t>MARIESTAD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46289</v>
      </c>
      <c r="F179" t="inlineStr">
        <is>
          <t>VÄSTRA GÖTALANDS LÄN</t>
        </is>
      </c>
      <c r="G179" t="inlineStr">
        <is>
          <t>MARIESTAD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46289</v>
      </c>
      <c r="F180" t="inlineStr">
        <is>
          <t>VÄSTRA GÖTALANDS LÄN</t>
        </is>
      </c>
      <c r="G180" t="inlineStr">
        <is>
          <t>MARIESTAD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46289</v>
      </c>
      <c r="F181" t="inlineStr">
        <is>
          <t>VÄSTRA GÖTALANDS LÄN</t>
        </is>
      </c>
      <c r="G181" t="inlineStr">
        <is>
          <t>MARIESTAD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44649</v>
      </c>
      <c r="E182" s="1" t="n">
        <v>46289</v>
      </c>
      <c r="F182" t="inlineStr">
        <is>
          <t>VÄSTRA GÖTALANDS LÄN</t>
        </is>
      </c>
      <c r="G182" t="inlineStr">
        <is>
          <t>MARIESTAD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44629</v>
      </c>
      <c r="E183" s="1" t="n">
        <v>46289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Kommuner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46289</v>
      </c>
      <c r="F184" t="inlineStr">
        <is>
          <t>VÄSTRA GÖTALANDS LÄN</t>
        </is>
      </c>
      <c r="G184" t="inlineStr">
        <is>
          <t>MARIESTAD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46289</v>
      </c>
      <c r="F185" t="inlineStr">
        <is>
          <t>VÄSTRA GÖTALANDS LÄN</t>
        </is>
      </c>
      <c r="G185" t="inlineStr">
        <is>
          <t>MARIESTAD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46289</v>
      </c>
      <c r="F186" t="inlineStr">
        <is>
          <t>VÄSTRA GÖTALANDS LÄN</t>
        </is>
      </c>
      <c r="G186" t="inlineStr">
        <is>
          <t>MARIESTAD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45199</v>
      </c>
      <c r="E187" s="1" t="n">
        <v>46289</v>
      </c>
      <c r="F187" t="inlineStr">
        <is>
          <t>VÄSTRA GÖTALANDS LÄN</t>
        </is>
      </c>
      <c r="G187" t="inlineStr">
        <is>
          <t>MARIESTAD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46289</v>
      </c>
      <c r="F188" t="inlineStr">
        <is>
          <t>VÄSTRA GÖTALANDS LÄN</t>
        </is>
      </c>
      <c r="G188" t="inlineStr">
        <is>
          <t>MARIESTAD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46289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46289</v>
      </c>
      <c r="F190" t="inlineStr">
        <is>
          <t>VÄSTRA GÖTALANDS LÄN</t>
        </is>
      </c>
      <c r="G190" t="inlineStr">
        <is>
          <t>MARIESTAD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44638</v>
      </c>
      <c r="E191" s="1" t="n">
        <v>46289</v>
      </c>
      <c r="F191" t="inlineStr">
        <is>
          <t>VÄSTRA GÖTALANDS LÄN</t>
        </is>
      </c>
      <c r="G191" t="inlineStr">
        <is>
          <t>MARIESTAD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26688-2022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44739</v>
      </c>
      <c r="E192" s="1" t="n">
        <v>46289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45200</v>
      </c>
      <c r="E193" s="1" t="n">
        <v>46289</v>
      </c>
      <c r="F193" t="inlineStr">
        <is>
          <t>VÄSTRA GÖTALANDS LÄN</t>
        </is>
      </c>
      <c r="G193" t="inlineStr">
        <is>
          <t>MARIESTAD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46289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46289</v>
      </c>
      <c r="F195" t="inlineStr">
        <is>
          <t>VÄSTRA GÖTALANDS LÄN</t>
        </is>
      </c>
      <c r="G195" t="inlineStr">
        <is>
          <t>MARIESTAD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44993</v>
      </c>
      <c r="E196" s="1" t="n">
        <v>46289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45691</v>
      </c>
      <c r="E197" s="1" t="n">
        <v>46289</v>
      </c>
      <c r="F197" t="inlineStr">
        <is>
          <t>VÄSTRA GÖTALANDS LÄN</t>
        </is>
      </c>
      <c r="G197" t="inlineStr">
        <is>
          <t>MARIESTAD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46289</v>
      </c>
      <c r="F198" t="inlineStr">
        <is>
          <t>VÄSTRA GÖTALANDS LÄN</t>
        </is>
      </c>
      <c r="G198" t="inlineStr">
        <is>
          <t>MARIESTAD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45350</v>
      </c>
      <c r="E199" s="1" t="n">
        <v>46289</v>
      </c>
      <c r="F199" t="inlineStr">
        <is>
          <t>VÄSTRA GÖTALANDS LÄN</t>
        </is>
      </c>
      <c r="G199" t="inlineStr">
        <is>
          <t>MARIESTAD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46289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46289</v>
      </c>
      <c r="F201" t="inlineStr">
        <is>
          <t>VÄSTRA GÖTALANDS LÄN</t>
        </is>
      </c>
      <c r="G201" t="inlineStr">
        <is>
          <t>MARIESTAD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46289</v>
      </c>
      <c r="F202" t="inlineStr">
        <is>
          <t>VÄSTRA GÖTALANDS LÄN</t>
        </is>
      </c>
      <c r="G202" t="inlineStr">
        <is>
          <t>MARIESTAD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46289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Övriga Aktiebolag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46289</v>
      </c>
      <c r="F204" t="inlineStr">
        <is>
          <t>VÄSTRA GÖTALANDS LÄN</t>
        </is>
      </c>
      <c r="G204" t="inlineStr">
        <is>
          <t>MARIESTAD</t>
        </is>
      </c>
      <c r="I204" t="n">
        <v>10.7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46289</v>
      </c>
      <c r="F205" t="inlineStr">
        <is>
          <t>VÄSTRA GÖTALANDS LÄN</t>
        </is>
      </c>
      <c r="G205" t="inlineStr">
        <is>
          <t>MARIESTAD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46289</v>
      </c>
      <c r="F206" t="inlineStr">
        <is>
          <t>VÄSTRA GÖTALANDS LÄN</t>
        </is>
      </c>
      <c r="G206" t="inlineStr">
        <is>
          <t>MARIESTAD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46289</v>
      </c>
      <c r="F207" t="inlineStr">
        <is>
          <t>VÄSTRA GÖTALANDS LÄN</t>
        </is>
      </c>
      <c r="G207" t="inlineStr">
        <is>
          <t>MARIESTAD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44614</v>
      </c>
      <c r="E208" s="1" t="n">
        <v>46289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Kyrkan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49184-2023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46289</v>
      </c>
      <c r="F209" t="inlineStr">
        <is>
          <t>VÄSTRA GÖTALANDS LÄN</t>
        </is>
      </c>
      <c r="G209" t="inlineStr">
        <is>
          <t>MARIESTAD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46289</v>
      </c>
      <c r="F210" t="inlineStr">
        <is>
          <t>VÄSTRA GÖTALANDS LÄN</t>
        </is>
      </c>
      <c r="G210" t="inlineStr">
        <is>
          <t>MARIESTAD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46289</v>
      </c>
      <c r="F211" t="inlineStr">
        <is>
          <t>VÄSTRA GÖTALANDS LÄN</t>
        </is>
      </c>
      <c r="G211" t="inlineStr">
        <is>
          <t>MARIESTAD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46289</v>
      </c>
      <c r="F212" t="inlineStr">
        <is>
          <t>VÄSTRA GÖTALANDS LÄN</t>
        </is>
      </c>
      <c r="G212" t="inlineStr">
        <is>
          <t>MARIESTAD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13655-2023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45006</v>
      </c>
      <c r="E213" s="1" t="n">
        <v>46289</v>
      </c>
      <c r="F213" t="inlineStr">
        <is>
          <t>VÄSTRA GÖTALANDS LÄN</t>
        </is>
      </c>
      <c r="G213" t="inlineStr">
        <is>
          <t>MARIESTAD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58077-2022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44900</v>
      </c>
      <c r="E214" s="1" t="n">
        <v>46289</v>
      </c>
      <c r="F214" t="inlineStr">
        <is>
          <t>VÄSTRA GÖTALANDS LÄN</t>
        </is>
      </c>
      <c r="G214" t="inlineStr">
        <is>
          <t>MARIESTAD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46289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46289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46289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44993</v>
      </c>
      <c r="E218" s="1" t="n">
        <v>46289</v>
      </c>
      <c r="F218" t="inlineStr">
        <is>
          <t>VÄSTRA GÖTALANDS LÄN</t>
        </is>
      </c>
      <c r="G218" t="inlineStr">
        <is>
          <t>MARIESTAD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44881</v>
      </c>
      <c r="E219" s="1" t="n">
        <v>46289</v>
      </c>
      <c r="F219" t="inlineStr">
        <is>
          <t>VÄSTRA GÖTALANDS LÄN</t>
        </is>
      </c>
      <c r="G219" t="inlineStr">
        <is>
          <t>MARIESTAD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44746</v>
      </c>
      <c r="E220" s="1" t="n">
        <v>46289</v>
      </c>
      <c r="F220" t="inlineStr">
        <is>
          <t>VÄSTRA GÖTALANDS LÄN</t>
        </is>
      </c>
      <c r="G220" t="inlineStr">
        <is>
          <t>MARIESTAD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46289</v>
      </c>
      <c r="F221" t="inlineStr">
        <is>
          <t>VÄSTRA GÖTALANDS LÄN</t>
        </is>
      </c>
      <c r="G221" t="inlineStr">
        <is>
          <t>MARIESTAD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46289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46029</v>
      </c>
      <c r="E223" s="1" t="n">
        <v>46289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44746</v>
      </c>
      <c r="E224" s="1" t="n">
        <v>46289</v>
      </c>
      <c r="F224" t="inlineStr">
        <is>
          <t>VÄSTRA GÖTALANDS LÄN</t>
        </is>
      </c>
      <c r="G224" t="inlineStr">
        <is>
          <t>MARIESTAD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44746</v>
      </c>
      <c r="E225" s="1" t="n">
        <v>46289</v>
      </c>
      <c r="F225" t="inlineStr">
        <is>
          <t>VÄSTRA GÖTALANDS LÄN</t>
        </is>
      </c>
      <c r="G225" t="inlineStr">
        <is>
          <t>MARIESTAD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46289</v>
      </c>
      <c r="F226" t="inlineStr">
        <is>
          <t>VÄSTRA GÖTALANDS LÄN</t>
        </is>
      </c>
      <c r="G226" t="inlineStr">
        <is>
          <t>MARIESTAD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45265</v>
      </c>
      <c r="E227" s="1" t="n">
        <v>46289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46289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46289</v>
      </c>
      <c r="F229" t="inlineStr">
        <is>
          <t>VÄSTRA GÖTALANDS LÄN</t>
        </is>
      </c>
      <c r="G229" t="inlineStr">
        <is>
          <t>MARIESTAD</t>
        </is>
      </c>
      <c r="I229" t="n">
        <v>11.9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19553-2022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44693</v>
      </c>
      <c r="E230" s="1" t="n">
        <v>46289</v>
      </c>
      <c r="F230" t="inlineStr">
        <is>
          <t>VÄSTRA GÖTALANDS LÄN</t>
        </is>
      </c>
      <c r="G230" t="inlineStr">
        <is>
          <t>MARIESTAD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46008</v>
      </c>
      <c r="E231" s="1" t="n">
        <v>46289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Kyrkan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46289</v>
      </c>
      <c r="F232" t="inlineStr">
        <is>
          <t>VÄSTRA GÖTALANDS LÄN</t>
        </is>
      </c>
      <c r="G232" t="inlineStr">
        <is>
          <t>MARIESTAD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46289</v>
      </c>
      <c r="F233" t="inlineStr">
        <is>
          <t>VÄSTRA GÖTALANDS LÄN</t>
        </is>
      </c>
      <c r="G233" t="inlineStr">
        <is>
          <t>MARIESTAD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49389-2023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45211</v>
      </c>
      <c r="E234" s="1" t="n">
        <v>46289</v>
      </c>
      <c r="F234" t="inlineStr">
        <is>
          <t>VÄSTRA GÖTALANDS LÄN</t>
        </is>
      </c>
      <c r="G234" t="inlineStr">
        <is>
          <t>MARIESTAD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46289</v>
      </c>
      <c r="F235" t="inlineStr">
        <is>
          <t>VÄSTRA GÖTALANDS LÄN</t>
        </is>
      </c>
      <c r="G235" t="inlineStr">
        <is>
          <t>MARIESTAD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45583</v>
      </c>
      <c r="E236" s="1" t="n">
        <v>46289</v>
      </c>
      <c r="F236" t="inlineStr">
        <is>
          <t>VÄSTRA GÖTALANDS LÄN</t>
        </is>
      </c>
      <c r="G236" t="inlineStr">
        <is>
          <t>MARIESTAD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46289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Kyrkan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45135</v>
      </c>
      <c r="E238" s="1" t="n">
        <v>46289</v>
      </c>
      <c r="F238" t="inlineStr">
        <is>
          <t>VÄSTRA GÖTALANDS LÄN</t>
        </is>
      </c>
      <c r="G238" t="inlineStr">
        <is>
          <t>MARIESTAD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45528</v>
      </c>
      <c r="E239" s="1" t="n">
        <v>46289</v>
      </c>
      <c r="F239" t="inlineStr">
        <is>
          <t>VÄSTRA GÖTALANDS LÄN</t>
        </is>
      </c>
      <c r="G239" t="inlineStr">
        <is>
          <t>MARIESTAD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29857-2022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44756</v>
      </c>
      <c r="E240" s="1" t="n">
        <v>46289</v>
      </c>
      <c r="F240" t="inlineStr">
        <is>
          <t>VÄSTRA GÖTALANDS LÄN</t>
        </is>
      </c>
      <c r="G240" t="inlineStr">
        <is>
          <t>MARIESTAD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46289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Kyrkan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45201</v>
      </c>
      <c r="E242" s="1" t="n">
        <v>46289</v>
      </c>
      <c r="F242" t="inlineStr">
        <is>
          <t>VÄSTRA GÖTALANDS LÄN</t>
        </is>
      </c>
      <c r="G242" t="inlineStr">
        <is>
          <t>MARIESTAD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46061</v>
      </c>
      <c r="E243" s="1" t="n">
        <v>46289</v>
      </c>
      <c r="F243" t="inlineStr">
        <is>
          <t>VÄSTRA GÖTALANDS LÄN</t>
        </is>
      </c>
      <c r="G243" t="inlineStr">
        <is>
          <t>MARIESTAD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39267-2026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46288</v>
      </c>
      <c r="E244" s="1" t="n">
        <v>46289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46288</v>
      </c>
      <c r="E245" s="1" t="n">
        <v>46289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46289</v>
      </c>
      <c r="F246" t="inlineStr">
        <is>
          <t>VÄSTRA GÖTALANDS LÄN</t>
        </is>
      </c>
      <c r="G246" t="inlineStr">
        <is>
          <t>MARIESTAD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46289</v>
      </c>
      <c r="F247" t="inlineStr">
        <is>
          <t>VÄSTRA GÖTALANDS LÄN</t>
        </is>
      </c>
      <c r="G247" t="inlineStr">
        <is>
          <t>MARIESTAD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9558-2026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46071</v>
      </c>
      <c r="E248" s="1" t="n">
        <v>46289</v>
      </c>
      <c r="F248" t="inlineStr">
        <is>
          <t>VÄSTRA GÖTALANDS LÄN</t>
        </is>
      </c>
      <c r="G248" t="inlineStr">
        <is>
          <t>MARIESTAD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46289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46288</v>
      </c>
      <c r="E250" s="1" t="n">
        <v>46289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46077</v>
      </c>
      <c r="E251" s="1" t="n">
        <v>46289</v>
      </c>
      <c r="F251" t="inlineStr">
        <is>
          <t>VÄSTRA GÖTALANDS LÄN</t>
        </is>
      </c>
      <c r="G251" t="inlineStr">
        <is>
          <t>MARIESTAD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39286-2026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46288</v>
      </c>
      <c r="E252" s="1" t="n">
        <v>46289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46288</v>
      </c>
      <c r="E253" s="1" t="n">
        <v>46289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46080</v>
      </c>
      <c r="E254" s="1" t="n">
        <v>46289</v>
      </c>
      <c r="F254" t="inlineStr">
        <is>
          <t>VÄSTRA GÖTALANDS LÄN</t>
        </is>
      </c>
      <c r="G254" t="inlineStr">
        <is>
          <t>MARIESTAD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46289</v>
      </c>
      <c r="F255" t="inlineStr">
        <is>
          <t>VÄSTRA GÖTALANDS LÄN</t>
        </is>
      </c>
      <c r="G255" t="inlineStr">
        <is>
          <t>MARIESTAD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46288</v>
      </c>
      <c r="E256" s="1" t="n">
        <v>46289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46289</v>
      </c>
      <c r="F257" t="inlineStr">
        <is>
          <t>VÄSTRA GÖTALANDS LÄN</t>
        </is>
      </c>
      <c r="G257" t="inlineStr">
        <is>
          <t>MARIESTAD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46289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46289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46289</v>
      </c>
      <c r="F260" t="inlineStr">
        <is>
          <t>VÄSTRA GÖTALANDS LÄN</t>
        </is>
      </c>
      <c r="G260" t="inlineStr">
        <is>
          <t>MARIESTAD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46289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44496</v>
      </c>
      <c r="E262" s="1" t="n">
        <v>46289</v>
      </c>
      <c r="F262" t="inlineStr">
        <is>
          <t>VÄSTRA GÖTALANDS LÄN</t>
        </is>
      </c>
      <c r="G262" t="inlineStr">
        <is>
          <t>MARIESTAD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46289</v>
      </c>
      <c r="F263" t="inlineStr">
        <is>
          <t>VÄSTRA GÖTALANDS LÄN</t>
        </is>
      </c>
      <c r="G263" t="inlineStr">
        <is>
          <t>MARIESTAD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45203</v>
      </c>
      <c r="E264" s="1" t="n">
        <v>46289</v>
      </c>
      <c r="F264" t="inlineStr">
        <is>
          <t>VÄSTRA GÖTALANDS LÄN</t>
        </is>
      </c>
      <c r="G264" t="inlineStr">
        <is>
          <t>MARIESTAD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44572</v>
      </c>
      <c r="E265" s="1" t="n">
        <v>46289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Naturvårdsverket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46289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Kyrkan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44930</v>
      </c>
      <c r="E267" s="1" t="n">
        <v>46289</v>
      </c>
      <c r="F267" t="inlineStr">
        <is>
          <t>VÄSTRA GÖTALANDS LÄN</t>
        </is>
      </c>
      <c r="G267" t="inlineStr">
        <is>
          <t>MARIESTAD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46100</v>
      </c>
      <c r="E268" s="1" t="n">
        <v>46289</v>
      </c>
      <c r="F268" t="inlineStr">
        <is>
          <t>VÄSTRA GÖTALANDS LÄN</t>
        </is>
      </c>
      <c r="G268" t="inlineStr">
        <is>
          <t>MARIESTAD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44816</v>
      </c>
      <c r="E269" s="1" t="n">
        <v>46289</v>
      </c>
      <c r="F269" t="inlineStr">
        <is>
          <t>VÄSTRA GÖTALANDS LÄN</t>
        </is>
      </c>
      <c r="G269" t="inlineStr">
        <is>
          <t>MARIESTAD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46289</v>
      </c>
      <c r="F270" t="inlineStr">
        <is>
          <t>VÄSTRA GÖTALANDS LÄN</t>
        </is>
      </c>
      <c r="G270" t="inlineStr">
        <is>
          <t>MARIESTAD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45674</v>
      </c>
      <c r="E271" s="1" t="n">
        <v>46289</v>
      </c>
      <c r="F271" t="inlineStr">
        <is>
          <t>VÄSTRA GÖTALANDS LÄN</t>
        </is>
      </c>
      <c r="G271" t="inlineStr">
        <is>
          <t>MARIESTAD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45210</v>
      </c>
      <c r="E272" s="1" t="n">
        <v>46289</v>
      </c>
      <c r="F272" t="inlineStr">
        <is>
          <t>VÄSTRA GÖTALANDS LÄN</t>
        </is>
      </c>
      <c r="G272" t="inlineStr">
        <is>
          <t>MARIESTAD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45114</v>
      </c>
      <c r="E273" s="1" t="n">
        <v>46289</v>
      </c>
      <c r="F273" t="inlineStr">
        <is>
          <t>VÄSTRA GÖTALANDS LÄN</t>
        </is>
      </c>
      <c r="G273" t="inlineStr">
        <is>
          <t>MARIESTAD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45705</v>
      </c>
      <c r="E274" s="1" t="n">
        <v>46289</v>
      </c>
      <c r="F274" t="inlineStr">
        <is>
          <t>VÄSTRA GÖTALANDS LÄN</t>
        </is>
      </c>
      <c r="G274" t="inlineStr">
        <is>
          <t>MARIESTAD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46289</v>
      </c>
      <c r="F275" t="inlineStr">
        <is>
          <t>VÄSTRA GÖTALANDS LÄN</t>
        </is>
      </c>
      <c r="G275" t="inlineStr">
        <is>
          <t>MARIESTAD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46289</v>
      </c>
      <c r="F276" t="inlineStr">
        <is>
          <t>VÄSTRA GÖTALANDS LÄN</t>
        </is>
      </c>
      <c r="G276" t="inlineStr">
        <is>
          <t>MARIESTAD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46289</v>
      </c>
      <c r="F277" t="inlineStr">
        <is>
          <t>VÄSTRA GÖTALANDS LÄN</t>
        </is>
      </c>
      <c r="G277" t="inlineStr">
        <is>
          <t>MARIESTAD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59857-2024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45639</v>
      </c>
      <c r="E278" s="1" t="n">
        <v>46289</v>
      </c>
      <c r="F278" t="inlineStr">
        <is>
          <t>VÄSTRA GÖTALANDS LÄN</t>
        </is>
      </c>
      <c r="G278" t="inlineStr">
        <is>
          <t>MARIESTAD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44622</v>
      </c>
      <c r="E279" s="1" t="n">
        <v>46289</v>
      </c>
      <c r="F279" t="inlineStr">
        <is>
          <t>VÄSTRA GÖTALANDS LÄN</t>
        </is>
      </c>
      <c r="G279" t="inlineStr">
        <is>
          <t>MARIESTAD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46289</v>
      </c>
      <c r="F280" t="inlineStr">
        <is>
          <t>VÄSTRA GÖTALANDS LÄN</t>
        </is>
      </c>
      <c r="G280" t="inlineStr">
        <is>
          <t>MARIESTAD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44616</v>
      </c>
      <c r="E281" s="1" t="n">
        <v>46289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Kyrkan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45324</v>
      </c>
      <c r="E282" s="1" t="n">
        <v>46289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45530</v>
      </c>
      <c r="E283" s="1" t="n">
        <v>46289</v>
      </c>
      <c r="F283" t="inlineStr">
        <is>
          <t>VÄSTRA GÖTALANDS LÄN</t>
        </is>
      </c>
      <c r="G283" t="inlineStr">
        <is>
          <t>MARIESTAD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70295-2021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46289</v>
      </c>
      <c r="F284" t="inlineStr">
        <is>
          <t>VÄSTRA GÖTALANDS LÄN</t>
        </is>
      </c>
      <c r="G284" t="inlineStr">
        <is>
          <t>MARIESTAD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45873</v>
      </c>
      <c r="E285" s="1" t="n">
        <v>46289</v>
      </c>
      <c r="F285" t="inlineStr">
        <is>
          <t>VÄSTRA GÖTALANDS LÄN</t>
        </is>
      </c>
      <c r="G285" t="inlineStr">
        <is>
          <t>MARIESTAD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46289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46289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46289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46289</v>
      </c>
      <c r="F289" t="inlineStr">
        <is>
          <t>VÄSTRA GÖTALANDS LÄN</t>
        </is>
      </c>
      <c r="G289" t="inlineStr">
        <is>
          <t>MARIESTAD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45677</v>
      </c>
      <c r="E290" s="1" t="n">
        <v>46289</v>
      </c>
      <c r="F290" t="inlineStr">
        <is>
          <t>VÄSTRA GÖTALANDS LÄN</t>
        </is>
      </c>
      <c r="G290" t="inlineStr">
        <is>
          <t>MARIESTAD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46289</v>
      </c>
      <c r="F291" t="inlineStr">
        <is>
          <t>VÄSTRA GÖTALANDS LÄN</t>
        </is>
      </c>
      <c r="G291" t="inlineStr">
        <is>
          <t>MARIESTAD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46289</v>
      </c>
      <c r="F292" t="inlineStr">
        <is>
          <t>VÄSTRA GÖTALANDS LÄN</t>
        </is>
      </c>
      <c r="G292" t="inlineStr">
        <is>
          <t>MARIESTAD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44974</v>
      </c>
      <c r="E293" s="1" t="n">
        <v>46289</v>
      </c>
      <c r="F293" t="inlineStr">
        <is>
          <t>VÄSTRA GÖTALANDS LÄN</t>
        </is>
      </c>
      <c r="G293" t="inlineStr">
        <is>
          <t>MARIESTAD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46289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45728</v>
      </c>
      <c r="E295" s="1" t="n">
        <v>46289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39766-2023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45167</v>
      </c>
      <c r="E296" s="1" t="n">
        <v>46289</v>
      </c>
      <c r="F296" t="inlineStr">
        <is>
          <t>VÄSTRA GÖTALANDS LÄN</t>
        </is>
      </c>
      <c r="G296" t="inlineStr">
        <is>
          <t>MARIESTAD</t>
        </is>
      </c>
      <c r="I296" t="n">
        <v>26.5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45110-2022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44843</v>
      </c>
      <c r="E297" s="1" t="n">
        <v>46289</v>
      </c>
      <c r="F297" t="inlineStr">
        <is>
          <t>VÄSTRA GÖTALANDS LÄN</t>
        </is>
      </c>
      <c r="G297" t="inlineStr">
        <is>
          <t>MARIESTAD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46289</v>
      </c>
      <c r="F298" t="inlineStr">
        <is>
          <t>VÄSTRA GÖTALANDS LÄN</t>
        </is>
      </c>
      <c r="G298" t="inlineStr">
        <is>
          <t>MARIESTAD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46289</v>
      </c>
      <c r="F299" t="inlineStr">
        <is>
          <t>VÄSTRA GÖTALANDS LÄN</t>
        </is>
      </c>
      <c r="G299" t="inlineStr">
        <is>
          <t>MARIESTAD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45266</v>
      </c>
      <c r="E300" s="1" t="n">
        <v>46289</v>
      </c>
      <c r="F300" t="inlineStr">
        <is>
          <t>VÄSTRA GÖTALANDS LÄN</t>
        </is>
      </c>
      <c r="G300" t="inlineStr">
        <is>
          <t>MARIESTAD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45590</v>
      </c>
      <c r="E301" s="1" t="n">
        <v>46289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Kyrkan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56344-2022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46289</v>
      </c>
      <c r="F302" t="inlineStr">
        <is>
          <t>VÄSTRA GÖTALANDS LÄN</t>
        </is>
      </c>
      <c r="G302" t="inlineStr">
        <is>
          <t>MARIESTAD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45070</v>
      </c>
      <c r="E303" s="1" t="n">
        <v>46289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65197-2023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45289</v>
      </c>
      <c r="E304" s="1" t="n">
        <v>46289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46289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44942</v>
      </c>
      <c r="E306" s="1" t="n">
        <v>46289</v>
      </c>
      <c r="F306" t="inlineStr">
        <is>
          <t>VÄSTRA GÖTALANDS LÄN</t>
        </is>
      </c>
      <c r="G306" t="inlineStr">
        <is>
          <t>MARIESTAD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44774</v>
      </c>
      <c r="E307" s="1" t="n">
        <v>46289</v>
      </c>
      <c r="F307" t="inlineStr">
        <is>
          <t>VÄSTRA GÖTALANDS LÄN</t>
        </is>
      </c>
      <c r="G307" t="inlineStr">
        <is>
          <t>MARIESTAD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44756</v>
      </c>
      <c r="E308" s="1" t="n">
        <v>46289</v>
      </c>
      <c r="F308" t="inlineStr">
        <is>
          <t>VÄSTRA GÖTALANDS LÄN</t>
        </is>
      </c>
      <c r="G308" t="inlineStr">
        <is>
          <t>MARIESTAD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46289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45875</v>
      </c>
      <c r="E310" s="1" t="n">
        <v>46289</v>
      </c>
      <c r="F310" t="inlineStr">
        <is>
          <t>VÄSTRA GÖTALANDS LÄN</t>
        </is>
      </c>
      <c r="G310" t="inlineStr">
        <is>
          <t>MARIESTAD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46289</v>
      </c>
      <c r="F311" t="inlineStr">
        <is>
          <t>VÄSTRA GÖTALANDS LÄN</t>
        </is>
      </c>
      <c r="G311" t="inlineStr">
        <is>
          <t>MARIESTAD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40455-2023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45170</v>
      </c>
      <c r="E312" s="1" t="n">
        <v>46289</v>
      </c>
      <c r="F312" t="inlineStr">
        <is>
          <t>VÄSTRA GÖTALANDS LÄN</t>
        </is>
      </c>
      <c r="G312" t="inlineStr">
        <is>
          <t>MARIESTAD</t>
        </is>
      </c>
      <c r="I312" t="n">
        <v>34.9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44957</v>
      </c>
      <c r="E313" s="1" t="n">
        <v>46289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46289</v>
      </c>
      <c r="F314" t="inlineStr">
        <is>
          <t>VÄSTRA GÖTALANDS LÄN</t>
        </is>
      </c>
      <c r="G314" t="inlineStr">
        <is>
          <t>MARIESTAD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46289</v>
      </c>
      <c r="F315" t="inlineStr">
        <is>
          <t>VÄSTRA GÖTALANDS LÄN</t>
        </is>
      </c>
      <c r="G315" t="inlineStr">
        <is>
          <t>MARIESTAD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46289</v>
      </c>
      <c r="F316" t="inlineStr">
        <is>
          <t>VÄSTRA GÖTALANDS LÄN</t>
        </is>
      </c>
      <c r="G316" t="inlineStr">
        <is>
          <t>MARIESTAD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45702</v>
      </c>
      <c r="E317" s="1" t="n">
        <v>46289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46289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46289</v>
      </c>
      <c r="F319" t="inlineStr">
        <is>
          <t>VÄSTRA GÖTALANDS LÄN</t>
        </is>
      </c>
      <c r="G319" t="inlineStr">
        <is>
          <t>MARIESTAD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45384</v>
      </c>
      <c r="E320" s="1" t="n">
        <v>46289</v>
      </c>
      <c r="F320" t="inlineStr">
        <is>
          <t>VÄSTRA GÖTALANDS LÄN</t>
        </is>
      </c>
      <c r="G320" t="inlineStr">
        <is>
          <t>MARIESTAD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46289</v>
      </c>
      <c r="F321" t="inlineStr">
        <is>
          <t>VÄSTRA GÖTALANDS LÄN</t>
        </is>
      </c>
      <c r="G321" t="inlineStr">
        <is>
          <t>MARIESTAD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46289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Kyrkan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45516</v>
      </c>
      <c r="E323" s="1" t="n">
        <v>46289</v>
      </c>
      <c r="F323" t="inlineStr">
        <is>
          <t>VÄSTRA GÖTALANDS LÄN</t>
        </is>
      </c>
      <c r="G323" t="inlineStr">
        <is>
          <t>MARIESTAD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46289</v>
      </c>
      <c r="F324" t="inlineStr">
        <is>
          <t>VÄSTRA GÖTALANDS LÄN</t>
        </is>
      </c>
      <c r="G324" t="inlineStr">
        <is>
          <t>MARIESTAD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21361-2026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46142</v>
      </c>
      <c r="E325" s="1" t="n">
        <v>46289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Kyrkan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46157</v>
      </c>
      <c r="E326" s="1" t="n">
        <v>46289</v>
      </c>
      <c r="F326" t="inlineStr">
        <is>
          <t>VÄSTRA GÖTALANDS LÄN</t>
        </is>
      </c>
      <c r="G326" t="inlineStr">
        <is>
          <t>MARIESTAD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46289</v>
      </c>
      <c r="F327" t="inlineStr">
        <is>
          <t>VÄSTRA GÖTALANDS LÄN</t>
        </is>
      </c>
      <c r="G327" t="inlineStr">
        <is>
          <t>MARIESTAD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46289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46289</v>
      </c>
      <c r="F329" t="inlineStr">
        <is>
          <t>VÄSTRA GÖTALANDS LÄN</t>
        </is>
      </c>
      <c r="G329" t="inlineStr">
        <is>
          <t>MARIESTAD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46289</v>
      </c>
      <c r="F330" t="inlineStr">
        <is>
          <t>VÄSTRA GÖTALANDS LÄN</t>
        </is>
      </c>
      <c r="G330" t="inlineStr">
        <is>
          <t>MARIESTAD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45982</v>
      </c>
      <c r="E331" s="1" t="n">
        <v>46289</v>
      </c>
      <c r="F331" t="inlineStr">
        <is>
          <t>VÄSTRA GÖTALANDS LÄN</t>
        </is>
      </c>
      <c r="G331" t="inlineStr">
        <is>
          <t>MARIESTAD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46169</v>
      </c>
      <c r="E332" s="1" t="n">
        <v>46289</v>
      </c>
      <c r="F332" t="inlineStr">
        <is>
          <t>VÄSTRA GÖTALANDS LÄN</t>
        </is>
      </c>
      <c r="G332" t="inlineStr">
        <is>
          <t>MARIESTAD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46171</v>
      </c>
      <c r="E333" s="1" t="n">
        <v>46289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46289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46289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46289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26912-2026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46185</v>
      </c>
      <c r="E337" s="1" t="n">
        <v>46289</v>
      </c>
      <c r="F337" t="inlineStr">
        <is>
          <t>VÄSTRA GÖTALANDS LÄN</t>
        </is>
      </c>
      <c r="G337" t="inlineStr">
        <is>
          <t>MARIESTAD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46289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46289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46199</v>
      </c>
      <c r="E340" s="1" t="n">
        <v>46289</v>
      </c>
      <c r="F340" t="inlineStr">
        <is>
          <t>VÄSTRA GÖTALANDS LÄN</t>
        </is>
      </c>
      <c r="G340" t="inlineStr">
        <is>
          <t>MARIESTAD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46289</v>
      </c>
      <c r="F341" t="inlineStr">
        <is>
          <t>VÄSTRA GÖTALANDS LÄN</t>
        </is>
      </c>
      <c r="G341" t="inlineStr">
        <is>
          <t>MARIESTAD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29890-2026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46289</v>
      </c>
      <c r="F342" t="inlineStr">
        <is>
          <t>VÄSTRA GÖTALANDS LÄN</t>
        </is>
      </c>
      <c r="G342" t="inlineStr">
        <is>
          <t>MARIESTAD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46289</v>
      </c>
      <c r="F343" t="inlineStr">
        <is>
          <t>VÄSTRA GÖTALANDS LÄN</t>
        </is>
      </c>
      <c r="G343" t="inlineStr">
        <is>
          <t>MARIESTAD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46289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46289</v>
      </c>
      <c r="F345" t="inlineStr">
        <is>
          <t>VÄSTRA GÖTALANDS LÄN</t>
        </is>
      </c>
      <c r="G345" t="inlineStr">
        <is>
          <t>MARIESTAD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46261</v>
      </c>
      <c r="E346" s="1" t="n">
        <v>46289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46261</v>
      </c>
      <c r="E347" s="1" t="n">
        <v>46289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46262</v>
      </c>
      <c r="E348" s="1" t="n">
        <v>46289</v>
      </c>
      <c r="F348" t="inlineStr">
        <is>
          <t>VÄSTRA GÖTALANDS LÄN</t>
        </is>
      </c>
      <c r="G348" t="inlineStr">
        <is>
          <t>MARIESTAD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46262</v>
      </c>
      <c r="E349" s="1" t="n">
        <v>46289</v>
      </c>
      <c r="F349" t="inlineStr">
        <is>
          <t>VÄSTRA GÖTALANDS LÄN</t>
        </is>
      </c>
      <c r="G349" t="inlineStr">
        <is>
          <t>MARIESTAD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46289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46289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46289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2026-09-24T01:54:14Z</dcterms:created>
  <dcterms:modified xmlns:dcterms="http://purl.org/dc/terms/" xmlns:xsi="http://www.w3.org/2001/XMLSchema-instance" xsi:type="dcterms:W3CDTF">2026-09-24T01:54:14Z</dcterms:modified>
</cp:coreProperties>
</file>