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46294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46294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46294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46294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46294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46294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46294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63287-2025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46009</v>
      </c>
      <c r="E12" s="1" t="n">
        <v>46294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Kyrkan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1</v>
      </c>
      <c r="V12" s="2" t="inlineStr">
        <is>
          <t>Ask
Tallticka</t>
        </is>
      </c>
      <c r="W12">
        <f>HYPERLINK("https://klasma.github.io/Logging_1493/artfynd/A 63287-2025 artfynd.xlsx", "A 63287-2025")</f>
        <v/>
      </c>
      <c r="X12">
        <f>HYPERLINK("https://klasma.github.io/Logging_1493/kartor/A 63287-2025 karta.png", "A 63287-2025")</f>
        <v/>
      </c>
      <c r="Y12">
        <f>HYPERLINK("https://klasma.github.io/Logging_1493/kartor_geotiff/A 63287-2025 georefererad karta.tif", "A 63287-2025")</f>
        <v/>
      </c>
      <c r="AA12">
        <f>HYPERLINK("https://klasma.github.io/Logging_1493/klagomål/A 63287-2025 FSC-klagomål.docx", "A 63287-2025")</f>
        <v/>
      </c>
      <c r="AB12">
        <f>HYPERLINK("https://klasma.github.io/Logging_1493/klagomålsmail/A 63287-2025 FSC-klagomål mail.docx", "A 63287-2025")</f>
        <v/>
      </c>
      <c r="AC12">
        <f>HYPERLINK("https://klasma.github.io/Logging_1493/tillsyn/A 63287-2025 tillsynsbegäran.docx", "A 63287-2025")</f>
        <v/>
      </c>
      <c r="AD12">
        <f>HYPERLINK("https://klasma.github.io/Logging_1493/tillsynsmail/A 63287-2025 tillsynsbegäran mail.docx", "A 63287-2025")</f>
        <v/>
      </c>
    </row>
    <row r="13" ht="15" customHeight="1">
      <c r="A13" t="inlineStr">
        <is>
          <t>A 27444-2023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45097</v>
      </c>
      <c r="E13" s="1" t="n">
        <v>46294</v>
      </c>
      <c r="F13" t="inlineStr">
        <is>
          <t>VÄSTRA GÖTALANDS LÄN</t>
        </is>
      </c>
      <c r="G13" t="inlineStr">
        <is>
          <t>MARIESTAD</t>
        </is>
      </c>
      <c r="I13" t="n">
        <v>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Svinrot
Gullviva</t>
        </is>
      </c>
      <c r="W13">
        <f>HYPERLINK("https://klasma.github.io/Logging_1493/artfynd/A 27444-2023 artfynd.xlsx", "A 27444-2023")</f>
        <v/>
      </c>
      <c r="X13">
        <f>HYPERLINK("https://klasma.github.io/Logging_1493/kartor/A 27444-2023 karta.png", "A 27444-2023")</f>
        <v/>
      </c>
      <c r="Y13">
        <f>HYPERLINK("https://klasma.github.io/Logging_1493/kartor_geotiff/A 27444-2023 georefererad karta.tif", "A 27444-2023")</f>
        <v/>
      </c>
      <c r="AA13">
        <f>HYPERLINK("https://klasma.github.io/Logging_1493/klagomål/A 27444-2023 FSC-klagomål.docx", "A 27444-2023")</f>
        <v/>
      </c>
      <c r="AB13">
        <f>HYPERLINK("https://klasma.github.io/Logging_1493/klagomålsmail/A 27444-2023 FSC-klagomål mail.docx", "A 27444-2023")</f>
        <v/>
      </c>
      <c r="AC13">
        <f>HYPERLINK("https://klasma.github.io/Logging_1493/tillsyn/A 27444-2023 tillsynsbegäran.docx", "A 27444-2023")</f>
        <v/>
      </c>
      <c r="AD13">
        <f>HYPERLINK("https://klasma.github.io/Logging_1493/tillsynsmail/A 27444-2023 tillsynsbegäran mail.docx", "A 27444-2023")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46294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46294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46294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46294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11073-2022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44628</v>
      </c>
      <c r="E18" s="1" t="n">
        <v>46294</v>
      </c>
      <c r="F18" t="inlineStr">
        <is>
          <t>VÄSTRA GÖTALANDS LÄN</t>
        </is>
      </c>
      <c r="G18" t="inlineStr">
        <is>
          <t>MARIESTAD</t>
        </is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Skogsduva</t>
        </is>
      </c>
      <c r="W18">
        <f>HYPERLINK("https://klasma.github.io/Logging_1493/artfynd/A 11073-2022 artfynd.xlsx", "A 11073-2022")</f>
        <v/>
      </c>
      <c r="X18">
        <f>HYPERLINK("https://klasma.github.io/Logging_1493/kartor/A 11073-2022 karta.png", "A 11073-2022")</f>
        <v/>
      </c>
      <c r="Y18">
        <f>HYPERLINK("https://klasma.github.io/Logging_1493/kartor_geotiff/A 11073-2022 georefererad karta.tif", "A 11073-2022")</f>
        <v/>
      </c>
      <c r="AA18">
        <f>HYPERLINK("https://klasma.github.io/Logging_1493/klagomål/A 11073-2022 FSC-klagomål.docx", "A 11073-2022")</f>
        <v/>
      </c>
      <c r="AB18">
        <f>HYPERLINK("https://klasma.github.io/Logging_1493/klagomålsmail/A 11073-2022 FSC-klagomål mail.docx", "A 11073-2022")</f>
        <v/>
      </c>
      <c r="AC18">
        <f>HYPERLINK("https://klasma.github.io/Logging_1493/tillsyn/A 11073-2022 tillsynsbegäran.docx", "A 11073-2022")</f>
        <v/>
      </c>
      <c r="AD18">
        <f>HYPERLINK("https://klasma.github.io/Logging_1493/tillsynsmail/A 11073-2022 tillsynsbegäran mail.docx", "A 11073-2022")</f>
        <v/>
      </c>
      <c r="AE18">
        <f>HYPERLINK("https://klasma.github.io/Logging_1493/fåglar/A 11073-2022 prioriterade fågelarter.docx", "A 11073-2022")</f>
        <v/>
      </c>
    </row>
    <row r="19" ht="15" customHeight="1">
      <c r="A19" t="inlineStr">
        <is>
          <t>A 50053-2023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45215</v>
      </c>
      <c r="E19" s="1" t="n">
        <v>46294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Grovticka</t>
        </is>
      </c>
      <c r="W19">
        <f>HYPERLINK("https://klasma.github.io/Logging_1493/artfynd/A 50053-2023 artfynd.xlsx", "A 50053-2023")</f>
        <v/>
      </c>
      <c r="X19">
        <f>HYPERLINK("https://klasma.github.io/Logging_1493/kartor/A 50053-2023 karta.png", "A 50053-2023")</f>
        <v/>
      </c>
      <c r="Y19">
        <f>HYPERLINK("https://klasma.github.io/Logging_1493/kartor_geotiff/A 50053-2023 georefererad karta.tif", "A 50053-2023")</f>
        <v/>
      </c>
      <c r="Z19">
        <f>HYPERLINK("https://klasma.github.io/Logging_1493/knärot/A 50053-2023 karta knärot.png", "A 50053-2023")</f>
        <v/>
      </c>
      <c r="AA19">
        <f>HYPERLINK("https://klasma.github.io/Logging_1493/klagomål/A 50053-2023 FSC-klagomål.docx", "A 50053-2023")</f>
        <v/>
      </c>
      <c r="AB19">
        <f>HYPERLINK("https://klasma.github.io/Logging_1493/klagomålsmail/A 50053-2023 FSC-klagomål mail.docx", "A 50053-2023")</f>
        <v/>
      </c>
      <c r="AC19">
        <f>HYPERLINK("https://klasma.github.io/Logging_1493/tillsyn/A 50053-2023 tillsynsbegäran.docx", "A 50053-2023")</f>
        <v/>
      </c>
      <c r="AD19">
        <f>HYPERLINK("https://klasma.github.io/Logging_1493/tillsynsmail/A 50053-2023 tillsynsbegäran mail.docx", "A 50053-2023")</f>
        <v/>
      </c>
    </row>
    <row r="20" ht="15" customHeight="1">
      <c r="A20" t="inlineStr">
        <is>
          <t>A 21503-2024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45441</v>
      </c>
      <c r="E20" s="1" t="n">
        <v>46294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Kommuner</t>
        </is>
      </c>
      <c r="I20" t="n">
        <v>3.3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Svinrot</t>
        </is>
      </c>
      <c r="W20">
        <f>HYPERLINK("https://klasma.github.io/Logging_1493/artfynd/A 21503-2024 artfynd.xlsx", "A 21503-2024")</f>
        <v/>
      </c>
      <c r="X20">
        <f>HYPERLINK("https://klasma.github.io/Logging_1493/kartor/A 21503-2024 karta.png", "A 21503-2024")</f>
        <v/>
      </c>
      <c r="Y20">
        <f>HYPERLINK("https://klasma.github.io/Logging_1493/kartor_geotiff/A 21503-2024 georefererad karta.tif", "A 21503-2024")</f>
        <v/>
      </c>
      <c r="AA20">
        <f>HYPERLINK("https://klasma.github.io/Logging_1493/klagomål/A 21503-2024 FSC-klagomål.docx", "A 21503-2024")</f>
        <v/>
      </c>
      <c r="AB20">
        <f>HYPERLINK("https://klasma.github.io/Logging_1493/klagomålsmail/A 21503-2024 FSC-klagomål mail.docx", "A 21503-2024")</f>
        <v/>
      </c>
      <c r="AC20">
        <f>HYPERLINK("https://klasma.github.io/Logging_1493/tillsyn/A 21503-2024 tillsynsbegäran.docx", "A 21503-2024")</f>
        <v/>
      </c>
      <c r="AD20">
        <f>HYPERLINK("https://klasma.github.io/Logging_1493/tillsynsmail/A 21503-2024 tillsynsbegäran mail.docx", "A 21503-2024")</f>
        <v/>
      </c>
    </row>
    <row r="21" ht="15" customHeight="1">
      <c r="A21" t="inlineStr">
        <is>
          <t>A 14947-2023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45015</v>
      </c>
      <c r="E21" s="1" t="n">
        <v>46294</v>
      </c>
      <c r="F21" t="inlineStr">
        <is>
          <t>VÄSTRA GÖTALANDS LÄN</t>
        </is>
      </c>
      <c r="G21" t="inlineStr">
        <is>
          <t>MARIESTAD</t>
        </is>
      </c>
      <c r="I21" t="n">
        <v>1.9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5</v>
      </c>
      <c r="U21" t="n">
        <v>0</v>
      </c>
      <c r="V21" s="2" t="inlineStr">
        <is>
          <t>Knärot
Grönpyrola</t>
        </is>
      </c>
      <c r="W21">
        <f>HYPERLINK("https://klasma.github.io/Logging_1493/artfynd/A 14947-2023 artfynd.xlsx", "A 14947-2023")</f>
        <v/>
      </c>
      <c r="X21">
        <f>HYPERLINK("https://klasma.github.io/Logging_1493/kartor/A 14947-2023 karta.png", "A 14947-2023")</f>
        <v/>
      </c>
      <c r="Y21">
        <f>HYPERLINK("https://klasma.github.io/Logging_1493/kartor_geotiff/A 14947-2023 georefererad karta.tif", "A 14947-2023")</f>
        <v/>
      </c>
      <c r="Z21">
        <f>HYPERLINK("https://klasma.github.io/Logging_1493/knärot/A 14947-2023 karta knärot.png", "A 14947-2023")</f>
        <v/>
      </c>
      <c r="AA21">
        <f>HYPERLINK("https://klasma.github.io/Logging_1493/klagomål/A 14947-2023 FSC-klagomål.docx", "A 14947-2023")</f>
        <v/>
      </c>
      <c r="AB21">
        <f>HYPERLINK("https://klasma.github.io/Logging_1493/klagomålsmail/A 14947-2023 FSC-klagomål mail.docx", "A 14947-2023")</f>
        <v/>
      </c>
      <c r="AC21">
        <f>HYPERLINK("https://klasma.github.io/Logging_1493/tillsyn/A 14947-2023 tillsynsbegäran.docx", "A 14947-2023")</f>
        <v/>
      </c>
      <c r="AD21">
        <f>HYPERLINK("https://klasma.github.io/Logging_1493/tillsynsmail/A 14947-2023 tillsynsbegäran mail.docx", "A 14947-2023")</f>
        <v/>
      </c>
    </row>
    <row r="22" ht="15" customHeight="1">
      <c r="A22" t="inlineStr">
        <is>
          <t>A 46886-2023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45201</v>
      </c>
      <c r="E22" s="1" t="n">
        <v>46294</v>
      </c>
      <c r="F22" t="inlineStr">
        <is>
          <t>VÄSTRA GÖTALANDS LÄN</t>
        </is>
      </c>
      <c r="G22" t="inlineStr">
        <is>
          <t>MARIESTAD</t>
        </is>
      </c>
      <c r="I22" t="n">
        <v>2.5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Skogshare
Spillkråka</t>
        </is>
      </c>
      <c r="W22">
        <f>HYPERLINK("https://klasma.github.io/Logging_1493/artfynd/A 46886-2023 artfynd.xlsx", "A 46886-2023")</f>
        <v/>
      </c>
      <c r="X22">
        <f>HYPERLINK("https://klasma.github.io/Logging_1493/kartor/A 46886-2023 karta.png", "A 46886-2023")</f>
        <v/>
      </c>
      <c r="Y22">
        <f>HYPERLINK("https://klasma.github.io/Logging_1493/kartor_geotiff/A 46886-2023 georefererad karta.tif", "A 46886-2023")</f>
        <v/>
      </c>
      <c r="AA22">
        <f>HYPERLINK("https://klasma.github.io/Logging_1493/klagomål/A 46886-2023 FSC-klagomål.docx", "A 46886-2023")</f>
        <v/>
      </c>
      <c r="AB22">
        <f>HYPERLINK("https://klasma.github.io/Logging_1493/klagomålsmail/A 46886-2023 FSC-klagomål mail.docx", "A 46886-2023")</f>
        <v/>
      </c>
      <c r="AC22">
        <f>HYPERLINK("https://klasma.github.io/Logging_1493/tillsyn/A 46886-2023 tillsynsbegäran.docx", "A 46886-2023")</f>
        <v/>
      </c>
      <c r="AD22">
        <f>HYPERLINK("https://klasma.github.io/Logging_1493/tillsynsmail/A 46886-2023 tillsynsbegäran mail.docx", "A 46886-2023")</f>
        <v/>
      </c>
      <c r="AE22">
        <f>HYPERLINK("https://klasma.github.io/Logging_1493/fåglar/A 46886-2023 prioriterade fågelarter.docx", "A 46886-2023")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46294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46294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46294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46294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46294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46294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46294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HYPERLINK("https://klasma.github.io/Logging_1493/artfynd/A 59316-2025 artfynd.xlsx", "A 59316-2025")</f>
        <v/>
      </c>
      <c r="X29">
        <f>HYPERLINK("https://klasma.github.io/Logging_1493/kartor/A 59316-2025 karta.png", "A 59316-2025")</f>
        <v/>
      </c>
      <c r="Y29">
        <f>HYPERLINK("https://klasma.github.io/Logging_1493/kartor_geotiff/A 59316-2025 georefererad karta.tif", "A 59316-2025")</f>
        <v/>
      </c>
      <c r="AA29">
        <f>HYPERLINK("https://klasma.github.io/Logging_1493/klagomål/A 59316-2025 FSC-klagomål.docx", "A 59316-2025")</f>
        <v/>
      </c>
      <c r="AB29">
        <f>HYPERLINK("https://klasma.github.io/Logging_1493/klagomålsmail/A 59316-2025 FSC-klagomål mail.docx", "A 59316-2025")</f>
        <v/>
      </c>
      <c r="AC29">
        <f>HYPERLINK("https://klasma.github.io/Logging_1493/tillsyn/A 59316-2025 tillsynsbegäran.docx", "A 59316-2025")</f>
        <v/>
      </c>
      <c r="AD29">
        <f>HYPERLINK("https://klasma.github.io/Logging_1493/tillsynsmail/A 59316-2025 tillsynsbegäran mail.docx", "A 59316-2025")</f>
        <v/>
      </c>
    </row>
    <row r="30" ht="15" customHeight="1">
      <c r="A30" t="inlineStr">
        <is>
          <t>A 17272-2023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45035</v>
      </c>
      <c r="E30" s="1" t="n">
        <v>46294</v>
      </c>
      <c r="F30" t="inlineStr">
        <is>
          <t>VÄSTRA GÖTALANDS LÄN</t>
        </is>
      </c>
      <c r="G30" t="inlineStr">
        <is>
          <t>MARIESTAD</t>
        </is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HYPERLINK("https://klasma.github.io/Logging_1493/artfynd/A 17272-2023 artfynd.xlsx", "A 17272-2023")</f>
        <v/>
      </c>
      <c r="X30">
        <f>HYPERLINK("https://klasma.github.io/Logging_1493/kartor/A 17272-2023 karta.png", "A 17272-2023")</f>
        <v/>
      </c>
      <c r="Y30">
        <f>HYPERLINK("https://klasma.github.io/Logging_1493/kartor_geotiff/A 17272-2023 georefererad karta.tif", "A 17272-2023")</f>
        <v/>
      </c>
      <c r="AA30">
        <f>HYPERLINK("https://klasma.github.io/Logging_1493/klagomål/A 17272-2023 FSC-klagomål.docx", "A 17272-2023")</f>
        <v/>
      </c>
      <c r="AB30">
        <f>HYPERLINK("https://klasma.github.io/Logging_1493/klagomålsmail/A 17272-2023 FSC-klagomål mail.docx", "A 17272-2023")</f>
        <v/>
      </c>
      <c r="AC30">
        <f>HYPERLINK("https://klasma.github.io/Logging_1493/tillsyn/A 17272-2023 tillsynsbegäran.docx", "A 17272-2023")</f>
        <v/>
      </c>
      <c r="AD30">
        <f>HYPERLINK("https://klasma.github.io/Logging_1493/tillsynsmail/A 17272-2023 tillsynsbegäran mail.docx", "A 17272-2023")</f>
        <v/>
      </c>
    </row>
    <row r="31" ht="15" customHeight="1">
      <c r="A31" t="inlineStr">
        <is>
          <t>A 7578-2025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45705</v>
      </c>
      <c r="E31" s="1" t="n">
        <v>46294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Svartvit flugsnappare</t>
        </is>
      </c>
      <c r="W31">
        <f>HYPERLINK("https://klasma.github.io/Logging_1493/artfynd/A 7578-2025 artfynd.xlsx", "A 7578-2025")</f>
        <v/>
      </c>
      <c r="X31">
        <f>HYPERLINK("https://klasma.github.io/Logging_1493/kartor/A 7578-2025 karta.png", "A 7578-2025")</f>
        <v/>
      </c>
      <c r="Y31">
        <f>HYPERLINK("https://klasma.github.io/Logging_1493/kartor_geotiff/A 7578-2025 georefererad karta.tif", "A 7578-2025")</f>
        <v/>
      </c>
      <c r="AA31">
        <f>HYPERLINK("https://klasma.github.io/Logging_1493/klagomål/A 7578-2025 FSC-klagomål.docx", "A 7578-2025")</f>
        <v/>
      </c>
      <c r="AB31">
        <f>HYPERLINK("https://klasma.github.io/Logging_1493/klagomålsmail/A 7578-2025 FSC-klagomål mail.docx", "A 7578-2025")</f>
        <v/>
      </c>
      <c r="AC31">
        <f>HYPERLINK("https://klasma.github.io/Logging_1493/tillsyn/A 7578-2025 tillsynsbegäran.docx", "A 7578-2025")</f>
        <v/>
      </c>
      <c r="AD31">
        <f>HYPERLINK("https://klasma.github.io/Logging_1493/tillsynsmail/A 7578-2025 tillsynsbegäran mail.docx", "A 7578-2025")</f>
        <v/>
      </c>
    </row>
    <row r="32" ht="15" customHeight="1">
      <c r="A32" t="inlineStr">
        <is>
          <t>A 12379-2026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46090</v>
      </c>
      <c r="E32" s="1" t="n">
        <v>46294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Sveaskog</t>
        </is>
      </c>
      <c r="I32" t="n">
        <v>5.7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HYPERLINK("https://klasma.github.io/Logging_1493/artfynd/A 12379-2026 artfynd.xlsx", "A 12379-2026")</f>
        <v/>
      </c>
      <c r="X32">
        <f>HYPERLINK("https://klasma.github.io/Logging_1493/kartor/A 12379-2026 karta.png", "A 12379-2026")</f>
        <v/>
      </c>
      <c r="Y32">
        <f>HYPERLINK("https://klasma.github.io/Logging_1493/kartor_geotiff/A 12379-2026 georefererad karta.tif", "A 12379-2026")</f>
        <v/>
      </c>
      <c r="AA32">
        <f>HYPERLINK("https://klasma.github.io/Logging_1493/klagomål/A 12379-2026 FSC-klagomål.docx", "A 12379-2026")</f>
        <v/>
      </c>
      <c r="AB32">
        <f>HYPERLINK("https://klasma.github.io/Logging_1493/klagomålsmail/A 12379-2026 FSC-klagomål mail.docx", "A 12379-2026")</f>
        <v/>
      </c>
      <c r="AC32">
        <f>HYPERLINK("https://klasma.github.io/Logging_1493/tillsyn/A 12379-2026 tillsynsbegäran.docx", "A 12379-2026")</f>
        <v/>
      </c>
      <c r="AD32">
        <f>HYPERLINK("https://klasma.github.io/Logging_1493/tillsynsmail/A 12379-2026 tillsynsbegäran mail.docx", "A 12379-2026")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46294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42647-2023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46294</v>
      </c>
      <c r="F34" t="inlineStr">
        <is>
          <t>VÄSTRA GÖTALANDS LÄN</t>
        </is>
      </c>
      <c r="G34" t="inlineStr">
        <is>
          <t>MARIESTAD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Ärtsångare</t>
        </is>
      </c>
      <c r="W34">
        <f>HYPERLINK("https://klasma.github.io/Logging_1493/artfynd/A 42647-2023 artfynd.xlsx", "A 42647-2023")</f>
        <v/>
      </c>
      <c r="X34">
        <f>HYPERLINK("https://klasma.github.io/Logging_1493/kartor/A 42647-2023 karta.png", "A 42647-2023")</f>
        <v/>
      </c>
      <c r="Y34">
        <f>HYPERLINK("https://klasma.github.io/Logging_1493/kartor_geotiff/A 42647-2023 georefererad karta.tif", "A 42647-2023")</f>
        <v/>
      </c>
      <c r="AA34">
        <f>HYPERLINK("https://klasma.github.io/Logging_1493/klagomål/A 42647-2023 FSC-klagomål.docx", "A 42647-2023")</f>
        <v/>
      </c>
      <c r="AB34">
        <f>HYPERLINK("https://klasma.github.io/Logging_1493/klagomålsmail/A 42647-2023 FSC-klagomål mail.docx", "A 42647-2023")</f>
        <v/>
      </c>
      <c r="AC34">
        <f>HYPERLINK("https://klasma.github.io/Logging_1493/tillsyn/A 42647-2023 tillsynsbegäran.docx", "A 42647-2023")</f>
        <v/>
      </c>
      <c r="AD34">
        <f>HYPERLINK("https://klasma.github.io/Logging_1493/tillsynsmail/A 42647-2023 tillsynsbegäran mail.docx", "A 42647-2023")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46294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46294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46294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49233-2023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45210</v>
      </c>
      <c r="E38" s="1" t="n">
        <v>46294</v>
      </c>
      <c r="F38" t="inlineStr">
        <is>
          <t>VÄSTRA GÖTALANDS LÄN</t>
        </is>
      </c>
      <c r="G38" t="inlineStr">
        <is>
          <t>MARIESTAD</t>
        </is>
      </c>
      <c r="I38" t="n">
        <v>6.1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Lönnlav</t>
        </is>
      </c>
      <c r="W38">
        <f>HYPERLINK("https://klasma.github.io/Logging_1493/artfynd/A 49233-2023 artfynd.xlsx", "A 49233-2023")</f>
        <v/>
      </c>
      <c r="X38">
        <f>HYPERLINK("https://klasma.github.io/Logging_1493/kartor/A 49233-2023 karta.png", "A 49233-2023")</f>
        <v/>
      </c>
      <c r="Y38">
        <f>HYPERLINK("https://klasma.github.io/Logging_1493/kartor_geotiff/A 49233-2023 georefererad karta.tif", "A 49233-2023")</f>
        <v/>
      </c>
      <c r="AA38">
        <f>HYPERLINK("https://klasma.github.io/Logging_1493/klagomål/A 49233-2023 FSC-klagomål.docx", "A 49233-2023")</f>
        <v/>
      </c>
      <c r="AB38">
        <f>HYPERLINK("https://klasma.github.io/Logging_1493/klagomålsmail/A 49233-2023 FSC-klagomål mail.docx", "A 49233-2023")</f>
        <v/>
      </c>
      <c r="AC38">
        <f>HYPERLINK("https://klasma.github.io/Logging_1493/tillsyn/A 49233-2023 tillsynsbegäran.docx", "A 49233-2023")</f>
        <v/>
      </c>
      <c r="AD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46294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Kommuner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Nattviol</t>
        </is>
      </c>
      <c r="W39">
        <f>HYPERLINK("https://klasma.github.io/Logging_1493/artfynd/A 30652-2023 artfynd.xlsx", "A 30652-2023")</f>
        <v/>
      </c>
      <c r="X39">
        <f>HYPERLINK("https://klasma.github.io/Logging_1493/kartor/A 30652-2023 karta.png", "A 30652-2023")</f>
        <v/>
      </c>
      <c r="Y39">
        <f>HYPERLINK("https://klasma.github.io/Logging_1493/kartor_geotiff/A 30652-2023 georefererad karta.tif", "A 30652-2023")</f>
        <v/>
      </c>
      <c r="AA39">
        <f>HYPERLINK("https://klasma.github.io/Logging_1493/klagomål/A 30652-2023 FSC-klagomål.docx", "A 30652-2023")</f>
        <v/>
      </c>
      <c r="AB39">
        <f>HYPERLINK("https://klasma.github.io/Logging_1493/klagomålsmail/A 30652-2023 FSC-klagomål mail.docx", "A 30652-2023")</f>
        <v/>
      </c>
      <c r="AC39">
        <f>HYPERLINK("https://klasma.github.io/Logging_1493/tillsyn/A 30652-2023 tillsynsbegäran.docx", "A 30652-2023")</f>
        <v/>
      </c>
      <c r="AD39">
        <f>HYPERLINK("https://klasma.github.io/Logging_1493/tillsynsmail/A 30652-2023 tillsynsbegäran mail.docx", "A 30652-2023")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46294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46294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46294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46294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46294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46294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46294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46294</v>
      </c>
      <c r="F47" t="inlineStr">
        <is>
          <t>VÄSTRA GÖTALANDS LÄN</t>
        </is>
      </c>
      <c r="G47" t="inlineStr">
        <is>
          <t>MARIESTAD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46294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46294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46294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46294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46294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46294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46294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46294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46294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46294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46294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46294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46294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46294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46294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46294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46294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46294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45674</v>
      </c>
      <c r="E66" s="1" t="n">
        <v>46294</v>
      </c>
      <c r="F66" t="inlineStr">
        <is>
          <t>VÄSTRA GÖTALANDS LÄN</t>
        </is>
      </c>
      <c r="G66" t="inlineStr">
        <is>
          <t>MARIESTAD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44630</v>
      </c>
      <c r="E67" s="1" t="n">
        <v>46294</v>
      </c>
      <c r="F67" t="inlineStr">
        <is>
          <t>VÄSTRA GÖTALANDS LÄN</t>
        </is>
      </c>
      <c r="G67" t="inlineStr">
        <is>
          <t>MARIESTAD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44843</v>
      </c>
      <c r="E68" s="1" t="n">
        <v>46294</v>
      </c>
      <c r="F68" t="inlineStr">
        <is>
          <t>VÄSTRA GÖTALANDS LÄN</t>
        </is>
      </c>
      <c r="G68" t="inlineStr">
        <is>
          <t>MARIESTAD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46294</v>
      </c>
      <c r="F69" t="inlineStr">
        <is>
          <t>VÄSTRA GÖTALANDS LÄN</t>
        </is>
      </c>
      <c r="G69" t="inlineStr">
        <is>
          <t>MARIESTAD</t>
        </is>
      </c>
      <c r="I69" t="n">
        <v>8.800000000000001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46294</v>
      </c>
      <c r="F70" t="inlineStr">
        <is>
          <t>VÄSTRA GÖTALANDS LÄN</t>
        </is>
      </c>
      <c r="G70" t="inlineStr">
        <is>
          <t>MARIESTAD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46294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Kyrkan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46294</v>
      </c>
      <c r="F72" t="inlineStr">
        <is>
          <t>VÄSTRA GÖTALANDS LÄN</t>
        </is>
      </c>
      <c r="G72" t="inlineStr">
        <is>
          <t>MARIESTAD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46294</v>
      </c>
      <c r="F73" t="inlineStr">
        <is>
          <t>VÄSTRA GÖTALANDS LÄN</t>
        </is>
      </c>
      <c r="G73" t="inlineStr">
        <is>
          <t>MARIESTAD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46294</v>
      </c>
      <c r="F74" t="inlineStr">
        <is>
          <t>VÄSTRA GÖTALANDS LÄN</t>
        </is>
      </c>
      <c r="G74" t="inlineStr">
        <is>
          <t>MARIESTAD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46294</v>
      </c>
      <c r="F75" t="inlineStr">
        <is>
          <t>VÄSTRA GÖTALANDS LÄN</t>
        </is>
      </c>
      <c r="G75" t="inlineStr">
        <is>
          <t>MARIESTAD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46294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Kommuner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46294</v>
      </c>
      <c r="F77" t="inlineStr">
        <is>
          <t>VÄSTRA GÖTALANDS LÄN</t>
        </is>
      </c>
      <c r="G77" t="inlineStr">
        <is>
          <t>MARIESTAD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46294</v>
      </c>
      <c r="F78" t="inlineStr">
        <is>
          <t>VÄSTRA GÖTALANDS LÄN</t>
        </is>
      </c>
      <c r="G78" t="inlineStr">
        <is>
          <t>MARIESTAD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32796-2024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45516</v>
      </c>
      <c r="E79" s="1" t="n">
        <v>46294</v>
      </c>
      <c r="F79" t="inlineStr">
        <is>
          <t>VÄSTRA GÖTALANDS LÄN</t>
        </is>
      </c>
      <c r="G79" t="inlineStr">
        <is>
          <t>MARIESTAD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46294</v>
      </c>
      <c r="F80" t="inlineStr">
        <is>
          <t>VÄSTRA GÖTALANDS LÄN</t>
        </is>
      </c>
      <c r="G80" t="inlineStr">
        <is>
          <t>MARIESTAD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45590</v>
      </c>
      <c r="E81" s="1" t="n">
        <v>46294</v>
      </c>
      <c r="F81" t="inlineStr">
        <is>
          <t>VÄSTRA GÖTALANDS LÄN</t>
        </is>
      </c>
      <c r="G81" t="inlineStr">
        <is>
          <t>MARIESTAD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46294</v>
      </c>
      <c r="F82" t="inlineStr">
        <is>
          <t>VÄSTRA GÖTALANDS LÄN</t>
        </is>
      </c>
      <c r="G82" t="inlineStr">
        <is>
          <t>MARIESTAD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66772-2021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44521</v>
      </c>
      <c r="E83" s="1" t="n">
        <v>46294</v>
      </c>
      <c r="F83" t="inlineStr">
        <is>
          <t>VÄSTRA GÖTALANDS LÄN</t>
        </is>
      </c>
      <c r="G83" t="inlineStr">
        <is>
          <t>MARIESTAD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46294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46294</v>
      </c>
      <c r="F85" t="inlineStr">
        <is>
          <t>VÄSTRA GÖTALANDS LÄN</t>
        </is>
      </c>
      <c r="G85" t="inlineStr">
        <is>
          <t>MARIESTAD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49385-2023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45211</v>
      </c>
      <c r="E86" s="1" t="n">
        <v>46294</v>
      </c>
      <c r="F86" t="inlineStr">
        <is>
          <t>VÄSTRA GÖTALANDS LÄN</t>
        </is>
      </c>
      <c r="G86" t="inlineStr">
        <is>
          <t>MARIESTAD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38948-2025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46294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46294</v>
      </c>
      <c r="F88" t="inlineStr">
        <is>
          <t>VÄSTRA GÖTALANDS LÄN</t>
        </is>
      </c>
      <c r="G88" t="inlineStr">
        <is>
          <t>MARIESTAD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31142-2024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45502</v>
      </c>
      <c r="E89" s="1" t="n">
        <v>46294</v>
      </c>
      <c r="F89" t="inlineStr">
        <is>
          <t>VÄSTRA GÖTALANDS LÄN</t>
        </is>
      </c>
      <c r="G89" t="inlineStr">
        <is>
          <t>MARIESTAD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46294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22975-2025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45790</v>
      </c>
      <c r="E91" s="1" t="n">
        <v>46294</v>
      </c>
      <c r="F91" t="inlineStr">
        <is>
          <t>VÄSTRA GÖTALANDS LÄN</t>
        </is>
      </c>
      <c r="G91" t="inlineStr">
        <is>
          <t>MARIESTAD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46294</v>
      </c>
      <c r="F92" t="inlineStr">
        <is>
          <t>VÄSTRA GÖTALANDS LÄN</t>
        </is>
      </c>
      <c r="G92" t="inlineStr">
        <is>
          <t>MARIESTAD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45331</v>
      </c>
      <c r="E93" s="1" t="n">
        <v>46294</v>
      </c>
      <c r="F93" t="inlineStr">
        <is>
          <t>VÄSTRA GÖTALANDS LÄN</t>
        </is>
      </c>
      <c r="G93" t="inlineStr">
        <is>
          <t>MARIESTAD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62633-2025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46008</v>
      </c>
      <c r="E94" s="1" t="n">
        <v>46294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52869-2024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45610</v>
      </c>
      <c r="E95" s="1" t="n">
        <v>46294</v>
      </c>
      <c r="F95" t="inlineStr">
        <is>
          <t>VÄSTRA GÖTALANDS LÄN</t>
        </is>
      </c>
      <c r="G95" t="inlineStr">
        <is>
          <t>MARIESTAD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46294</v>
      </c>
      <c r="F96" t="inlineStr">
        <is>
          <t>VÄSTRA GÖTALANDS LÄN</t>
        </is>
      </c>
      <c r="G96" t="inlineStr">
        <is>
          <t>MARIESTAD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45470</v>
      </c>
      <c r="E97" s="1" t="n">
        <v>46294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Kyrkan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45798</v>
      </c>
      <c r="E98" s="1" t="n">
        <v>46294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46294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45097</v>
      </c>
      <c r="E100" s="1" t="n">
        <v>46294</v>
      </c>
      <c r="F100" t="inlineStr">
        <is>
          <t>VÄSTRA GÖTALANDS LÄN</t>
        </is>
      </c>
      <c r="G100" t="inlineStr">
        <is>
          <t>MARIESTAD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46294</v>
      </c>
      <c r="F101" t="inlineStr">
        <is>
          <t>VÄSTRA GÖTALANDS LÄN</t>
        </is>
      </c>
      <c r="G101" t="inlineStr">
        <is>
          <t>MARIESTAD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66771-2021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44521</v>
      </c>
      <c r="E102" s="1" t="n">
        <v>46294</v>
      </c>
      <c r="F102" t="inlineStr">
        <is>
          <t>VÄSTRA GÖTALANDS LÄN</t>
        </is>
      </c>
      <c r="G102" t="inlineStr">
        <is>
          <t>MARIESTAD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46294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46294</v>
      </c>
      <c r="F104" t="inlineStr">
        <is>
          <t>VÄSTRA GÖTALANDS LÄN</t>
        </is>
      </c>
      <c r="G104" t="inlineStr">
        <is>
          <t>MARIESTAD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46294</v>
      </c>
      <c r="F105" t="inlineStr">
        <is>
          <t>VÄSTRA GÖTALANDS LÄN</t>
        </is>
      </c>
      <c r="G105" t="inlineStr">
        <is>
          <t>MARIESTAD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46294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46294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46294</v>
      </c>
      <c r="F108" t="inlineStr">
        <is>
          <t>VÄSTRA GÖTALANDS LÄN</t>
        </is>
      </c>
      <c r="G108" t="inlineStr">
        <is>
          <t>MARIESTAD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46294</v>
      </c>
      <c r="F109" t="inlineStr">
        <is>
          <t>VÄSTRA GÖTALANDS LÄN</t>
        </is>
      </c>
      <c r="G109" t="inlineStr">
        <is>
          <t>MARIESTAD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46294</v>
      </c>
      <c r="F110" t="inlineStr">
        <is>
          <t>VÄSTRA GÖTALANDS LÄN</t>
        </is>
      </c>
      <c r="G110" t="inlineStr">
        <is>
          <t>MARIESTAD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46294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44942</v>
      </c>
      <c r="E112" s="1" t="n">
        <v>46294</v>
      </c>
      <c r="F112" t="inlineStr">
        <is>
          <t>VÄSTRA GÖTALANDS LÄN</t>
        </is>
      </c>
      <c r="G112" t="inlineStr">
        <is>
          <t>MARIESTAD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28053-2022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46294</v>
      </c>
      <c r="F113" t="inlineStr">
        <is>
          <t>VÄSTRA GÖTALANDS LÄN</t>
        </is>
      </c>
      <c r="G113" t="inlineStr">
        <is>
          <t>MARIESTAD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46294</v>
      </c>
      <c r="F114" t="inlineStr">
        <is>
          <t>VÄSTRA GÖTALANDS LÄN</t>
        </is>
      </c>
      <c r="G114" t="inlineStr">
        <is>
          <t>MARIESTAD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46294</v>
      </c>
      <c r="F115" t="inlineStr">
        <is>
          <t>VÄSTRA GÖTALANDS LÄN</t>
        </is>
      </c>
      <c r="G115" t="inlineStr">
        <is>
          <t>MARIESTAD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70295-2021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44536</v>
      </c>
      <c r="E116" s="1" t="n">
        <v>46294</v>
      </c>
      <c r="F116" t="inlineStr">
        <is>
          <t>VÄSTRA GÖTALANDS LÄN</t>
        </is>
      </c>
      <c r="G116" t="inlineStr">
        <is>
          <t>MARIESTAD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19553-2022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44693</v>
      </c>
      <c r="E117" s="1" t="n">
        <v>46294</v>
      </c>
      <c r="F117" t="inlineStr">
        <is>
          <t>VÄSTRA GÖTALANDS LÄN</t>
        </is>
      </c>
      <c r="G117" t="inlineStr">
        <is>
          <t>MARIESTAD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46294</v>
      </c>
      <c r="F118" t="inlineStr">
        <is>
          <t>VÄSTRA GÖTALANDS LÄN</t>
        </is>
      </c>
      <c r="G118" t="inlineStr">
        <is>
          <t>MARIESTAD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46294</v>
      </c>
      <c r="F119" t="inlineStr">
        <is>
          <t>VÄSTRA GÖTALANDS LÄN</t>
        </is>
      </c>
      <c r="G119" t="inlineStr">
        <is>
          <t>MARIESTAD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46294</v>
      </c>
      <c r="F120" t="inlineStr">
        <is>
          <t>VÄSTRA GÖTALANDS LÄN</t>
        </is>
      </c>
      <c r="G120" t="inlineStr">
        <is>
          <t>MARIESTAD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46294</v>
      </c>
      <c r="F121" t="inlineStr">
        <is>
          <t>VÄSTRA GÖTALANDS LÄN</t>
        </is>
      </c>
      <c r="G121" t="inlineStr">
        <is>
          <t>MARIESTAD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28449-2025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46294</v>
      </c>
      <c r="F122" t="inlineStr">
        <is>
          <t>VÄSTRA GÖTALANDS LÄN</t>
        </is>
      </c>
      <c r="G122" t="inlineStr">
        <is>
          <t>MARIESTAD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44993</v>
      </c>
      <c r="E123" s="1" t="n">
        <v>46294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46294</v>
      </c>
      <c r="F124" t="inlineStr">
        <is>
          <t>VÄSTRA GÖTALANDS LÄN</t>
        </is>
      </c>
      <c r="G124" t="inlineStr">
        <is>
          <t>MARIESTAD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46294</v>
      </c>
      <c r="F125" t="inlineStr">
        <is>
          <t>VÄSTRA GÖTALANDS LÄN</t>
        </is>
      </c>
      <c r="G125" t="inlineStr">
        <is>
          <t>MARIESTAD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46294</v>
      </c>
      <c r="F126" t="inlineStr">
        <is>
          <t>VÄSTRA GÖTALANDS LÄN</t>
        </is>
      </c>
      <c r="G126" t="inlineStr">
        <is>
          <t>MARIESTAD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46294</v>
      </c>
      <c r="F127" t="inlineStr">
        <is>
          <t>VÄSTRA GÖTALANDS LÄN</t>
        </is>
      </c>
      <c r="G127" t="inlineStr">
        <is>
          <t>MARIESTAD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46294</v>
      </c>
      <c r="F128" t="inlineStr">
        <is>
          <t>VÄSTRA GÖTALANDS LÄN</t>
        </is>
      </c>
      <c r="G128" t="inlineStr">
        <is>
          <t>MARIESTAD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46294</v>
      </c>
      <c r="F129" t="inlineStr">
        <is>
          <t>VÄSTRA GÖTALANDS LÄN</t>
        </is>
      </c>
      <c r="G129" t="inlineStr">
        <is>
          <t>MARIESTAD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46294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46294</v>
      </c>
      <c r="F131" t="inlineStr">
        <is>
          <t>VÄSTRA GÖTALANDS LÄN</t>
        </is>
      </c>
      <c r="G131" t="inlineStr">
        <is>
          <t>MARIESTAD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46294</v>
      </c>
      <c r="F132" t="inlineStr">
        <is>
          <t>VÄSTRA GÖTALANDS LÄN</t>
        </is>
      </c>
      <c r="G132" t="inlineStr">
        <is>
          <t>MARIESTAD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46294</v>
      </c>
      <c r="F133" t="inlineStr">
        <is>
          <t>VÄSTRA GÖTALANDS LÄN</t>
        </is>
      </c>
      <c r="G133" t="inlineStr">
        <is>
          <t>MARIESTAD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61601-2023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45265</v>
      </c>
      <c r="E134" s="1" t="n">
        <v>46294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46294</v>
      </c>
      <c r="F135" t="inlineStr">
        <is>
          <t>VÄSTRA GÖTALANDS LÄN</t>
        </is>
      </c>
      <c r="G135" t="inlineStr">
        <is>
          <t>MARIESTAD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46294</v>
      </c>
      <c r="F136" t="inlineStr">
        <is>
          <t>VÄSTRA GÖTALANDS LÄN</t>
        </is>
      </c>
      <c r="G136" t="inlineStr">
        <is>
          <t>MARIESTAD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46294</v>
      </c>
      <c r="F137" t="inlineStr">
        <is>
          <t>VÄSTRA GÖTALANDS LÄN</t>
        </is>
      </c>
      <c r="G137" t="inlineStr">
        <is>
          <t>MARIESTAD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46294</v>
      </c>
      <c r="F138" t="inlineStr">
        <is>
          <t>VÄSTRA GÖTALANDS LÄN</t>
        </is>
      </c>
      <c r="G138" t="inlineStr">
        <is>
          <t>MARIESTAD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70259-2021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44536</v>
      </c>
      <c r="E139" s="1" t="n">
        <v>46294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46294</v>
      </c>
      <c r="F140" t="inlineStr">
        <is>
          <t>VÄSTRA GÖTALANDS LÄN</t>
        </is>
      </c>
      <c r="G140" t="inlineStr">
        <is>
          <t>MARIESTAD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46294</v>
      </c>
      <c r="F141" t="inlineStr">
        <is>
          <t>VÄSTRA GÖTALANDS LÄN</t>
        </is>
      </c>
      <c r="G141" t="inlineStr">
        <is>
          <t>MARIESTAD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46294</v>
      </c>
      <c r="F142" t="inlineStr">
        <is>
          <t>VÄSTRA GÖTALANDS LÄN</t>
        </is>
      </c>
      <c r="G142" t="inlineStr">
        <is>
          <t>MARIESTAD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46294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Kyrkan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46294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46294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46294</v>
      </c>
      <c r="F146" t="inlineStr">
        <is>
          <t>VÄSTRA GÖTALANDS LÄN</t>
        </is>
      </c>
      <c r="G146" t="inlineStr">
        <is>
          <t>MARIESTAD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46294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46294</v>
      </c>
      <c r="F148" t="inlineStr">
        <is>
          <t>VÄSTRA GÖTALANDS LÄN</t>
        </is>
      </c>
      <c r="G148" t="inlineStr">
        <is>
          <t>MARIESTAD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46294</v>
      </c>
      <c r="F149" t="inlineStr">
        <is>
          <t>VÄSTRA GÖTALANDS LÄN</t>
        </is>
      </c>
      <c r="G149" t="inlineStr">
        <is>
          <t>MARIESTAD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45875</v>
      </c>
      <c r="E150" s="1" t="n">
        <v>46294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44883</v>
      </c>
      <c r="E151" s="1" t="n">
        <v>46294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46294</v>
      </c>
      <c r="F152" t="inlineStr">
        <is>
          <t>VÄSTRA GÖTALANDS LÄN</t>
        </is>
      </c>
      <c r="G152" t="inlineStr">
        <is>
          <t>MARIESTAD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46294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46294</v>
      </c>
      <c r="F154" t="inlineStr">
        <is>
          <t>VÄSTRA GÖTALANDS LÄN</t>
        </is>
      </c>
      <c r="G154" t="inlineStr">
        <is>
          <t>MARIESTAD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46294</v>
      </c>
      <c r="F155" t="inlineStr">
        <is>
          <t>VÄSTRA GÖTALANDS LÄN</t>
        </is>
      </c>
      <c r="G155" t="inlineStr">
        <is>
          <t>MARIESTAD</t>
        </is>
      </c>
      <c r="H155" t="inlineStr">
        <is>
          <t>Övriga Aktiebolag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45199</v>
      </c>
      <c r="E156" s="1" t="n">
        <v>46294</v>
      </c>
      <c r="F156" t="inlineStr">
        <is>
          <t>VÄSTRA GÖTALANDS LÄN</t>
        </is>
      </c>
      <c r="G156" t="inlineStr">
        <is>
          <t>MARIESTAD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46294</v>
      </c>
      <c r="F157" t="inlineStr">
        <is>
          <t>VÄSTRA GÖTALANDS LÄN</t>
        </is>
      </c>
      <c r="G157" t="inlineStr">
        <is>
          <t>MARIESTAD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46294</v>
      </c>
      <c r="F158" t="inlineStr">
        <is>
          <t>VÄSTRA GÖTALANDS LÄN</t>
        </is>
      </c>
      <c r="G158" t="inlineStr">
        <is>
          <t>MARIESTAD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46294</v>
      </c>
      <c r="F159" t="inlineStr">
        <is>
          <t>VÄSTRA GÖTALANDS LÄN</t>
        </is>
      </c>
      <c r="G159" t="inlineStr">
        <is>
          <t>MARIESTAD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46294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46294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46294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46294</v>
      </c>
      <c r="F163" t="inlineStr">
        <is>
          <t>VÄSTRA GÖTALANDS LÄN</t>
        </is>
      </c>
      <c r="G163" t="inlineStr">
        <is>
          <t>MARIESTAD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45201</v>
      </c>
      <c r="E164" s="1" t="n">
        <v>46294</v>
      </c>
      <c r="F164" t="inlineStr">
        <is>
          <t>VÄSTRA GÖTALANDS LÄN</t>
        </is>
      </c>
      <c r="G164" t="inlineStr">
        <is>
          <t>MARIESTAD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31384-2022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44774</v>
      </c>
      <c r="E165" s="1" t="n">
        <v>46294</v>
      </c>
      <c r="F165" t="inlineStr">
        <is>
          <t>VÄSTRA GÖTALANDS LÄN</t>
        </is>
      </c>
      <c r="G165" t="inlineStr">
        <is>
          <t>MARIESTAD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44937</v>
      </c>
      <c r="E166" s="1" t="n">
        <v>46294</v>
      </c>
      <c r="F166" t="inlineStr">
        <is>
          <t>VÄSTRA GÖTALANDS LÄN</t>
        </is>
      </c>
      <c r="G166" t="inlineStr">
        <is>
          <t>MARIESTAD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45764</v>
      </c>
      <c r="E167" s="1" t="n">
        <v>46294</v>
      </c>
      <c r="F167" t="inlineStr">
        <is>
          <t>VÄSTRA GÖTALANDS LÄN</t>
        </is>
      </c>
      <c r="G167" t="inlineStr">
        <is>
          <t>MARIESTAD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11814-2023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46294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13315-2022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44645</v>
      </c>
      <c r="E169" s="1" t="n">
        <v>46294</v>
      </c>
      <c r="F169" t="inlineStr">
        <is>
          <t>VÄSTRA GÖTALANDS LÄN</t>
        </is>
      </c>
      <c r="G169" t="inlineStr">
        <is>
          <t>MARIESTAD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46050</v>
      </c>
      <c r="E170" s="1" t="n">
        <v>46294</v>
      </c>
      <c r="F170" t="inlineStr">
        <is>
          <t>VÄSTRA GÖTALANDS LÄN</t>
        </is>
      </c>
      <c r="G170" t="inlineStr">
        <is>
          <t>MARIESTAD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46294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Kyrkan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44836</v>
      </c>
      <c r="E172" s="1" t="n">
        <v>46294</v>
      </c>
      <c r="F172" t="inlineStr">
        <is>
          <t>VÄSTRA GÖTALANDS LÄN</t>
        </is>
      </c>
      <c r="G172" t="inlineStr">
        <is>
          <t>MARIESTAD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46294</v>
      </c>
      <c r="F173" t="inlineStr">
        <is>
          <t>VÄSTRA GÖTALANDS LÄN</t>
        </is>
      </c>
      <c r="G173" t="inlineStr">
        <is>
          <t>MARIESTAD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46294</v>
      </c>
      <c r="F174" t="inlineStr">
        <is>
          <t>VÄSTRA GÖTALANDS LÄN</t>
        </is>
      </c>
      <c r="G174" t="inlineStr">
        <is>
          <t>MARIESTAD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44843</v>
      </c>
      <c r="E175" s="1" t="n">
        <v>46294</v>
      </c>
      <c r="F175" t="inlineStr">
        <is>
          <t>VÄSTRA GÖTALANDS LÄN</t>
        </is>
      </c>
      <c r="G175" t="inlineStr">
        <is>
          <t>MARIESTAD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46294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Kyrkan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46294</v>
      </c>
      <c r="F177" t="inlineStr">
        <is>
          <t>VÄSTRA GÖTALANDS LÄN</t>
        </is>
      </c>
      <c r="G177" t="inlineStr">
        <is>
          <t>MARIESTAD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46061</v>
      </c>
      <c r="E178" s="1" t="n">
        <v>46294</v>
      </c>
      <c r="F178" t="inlineStr">
        <is>
          <t>VÄSTRA GÖTALANDS LÄN</t>
        </is>
      </c>
      <c r="G178" t="inlineStr">
        <is>
          <t>MARIESTAD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44638</v>
      </c>
      <c r="E179" s="1" t="n">
        <v>46294</v>
      </c>
      <c r="F179" t="inlineStr">
        <is>
          <t>VÄSTRA GÖTALANDS LÄN</t>
        </is>
      </c>
      <c r="G179" t="inlineStr">
        <is>
          <t>MARIESTAD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45443</v>
      </c>
      <c r="E180" s="1" t="n">
        <v>46294</v>
      </c>
      <c r="F180" t="inlineStr">
        <is>
          <t>VÄSTRA GÖTALANDS LÄN</t>
        </is>
      </c>
      <c r="G180" t="inlineStr">
        <is>
          <t>MARIESTAD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44936</v>
      </c>
      <c r="E181" s="1" t="n">
        <v>46294</v>
      </c>
      <c r="F181" t="inlineStr">
        <is>
          <t>VÄSTRA GÖTALANDS LÄN</t>
        </is>
      </c>
      <c r="G181" t="inlineStr">
        <is>
          <t>MARIESTAD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46294</v>
      </c>
      <c r="F182" t="inlineStr">
        <is>
          <t>VÄSTRA GÖTALANDS LÄN</t>
        </is>
      </c>
      <c r="G182" t="inlineStr">
        <is>
          <t>MARIESTAD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9558-2026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46071</v>
      </c>
      <c r="E183" s="1" t="n">
        <v>46294</v>
      </c>
      <c r="F183" t="inlineStr">
        <is>
          <t>VÄSTRA GÖTALANDS LÄN</t>
        </is>
      </c>
      <c r="G183" t="inlineStr">
        <is>
          <t>MARIESTAD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46294</v>
      </c>
      <c r="F184" t="inlineStr">
        <is>
          <t>VÄSTRA GÖTALANDS LÄN</t>
        </is>
      </c>
      <c r="G184" t="inlineStr">
        <is>
          <t>MARIESTAD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46294</v>
      </c>
      <c r="F185" t="inlineStr">
        <is>
          <t>VÄSTRA GÖTALANDS LÄN</t>
        </is>
      </c>
      <c r="G185" t="inlineStr">
        <is>
          <t>MARIESTAD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46294</v>
      </c>
      <c r="F186" t="inlineStr">
        <is>
          <t>VÄSTRA GÖTALANDS LÄN</t>
        </is>
      </c>
      <c r="G186" t="inlineStr">
        <is>
          <t>MARIESTAD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46294</v>
      </c>
      <c r="F187" t="inlineStr">
        <is>
          <t>VÄSTRA GÖTALANDS LÄN</t>
        </is>
      </c>
      <c r="G187" t="inlineStr">
        <is>
          <t>MARIESTAD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10559-2026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46294</v>
      </c>
      <c r="F188" t="inlineStr">
        <is>
          <t>VÄSTRA GÖTALANDS LÄN</t>
        </is>
      </c>
      <c r="G188" t="inlineStr">
        <is>
          <t>MARIESTAD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46294</v>
      </c>
      <c r="F189" t="inlineStr">
        <is>
          <t>VÄSTRA GÖTALANDS LÄN</t>
        </is>
      </c>
      <c r="G189" t="inlineStr">
        <is>
          <t>MARIESTAD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11216-2026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46294</v>
      </c>
      <c r="F190" t="inlineStr">
        <is>
          <t>VÄSTRA GÖTALANDS LÄN</t>
        </is>
      </c>
      <c r="G190" t="inlineStr">
        <is>
          <t>MARIESTAD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44620</v>
      </c>
      <c r="E191" s="1" t="n">
        <v>46294</v>
      </c>
      <c r="F191" t="inlineStr">
        <is>
          <t>VÄSTRA GÖTALANDS LÄN</t>
        </is>
      </c>
      <c r="G191" t="inlineStr">
        <is>
          <t>MARIESTAD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49389-2023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45211</v>
      </c>
      <c r="E192" s="1" t="n">
        <v>46294</v>
      </c>
      <c r="F192" t="inlineStr">
        <is>
          <t>VÄSTRA GÖTALANDS LÄN</t>
        </is>
      </c>
      <c r="G192" t="inlineStr">
        <is>
          <t>MARIESTAD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12381-2026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46294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49563-2023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46294</v>
      </c>
      <c r="F194" t="inlineStr">
        <is>
          <t>VÄSTRA GÖTALANDS LÄN</t>
        </is>
      </c>
      <c r="G194" t="inlineStr">
        <is>
          <t>MARIESTAD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45266</v>
      </c>
      <c r="E195" s="1" t="n">
        <v>46294</v>
      </c>
      <c r="F195" t="inlineStr">
        <is>
          <t>VÄSTRA GÖTALANDS LÄN</t>
        </is>
      </c>
      <c r="G195" t="inlineStr">
        <is>
          <t>MARIESTAD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46294</v>
      </c>
      <c r="F196" t="inlineStr">
        <is>
          <t>VÄSTRA GÖTALANDS LÄN</t>
        </is>
      </c>
      <c r="G196" t="inlineStr">
        <is>
          <t>MARIESTAD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46294</v>
      </c>
      <c r="F197" t="inlineStr">
        <is>
          <t>VÄSTRA GÖTALANDS LÄN</t>
        </is>
      </c>
      <c r="G197" t="inlineStr">
        <is>
          <t>MARIESTAD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46294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33571-2023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45131</v>
      </c>
      <c r="E199" s="1" t="n">
        <v>46294</v>
      </c>
      <c r="F199" t="inlineStr">
        <is>
          <t>VÄSTRA GÖTALANDS LÄN</t>
        </is>
      </c>
      <c r="G199" t="inlineStr">
        <is>
          <t>MARIESTAD</t>
        </is>
      </c>
      <c r="I199" t="n">
        <v>16.1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45664</v>
      </c>
      <c r="E200" s="1" t="n">
        <v>46294</v>
      </c>
      <c r="F200" t="inlineStr">
        <is>
          <t>VÄSTRA GÖTALANDS LÄN</t>
        </is>
      </c>
      <c r="G200" t="inlineStr">
        <is>
          <t>MARIESTAD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46294</v>
      </c>
      <c r="F201" t="inlineStr">
        <is>
          <t>VÄSTRA GÖTALANDS LÄN</t>
        </is>
      </c>
      <c r="G201" t="inlineStr">
        <is>
          <t>MARIESTAD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46294</v>
      </c>
      <c r="F202" t="inlineStr">
        <is>
          <t>VÄSTRA GÖTALANDS LÄN</t>
        </is>
      </c>
      <c r="G202" t="inlineStr">
        <is>
          <t>MARIESTAD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46294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45558</v>
      </c>
      <c r="E204" s="1" t="n">
        <v>46294</v>
      </c>
      <c r="F204" t="inlineStr">
        <is>
          <t>VÄSTRA GÖTALANDS LÄN</t>
        </is>
      </c>
      <c r="G204" t="inlineStr">
        <is>
          <t>MARIESTAD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46294</v>
      </c>
      <c r="F205" t="inlineStr">
        <is>
          <t>VÄSTRA GÖTALANDS LÄN</t>
        </is>
      </c>
      <c r="G205" t="inlineStr">
        <is>
          <t>MARIESTAD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46294</v>
      </c>
      <c r="F206" t="inlineStr">
        <is>
          <t>VÄSTRA GÖTALANDS LÄN</t>
        </is>
      </c>
      <c r="G206" t="inlineStr">
        <is>
          <t>MARIESTAD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46294</v>
      </c>
      <c r="F207" t="inlineStr">
        <is>
          <t>VÄSTRA GÖTALANDS LÄN</t>
        </is>
      </c>
      <c r="G207" t="inlineStr">
        <is>
          <t>MARIESTAD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45343</v>
      </c>
      <c r="E208" s="1" t="n">
        <v>46294</v>
      </c>
      <c r="F208" t="inlineStr">
        <is>
          <t>VÄSTRA GÖTALANDS LÄN</t>
        </is>
      </c>
      <c r="G208" t="inlineStr">
        <is>
          <t>MARIESTAD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46294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45135</v>
      </c>
      <c r="E210" s="1" t="n">
        <v>46294</v>
      </c>
      <c r="F210" t="inlineStr">
        <is>
          <t>VÄSTRA GÖTALANDS LÄN</t>
        </is>
      </c>
      <c r="G210" t="inlineStr">
        <is>
          <t>MARIESTAD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46294</v>
      </c>
      <c r="F211" t="inlineStr">
        <is>
          <t>VÄSTRA GÖTALANDS LÄN</t>
        </is>
      </c>
      <c r="G211" t="inlineStr">
        <is>
          <t>MARIESTAD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44935</v>
      </c>
      <c r="E212" s="1" t="n">
        <v>46294</v>
      </c>
      <c r="F212" t="inlineStr">
        <is>
          <t>VÄSTRA GÖTALANDS LÄN</t>
        </is>
      </c>
      <c r="G212" t="inlineStr">
        <is>
          <t>MARIESTAD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46294</v>
      </c>
      <c r="F213" t="inlineStr">
        <is>
          <t>VÄSTRA GÖTALANDS LÄN</t>
        </is>
      </c>
      <c r="G213" t="inlineStr">
        <is>
          <t>MARIESTAD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13655-2023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45006</v>
      </c>
      <c r="E214" s="1" t="n">
        <v>46294</v>
      </c>
      <c r="F214" t="inlineStr">
        <is>
          <t>VÄSTRA GÖTALANDS LÄN</t>
        </is>
      </c>
      <c r="G214" t="inlineStr">
        <is>
          <t>MARIESTAD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52626-2023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46294</v>
      </c>
      <c r="F215" t="inlineStr">
        <is>
          <t>VÄSTRA GÖTALANDS LÄN</t>
        </is>
      </c>
      <c r="G215" t="inlineStr">
        <is>
          <t>MARIESTAD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45188</v>
      </c>
      <c r="E216" s="1" t="n">
        <v>46294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46294</v>
      </c>
      <c r="F217" t="inlineStr">
        <is>
          <t>VÄSTRA GÖTALANDS LÄN</t>
        </is>
      </c>
      <c r="G217" t="inlineStr">
        <is>
          <t>MARIESTAD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26688-2022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44739</v>
      </c>
      <c r="E218" s="1" t="n">
        <v>46294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46294</v>
      </c>
      <c r="F219" t="inlineStr">
        <is>
          <t>VÄSTRA GÖTALANDS LÄN</t>
        </is>
      </c>
      <c r="G219" t="inlineStr">
        <is>
          <t>MARIESTAD</t>
        </is>
      </c>
      <c r="I219" t="n">
        <v>10.7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46294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44756</v>
      </c>
      <c r="E221" s="1" t="n">
        <v>46294</v>
      </c>
      <c r="F221" t="inlineStr">
        <is>
          <t>VÄSTRA GÖTALANDS LÄN</t>
        </is>
      </c>
      <c r="G221" t="inlineStr">
        <is>
          <t>MARIESTAD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46294</v>
      </c>
      <c r="F222" t="inlineStr">
        <is>
          <t>VÄSTRA GÖTALANDS LÄN</t>
        </is>
      </c>
      <c r="G222" t="inlineStr">
        <is>
          <t>MARIESTAD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40455-2023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45170</v>
      </c>
      <c r="E223" s="1" t="n">
        <v>46294</v>
      </c>
      <c r="F223" t="inlineStr">
        <is>
          <t>VÄSTRA GÖTALANDS LÄN</t>
        </is>
      </c>
      <c r="G223" t="inlineStr">
        <is>
          <t>MARIESTAD</t>
        </is>
      </c>
      <c r="I223" t="n">
        <v>34.9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45639</v>
      </c>
      <c r="E224" s="1" t="n">
        <v>46294</v>
      </c>
      <c r="F224" t="inlineStr">
        <is>
          <t>VÄSTRA GÖTALANDS LÄN</t>
        </is>
      </c>
      <c r="G224" t="inlineStr">
        <is>
          <t>MARIESTAD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36399-2024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45535</v>
      </c>
      <c r="E225" s="1" t="n">
        <v>46294</v>
      </c>
      <c r="F225" t="inlineStr">
        <is>
          <t>VÄSTRA GÖTALANDS LÄN</t>
        </is>
      </c>
      <c r="G225" t="inlineStr">
        <is>
          <t>MARIESTAD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46294</v>
      </c>
      <c r="F226" t="inlineStr">
        <is>
          <t>VÄSTRA GÖTALANDS LÄN</t>
        </is>
      </c>
      <c r="G226" t="inlineStr">
        <is>
          <t>MARIESTAD</t>
        </is>
      </c>
      <c r="I226" t="n">
        <v>9.699999999999999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45412</v>
      </c>
      <c r="E227" s="1" t="n">
        <v>46294</v>
      </c>
      <c r="F227" t="inlineStr">
        <is>
          <t>VÄSTRA GÖTALANDS LÄN</t>
        </is>
      </c>
      <c r="G227" t="inlineStr">
        <is>
          <t>MARIESTAD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45412</v>
      </c>
      <c r="E228" s="1" t="n">
        <v>46294</v>
      </c>
      <c r="F228" t="inlineStr">
        <is>
          <t>VÄSTRA GÖTALANDS LÄN</t>
        </is>
      </c>
      <c r="G228" t="inlineStr">
        <is>
          <t>MARIESTAD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45544</v>
      </c>
      <c r="E229" s="1" t="n">
        <v>46294</v>
      </c>
      <c r="F229" t="inlineStr">
        <is>
          <t>VÄSTRA GÖTALANDS LÄN</t>
        </is>
      </c>
      <c r="G229" t="inlineStr">
        <is>
          <t>MARIESTAD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39766-2023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45167</v>
      </c>
      <c r="E230" s="1" t="n">
        <v>46294</v>
      </c>
      <c r="F230" t="inlineStr">
        <is>
          <t>VÄSTRA GÖTALANDS LÄN</t>
        </is>
      </c>
      <c r="G230" t="inlineStr">
        <is>
          <t>MARIESTAD</t>
        </is>
      </c>
      <c r="I230" t="n">
        <v>26.5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45271</v>
      </c>
      <c r="E231" s="1" t="n">
        <v>46294</v>
      </c>
      <c r="F231" t="inlineStr">
        <is>
          <t>VÄSTRA GÖTALANDS LÄN</t>
        </is>
      </c>
      <c r="G231" t="inlineStr">
        <is>
          <t>MARIESTAD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46294</v>
      </c>
      <c r="F232" t="inlineStr">
        <is>
          <t>VÄSTRA GÖTALANDS LÄN</t>
        </is>
      </c>
      <c r="G232" t="inlineStr">
        <is>
          <t>MARIESTAD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46294</v>
      </c>
      <c r="F233" t="inlineStr">
        <is>
          <t>VÄSTRA GÖTALANDS LÄN</t>
        </is>
      </c>
      <c r="G233" t="inlineStr">
        <is>
          <t>MARIESTAD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44572</v>
      </c>
      <c r="E234" s="1" t="n">
        <v>46294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45875</v>
      </c>
      <c r="E235" s="1" t="n">
        <v>46294</v>
      </c>
      <c r="F235" t="inlineStr">
        <is>
          <t>VÄSTRA GÖTALANDS LÄN</t>
        </is>
      </c>
      <c r="G235" t="inlineStr">
        <is>
          <t>MARIESTAD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46294</v>
      </c>
      <c r="F236" t="inlineStr">
        <is>
          <t>VÄSTRA GÖTALANDS LÄN</t>
        </is>
      </c>
      <c r="G236" t="inlineStr">
        <is>
          <t>MARIESTAD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41406-2024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45560</v>
      </c>
      <c r="E237" s="1" t="n">
        <v>46294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45271</v>
      </c>
      <c r="E238" s="1" t="n">
        <v>46294</v>
      </c>
      <c r="F238" t="inlineStr">
        <is>
          <t>VÄSTRA GÖTALANDS LÄN</t>
        </is>
      </c>
      <c r="G238" t="inlineStr">
        <is>
          <t>MARIESTAD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45728</v>
      </c>
      <c r="E239" s="1" t="n">
        <v>46294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46294</v>
      </c>
      <c r="F240" t="inlineStr">
        <is>
          <t>VÄSTRA GÖTALANDS LÄN</t>
        </is>
      </c>
      <c r="G240" t="inlineStr">
        <is>
          <t>MARIESTAD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50579-2023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45217</v>
      </c>
      <c r="E241" s="1" t="n">
        <v>46294</v>
      </c>
      <c r="F241" t="inlineStr">
        <is>
          <t>VÄSTRA GÖTALANDS LÄN</t>
        </is>
      </c>
      <c r="G241" t="inlineStr">
        <is>
          <t>MARIESTAD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46294</v>
      </c>
      <c r="F242" t="inlineStr">
        <is>
          <t>VÄSTRA GÖTALANDS LÄN</t>
        </is>
      </c>
      <c r="G242" t="inlineStr">
        <is>
          <t>MARIESTAD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46294</v>
      </c>
      <c r="F243" t="inlineStr">
        <is>
          <t>VÄSTRA GÖTALANDS LÄN</t>
        </is>
      </c>
      <c r="G243" t="inlineStr">
        <is>
          <t>MARIESTAD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44965</v>
      </c>
      <c r="E244" s="1" t="n">
        <v>46294</v>
      </c>
      <c r="F244" t="inlineStr">
        <is>
          <t>VÄSTRA GÖTALANDS LÄN</t>
        </is>
      </c>
      <c r="G244" t="inlineStr">
        <is>
          <t>MARIESTAD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46294</v>
      </c>
      <c r="F245" t="inlineStr">
        <is>
          <t>VÄSTRA GÖTALANDS LÄN</t>
        </is>
      </c>
      <c r="G245" t="inlineStr">
        <is>
          <t>MARIESTAD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46294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Kyrkan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58077-2022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44900</v>
      </c>
      <c r="E247" s="1" t="n">
        <v>46294</v>
      </c>
      <c r="F247" t="inlineStr">
        <is>
          <t>VÄSTRA GÖTALANDS LÄN</t>
        </is>
      </c>
      <c r="G247" t="inlineStr">
        <is>
          <t>MARIESTAD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46294</v>
      </c>
      <c r="F248" t="inlineStr">
        <is>
          <t>VÄSTRA GÖTALANDS LÄN</t>
        </is>
      </c>
      <c r="G248" t="inlineStr">
        <is>
          <t>MARIESTAD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44957</v>
      </c>
      <c r="E249" s="1" t="n">
        <v>46294</v>
      </c>
      <c r="F249" t="inlineStr">
        <is>
          <t>VÄSTRA GÖTALANDS LÄN</t>
        </is>
      </c>
      <c r="G249" t="inlineStr">
        <is>
          <t>MARIESTAD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11137-2024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46294</v>
      </c>
      <c r="F250" t="inlineStr">
        <is>
          <t>VÄSTRA GÖTALANDS LÄN</t>
        </is>
      </c>
      <c r="G250" t="inlineStr">
        <is>
          <t>MARIESTAD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10192-2022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44622</v>
      </c>
      <c r="E251" s="1" t="n">
        <v>46294</v>
      </c>
      <c r="F251" t="inlineStr">
        <is>
          <t>VÄSTRA GÖTALANDS LÄN</t>
        </is>
      </c>
      <c r="G251" t="inlineStr">
        <is>
          <t>MARIESTAD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45516</v>
      </c>
      <c r="E252" s="1" t="n">
        <v>46294</v>
      </c>
      <c r="F252" t="inlineStr">
        <is>
          <t>VÄSTRA GÖTALANDS LÄN</t>
        </is>
      </c>
      <c r="G252" t="inlineStr">
        <is>
          <t>MARIESTAD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46157</v>
      </c>
      <c r="E253" s="1" t="n">
        <v>46294</v>
      </c>
      <c r="F253" t="inlineStr">
        <is>
          <t>VÄSTRA GÖTALANDS LÄN</t>
        </is>
      </c>
      <c r="G253" t="inlineStr">
        <is>
          <t>MARIESTAD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46157</v>
      </c>
      <c r="E254" s="1" t="n">
        <v>46294</v>
      </c>
      <c r="F254" t="inlineStr">
        <is>
          <t>VÄSTRA GÖTALANDS LÄN</t>
        </is>
      </c>
      <c r="G254" t="inlineStr">
        <is>
          <t>MARIESTAD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46294</v>
      </c>
      <c r="F255" t="inlineStr">
        <is>
          <t>VÄSTRA GÖTALANDS LÄN</t>
        </is>
      </c>
      <c r="G255" t="inlineStr">
        <is>
          <t>MARIESTAD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45268</v>
      </c>
      <c r="E256" s="1" t="n">
        <v>46294</v>
      </c>
      <c r="F256" t="inlineStr">
        <is>
          <t>VÄSTRA GÖTALANDS LÄN</t>
        </is>
      </c>
      <c r="G256" t="inlineStr">
        <is>
          <t>MARIESTAD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21361-2026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46142</v>
      </c>
      <c r="E257" s="1" t="n">
        <v>46294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Kyrkan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46294</v>
      </c>
      <c r="F258" t="inlineStr">
        <is>
          <t>VÄSTRA GÖTALANDS LÄN</t>
        </is>
      </c>
      <c r="G258" t="inlineStr">
        <is>
          <t>MARIESTAD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23453-2026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46294</v>
      </c>
      <c r="F259" t="inlineStr">
        <is>
          <t>VÄSTRA GÖTALANDS LÄN</t>
        </is>
      </c>
      <c r="G259" t="inlineStr">
        <is>
          <t>MARIESTAD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46294</v>
      </c>
      <c r="F260" t="inlineStr">
        <is>
          <t>VÄSTRA GÖTALANDS LÄN</t>
        </is>
      </c>
      <c r="G260" t="inlineStr">
        <is>
          <t>MARIESTAD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46294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45350</v>
      </c>
      <c r="E262" s="1" t="n">
        <v>46294</v>
      </c>
      <c r="F262" t="inlineStr">
        <is>
          <t>VÄSTRA GÖTALANDS LÄN</t>
        </is>
      </c>
      <c r="G262" t="inlineStr">
        <is>
          <t>MARIESTAD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46294</v>
      </c>
      <c r="F263" t="inlineStr">
        <is>
          <t>VÄSTRA GÖTALANDS LÄN</t>
        </is>
      </c>
      <c r="G263" t="inlineStr">
        <is>
          <t>MARIESTAD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45982</v>
      </c>
      <c r="E264" s="1" t="n">
        <v>46294</v>
      </c>
      <c r="F264" t="inlineStr">
        <is>
          <t>VÄSTRA GÖTALANDS LÄN</t>
        </is>
      </c>
      <c r="G264" t="inlineStr">
        <is>
          <t>MARIESTAD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46294</v>
      </c>
      <c r="F265" t="inlineStr">
        <is>
          <t>VÄSTRA GÖTALANDS LÄN</t>
        </is>
      </c>
      <c r="G265" t="inlineStr">
        <is>
          <t>MARIESTAD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46171</v>
      </c>
      <c r="E266" s="1" t="n">
        <v>46294</v>
      </c>
      <c r="F266" t="inlineStr">
        <is>
          <t>VÄSTRA GÖTALANDS LÄN</t>
        </is>
      </c>
      <c r="G266" t="inlineStr">
        <is>
          <t>MARIESTAD</t>
        </is>
      </c>
      <c r="H266" t="inlineStr">
        <is>
          <t>Sveaskog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46171</v>
      </c>
      <c r="E267" s="1" t="n">
        <v>46294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46171</v>
      </c>
      <c r="E268" s="1" t="n">
        <v>46294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46294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44993</v>
      </c>
      <c r="E270" s="1" t="n">
        <v>46294</v>
      </c>
      <c r="F270" t="inlineStr">
        <is>
          <t>VÄSTRA GÖTALANDS LÄN</t>
        </is>
      </c>
      <c r="G270" t="inlineStr">
        <is>
          <t>MARIESTAD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45702</v>
      </c>
      <c r="E271" s="1" t="n">
        <v>46294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56344-2022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46294</v>
      </c>
      <c r="F272" t="inlineStr">
        <is>
          <t>VÄSTRA GÖTALANDS LÄN</t>
        </is>
      </c>
      <c r="G272" t="inlineStr">
        <is>
          <t>MARIESTAD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46294</v>
      </c>
      <c r="F273" t="inlineStr">
        <is>
          <t>VÄSTRA GÖTALANDS LÄN</t>
        </is>
      </c>
      <c r="G273" t="inlineStr">
        <is>
          <t>MARIESTAD</t>
        </is>
      </c>
      <c r="I273" t="n">
        <v>11.9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46294</v>
      </c>
      <c r="F274" t="inlineStr">
        <is>
          <t>VÄSTRA GÖTALANDS LÄN</t>
        </is>
      </c>
      <c r="G274" t="inlineStr">
        <is>
          <t>MARIESTAD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44614</v>
      </c>
      <c r="E275" s="1" t="n">
        <v>46294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44816</v>
      </c>
      <c r="E276" s="1" t="n">
        <v>46294</v>
      </c>
      <c r="F276" t="inlineStr">
        <is>
          <t>VÄSTRA GÖTALANDS LÄN</t>
        </is>
      </c>
      <c r="G276" t="inlineStr">
        <is>
          <t>MARIESTAD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46294</v>
      </c>
      <c r="F277" t="inlineStr">
        <is>
          <t>VÄSTRA GÖTALANDS LÄN</t>
        </is>
      </c>
      <c r="G277" t="inlineStr">
        <is>
          <t>MARIESTAD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44943</v>
      </c>
      <c r="E278" s="1" t="n">
        <v>46294</v>
      </c>
      <c r="F278" t="inlineStr">
        <is>
          <t>VÄSTRA GÖTALANDS LÄN</t>
        </is>
      </c>
      <c r="G278" t="inlineStr">
        <is>
          <t>MARIESTAD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46294</v>
      </c>
      <c r="F279" t="inlineStr">
        <is>
          <t>VÄSTRA GÖTALANDS LÄN</t>
        </is>
      </c>
      <c r="G279" t="inlineStr">
        <is>
          <t>MARIESTAD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26912-2026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46185</v>
      </c>
      <c r="E280" s="1" t="n">
        <v>46294</v>
      </c>
      <c r="F280" t="inlineStr">
        <is>
          <t>VÄSTRA GÖTALANDS LÄN</t>
        </is>
      </c>
      <c r="G280" t="inlineStr">
        <is>
          <t>MARIESTAD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46188</v>
      </c>
      <c r="E281" s="1" t="n">
        <v>46294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46294</v>
      </c>
      <c r="F282" t="inlineStr">
        <is>
          <t>VÄSTRA GÖTALANDS LÄN</t>
        </is>
      </c>
      <c r="G282" t="inlineStr">
        <is>
          <t>MARIESTAD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44756</v>
      </c>
      <c r="E283" s="1" t="n">
        <v>46294</v>
      </c>
      <c r="F283" t="inlineStr">
        <is>
          <t>VÄSTRA GÖTALANDS LÄN</t>
        </is>
      </c>
      <c r="G283" t="inlineStr">
        <is>
          <t>MARIESTAD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45412</v>
      </c>
      <c r="E284" s="1" t="n">
        <v>46294</v>
      </c>
      <c r="F284" t="inlineStr">
        <is>
          <t>VÄSTRA GÖTALANDS LÄN</t>
        </is>
      </c>
      <c r="G284" t="inlineStr">
        <is>
          <t>MARIESTAD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17165-2024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45412</v>
      </c>
      <c r="E285" s="1" t="n">
        <v>46294</v>
      </c>
      <c r="F285" t="inlineStr">
        <is>
          <t>VÄSTRA GÖTALANDS LÄN</t>
        </is>
      </c>
      <c r="G285" t="inlineStr">
        <is>
          <t>MARIESTAD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46294</v>
      </c>
      <c r="F286" t="inlineStr">
        <is>
          <t>VÄSTRA GÖTALANDS LÄN</t>
        </is>
      </c>
      <c r="G286" t="inlineStr">
        <is>
          <t>MARIESTAD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60376-2021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46294</v>
      </c>
      <c r="F287" t="inlineStr">
        <is>
          <t>VÄSTRA GÖTALANDS LÄN</t>
        </is>
      </c>
      <c r="G287" t="inlineStr">
        <is>
          <t>MARIESTAD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46873-2023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45200</v>
      </c>
      <c r="E288" s="1" t="n">
        <v>46294</v>
      </c>
      <c r="F288" t="inlineStr">
        <is>
          <t>VÄSTRA GÖTALANDS LÄN</t>
        </is>
      </c>
      <c r="G288" t="inlineStr">
        <is>
          <t>MARIESTAD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46294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45709</v>
      </c>
      <c r="E290" s="1" t="n">
        <v>46294</v>
      </c>
      <c r="F290" t="inlineStr">
        <is>
          <t>VÄSTRA GÖTALANDS LÄN</t>
        </is>
      </c>
      <c r="G290" t="inlineStr">
        <is>
          <t>MARIESTAD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46294</v>
      </c>
      <c r="F291" t="inlineStr">
        <is>
          <t>VÄSTRA GÖTALANDS LÄN</t>
        </is>
      </c>
      <c r="G291" t="inlineStr">
        <is>
          <t>MARIESTAD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46294</v>
      </c>
      <c r="F292" t="inlineStr">
        <is>
          <t>VÄSTRA GÖTALANDS LÄN</t>
        </is>
      </c>
      <c r="G292" t="inlineStr">
        <is>
          <t>MARIESTAD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44489</v>
      </c>
      <c r="E293" s="1" t="n">
        <v>46294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65197-2023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45289</v>
      </c>
      <c r="E294" s="1" t="n">
        <v>46294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46294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46294</v>
      </c>
      <c r="F296" t="inlineStr">
        <is>
          <t>VÄSTRA GÖTALANDS LÄN</t>
        </is>
      </c>
      <c r="G296" t="inlineStr">
        <is>
          <t>MARIESTAD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46294</v>
      </c>
      <c r="F297" t="inlineStr">
        <is>
          <t>VÄSTRA GÖTALANDS LÄN</t>
        </is>
      </c>
      <c r="G297" t="inlineStr">
        <is>
          <t>MARIESTAD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46199</v>
      </c>
      <c r="E298" s="1" t="n">
        <v>46294</v>
      </c>
      <c r="F298" t="inlineStr">
        <is>
          <t>VÄSTRA GÖTALANDS LÄN</t>
        </is>
      </c>
      <c r="G298" t="inlineStr">
        <is>
          <t>MARIESTAD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29656-2026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46294</v>
      </c>
      <c r="F299" t="inlineStr">
        <is>
          <t>VÄSTRA GÖTALANDS LÄN</t>
        </is>
      </c>
      <c r="G299" t="inlineStr">
        <is>
          <t>MARIESTAD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46294</v>
      </c>
      <c r="F300" t="inlineStr">
        <is>
          <t>VÄSTRA GÖTALANDS LÄN</t>
        </is>
      </c>
      <c r="G300" t="inlineStr">
        <is>
          <t>MARIESTAD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46294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46294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54225-2022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44881</v>
      </c>
      <c r="E303" s="1" t="n">
        <v>46294</v>
      </c>
      <c r="F303" t="inlineStr">
        <is>
          <t>VÄSTRA GÖTALANDS LÄN</t>
        </is>
      </c>
      <c r="G303" t="inlineStr">
        <is>
          <t>MARIESTAD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46294</v>
      </c>
      <c r="F304" t="inlineStr">
        <is>
          <t>VÄSTRA GÖTALANDS LÄN</t>
        </is>
      </c>
      <c r="G304" t="inlineStr">
        <is>
          <t>MARIESTAD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45524</v>
      </c>
      <c r="E305" s="1" t="n">
        <v>46294</v>
      </c>
      <c r="F305" t="inlineStr">
        <is>
          <t>VÄSTRA GÖTALANDS LÄN</t>
        </is>
      </c>
      <c r="G305" t="inlineStr">
        <is>
          <t>MARIESTAD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46253</v>
      </c>
      <c r="E306" s="1" t="n">
        <v>46294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44553</v>
      </c>
      <c r="E307" s="1" t="n">
        <v>46294</v>
      </c>
      <c r="F307" t="inlineStr">
        <is>
          <t>VÄSTRA GÖTALANDS LÄN</t>
        </is>
      </c>
      <c r="G307" t="inlineStr">
        <is>
          <t>MARIESTAD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45590</v>
      </c>
      <c r="E308" s="1" t="n">
        <v>46294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13798-2022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44649</v>
      </c>
      <c r="E309" s="1" t="n">
        <v>46294</v>
      </c>
      <c r="F309" t="inlineStr">
        <is>
          <t>VÄSTRA GÖTALANDS LÄN</t>
        </is>
      </c>
      <c r="G309" t="inlineStr">
        <is>
          <t>MARIESTAD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9610-2022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44617</v>
      </c>
      <c r="E310" s="1" t="n">
        <v>46294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Kyrkan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46294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46294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45722</v>
      </c>
      <c r="E313" s="1" t="n">
        <v>46294</v>
      </c>
      <c r="F313" t="inlineStr">
        <is>
          <t>VÄSTRA GÖTALANDS LÄN</t>
        </is>
      </c>
      <c r="G313" t="inlineStr">
        <is>
          <t>MARIESTAD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44616</v>
      </c>
      <c r="E314" s="1" t="n">
        <v>46294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46261</v>
      </c>
      <c r="E315" s="1" t="n">
        <v>46294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46261</v>
      </c>
      <c r="E316" s="1" t="n">
        <v>46294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46262</v>
      </c>
      <c r="E317" s="1" t="n">
        <v>46294</v>
      </c>
      <c r="F317" t="inlineStr">
        <is>
          <t>VÄSTRA GÖTALANDS LÄN</t>
        </is>
      </c>
      <c r="G317" t="inlineStr">
        <is>
          <t>MARIESTAD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45590</v>
      </c>
      <c r="E318" s="1" t="n">
        <v>46294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22360-2023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46294</v>
      </c>
      <c r="F319" t="inlineStr">
        <is>
          <t>VÄSTRA GÖTALANDS LÄN</t>
        </is>
      </c>
      <c r="G319" t="inlineStr">
        <is>
          <t>MARIESTAD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46262</v>
      </c>
      <c r="E320" s="1" t="n">
        <v>46294</v>
      </c>
      <c r="F320" t="inlineStr">
        <is>
          <t>VÄSTRA GÖTALANDS LÄN</t>
        </is>
      </c>
      <c r="G320" t="inlineStr">
        <is>
          <t>MARIESTAD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46294</v>
      </c>
      <c r="F321" t="inlineStr">
        <is>
          <t>VÄSTRA GÖTALANDS LÄN</t>
        </is>
      </c>
      <c r="G321" t="inlineStr">
        <is>
          <t>MARIESTAD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12361-2023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44999</v>
      </c>
      <c r="E322" s="1" t="n">
        <v>46294</v>
      </c>
      <c r="F322" t="inlineStr">
        <is>
          <t>VÄSTRA GÖTALANDS LÄN</t>
        </is>
      </c>
      <c r="G322" t="inlineStr">
        <is>
          <t>MARIESTAD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45200</v>
      </c>
      <c r="E323" s="1" t="n">
        <v>46294</v>
      </c>
      <c r="F323" t="inlineStr">
        <is>
          <t>VÄSTRA GÖTALANDS LÄN</t>
        </is>
      </c>
      <c r="G323" t="inlineStr">
        <is>
          <t>MARIESTAD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45528</v>
      </c>
      <c r="E324" s="1" t="n">
        <v>46294</v>
      </c>
      <c r="F324" t="inlineStr">
        <is>
          <t>VÄSTRA GÖTALANDS LÄN</t>
        </is>
      </c>
      <c r="G324" t="inlineStr">
        <is>
          <t>MARIESTAD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49166-2023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45210</v>
      </c>
      <c r="E325" s="1" t="n">
        <v>46294</v>
      </c>
      <c r="F325" t="inlineStr">
        <is>
          <t>VÄSTRA GÖTALANDS LÄN</t>
        </is>
      </c>
      <c r="G325" t="inlineStr">
        <is>
          <t>MARIESTAD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46555-2022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44848</v>
      </c>
      <c r="E326" s="1" t="n">
        <v>46294</v>
      </c>
      <c r="F326" t="inlineStr">
        <is>
          <t>VÄSTRA GÖTALANDS LÄN</t>
        </is>
      </c>
      <c r="G326" t="inlineStr">
        <is>
          <t>MARIESTAD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60812-2023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45260</v>
      </c>
      <c r="E327" s="1" t="n">
        <v>46294</v>
      </c>
      <c r="F327" t="inlineStr">
        <is>
          <t>VÄSTRA GÖTALANDS LÄN</t>
        </is>
      </c>
      <c r="G327" t="inlineStr">
        <is>
          <t>MARIESTAD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45393</v>
      </c>
      <c r="E328" s="1" t="n">
        <v>46294</v>
      </c>
      <c r="F328" t="inlineStr">
        <is>
          <t>VÄSTRA GÖTALANDS LÄN</t>
        </is>
      </c>
      <c r="G328" t="inlineStr">
        <is>
          <t>MARIESTAD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32794-2024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45516</v>
      </c>
      <c r="E329" s="1" t="n">
        <v>46294</v>
      </c>
      <c r="F329" t="inlineStr">
        <is>
          <t>VÄSTRA GÖTALANDS LÄN</t>
        </is>
      </c>
      <c r="G329" t="inlineStr">
        <is>
          <t>MARIESTAD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28162-2022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44746</v>
      </c>
      <c r="E330" s="1" t="n">
        <v>46294</v>
      </c>
      <c r="F330" t="inlineStr">
        <is>
          <t>VÄSTRA GÖTALANDS LÄN</t>
        </is>
      </c>
      <c r="G330" t="inlineStr">
        <is>
          <t>MARIESTAD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32799-2024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46294</v>
      </c>
      <c r="F331" t="inlineStr">
        <is>
          <t>VÄSTRA GÖTALANDS LÄN</t>
        </is>
      </c>
      <c r="G331" t="inlineStr">
        <is>
          <t>MARIESTAD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45674</v>
      </c>
      <c r="E332" s="1" t="n">
        <v>46294</v>
      </c>
      <c r="F332" t="inlineStr">
        <is>
          <t>VÄSTRA GÖTALANDS LÄN</t>
        </is>
      </c>
      <c r="G332" t="inlineStr">
        <is>
          <t>MARIESTAD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61716-2022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46294</v>
      </c>
      <c r="F333" t="inlineStr">
        <is>
          <t>VÄSTRA GÖTALANDS LÄN</t>
        </is>
      </c>
      <c r="G333" t="inlineStr">
        <is>
          <t>MARIESTAD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45691</v>
      </c>
      <c r="E334" s="1" t="n">
        <v>46294</v>
      </c>
      <c r="F334" t="inlineStr">
        <is>
          <t>VÄSTRA GÖTALANDS LÄN</t>
        </is>
      </c>
      <c r="G334" t="inlineStr">
        <is>
          <t>MARIESTAD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61603-2023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45265</v>
      </c>
      <c r="E335" s="1" t="n">
        <v>46294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46294</v>
      </c>
      <c r="F336" t="inlineStr">
        <is>
          <t>VÄSTRA GÖTALANDS LÄN</t>
        </is>
      </c>
      <c r="G336" t="inlineStr">
        <is>
          <t>MARIESTAD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46294</v>
      </c>
      <c r="F337" t="inlineStr">
        <is>
          <t>VÄSTRA GÖTALANDS LÄN</t>
        </is>
      </c>
      <c r="G337" t="inlineStr">
        <is>
          <t>MARIESTAD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46294</v>
      </c>
      <c r="F338" t="inlineStr">
        <is>
          <t>VÄSTRA GÖTALANDS LÄN</t>
        </is>
      </c>
      <c r="G338" t="inlineStr">
        <is>
          <t>MARIESTAD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45720</v>
      </c>
      <c r="E339" s="1" t="n">
        <v>46294</v>
      </c>
      <c r="F339" t="inlineStr">
        <is>
          <t>VÄSTRA GÖTALANDS LÄN</t>
        </is>
      </c>
      <c r="G339" t="inlineStr">
        <is>
          <t>MARIESTAD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45684</v>
      </c>
      <c r="E340" s="1" t="n">
        <v>46294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Kyrkan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45307</v>
      </c>
      <c r="E341" s="1" t="n">
        <v>46294</v>
      </c>
      <c r="F341" t="inlineStr">
        <is>
          <t>VÄSTRA GÖTALANDS LÄN</t>
        </is>
      </c>
      <c r="G341" t="inlineStr">
        <is>
          <t>MARIESTAD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39286-2026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46288</v>
      </c>
      <c r="E342" s="1" t="n">
        <v>46294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46288</v>
      </c>
      <c r="E343" s="1" t="n">
        <v>46294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46289</v>
      </c>
      <c r="E344" s="1" t="n">
        <v>46294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Kyrkan</t>
        </is>
      </c>
      <c r="I344" t="n">
        <v>8.9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39261-2026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46288</v>
      </c>
      <c r="E345" s="1" t="n">
        <v>46294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46288</v>
      </c>
      <c r="E346" s="1" t="n">
        <v>46294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46288</v>
      </c>
      <c r="E347" s="1" t="n">
        <v>46294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39267-2026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46288</v>
      </c>
      <c r="E348" s="1" t="n">
        <v>46294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46288</v>
      </c>
      <c r="E349" s="1" t="n">
        <v>46294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46290</v>
      </c>
      <c r="E350" s="1" t="n">
        <v>46294</v>
      </c>
      <c r="F350" t="inlineStr">
        <is>
          <t>VÄSTRA GÖTALANDS LÄN</t>
        </is>
      </c>
      <c r="G350" t="inlineStr">
        <is>
          <t>MARIESTAD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46294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46294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46294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2026-09-29T02:01:59Z</dcterms:created>
  <dcterms:modified xmlns:dcterms="http://purl.org/dc/terms/" xmlns:xsi="http://www.w3.org/2001/XMLSchema-instance" xsi:type="dcterms:W3CDTF">2026-09-29T02:02:00Z</dcterms:modified>
</cp:coreProperties>
</file>