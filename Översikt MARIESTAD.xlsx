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46255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46255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46255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46255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46255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46255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46255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46255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46255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46255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46255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46255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46255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46255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46255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46255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46255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46255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46255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46255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46255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46255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46255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46255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12379-2026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46255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HYPERLINK("https://klasma.github.io/Logging_1493/artfynd/A 12379-2026 artfynd.xlsx", "A 12379-2026")</f>
        <v/>
      </c>
      <c r="X29">
        <f>HYPERLINK("https://klasma.github.io/Logging_1493/kartor/A 12379-2026 karta.png", "A 12379-2026")</f>
        <v/>
      </c>
      <c r="Y29">
        <f>HYPERLINK("https://klasma.github.io/Logging_1493/kartor_geotiff/A 12379-2026 georefererad karta.tif", "A 12379-2026")</f>
        <v/>
      </c>
      <c r="AA29">
        <f>HYPERLINK("https://klasma.github.io/Logging_1493/klagomål/A 12379-2026 FSC-klagomål.docx", "A 12379-2026")</f>
        <v/>
      </c>
      <c r="AB29">
        <f>HYPERLINK("https://klasma.github.io/Logging_1493/klagomålsmail/A 12379-2026 FSC-klagomål mail.docx", "A 12379-2026")</f>
        <v/>
      </c>
      <c r="AC29">
        <f>HYPERLINK("https://klasma.github.io/Logging_1493/tillsyn/A 12379-2026 tillsynsbegäran.docx", "A 12379-2026")</f>
        <v/>
      </c>
      <c r="AD29">
        <f>HYPERLINK("https://klasma.github.io/Logging_1493/tillsynsmail/A 12379-2026 tillsynsbegäran mail.docx", "A 12379-2026")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46255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49233-2023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45210</v>
      </c>
      <c r="E31" s="1" t="n">
        <v>46255</v>
      </c>
      <c r="F31" t="inlineStr">
        <is>
          <t>VÄSTRA GÖTALANDS LÄN</t>
        </is>
      </c>
      <c r="G31" t="inlineStr">
        <is>
          <t>MARIESTAD</t>
        </is>
      </c>
      <c r="I31" t="n">
        <v>6.1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Lönnlav</t>
        </is>
      </c>
      <c r="W31">
        <f>HYPERLINK("https://klasma.github.io/Logging_1493/artfynd/A 49233-2023 artfynd.xlsx", "A 49233-2023")</f>
        <v/>
      </c>
      <c r="X31">
        <f>HYPERLINK("https://klasma.github.io/Logging_1493/kartor/A 49233-2023 karta.png", "A 49233-2023")</f>
        <v/>
      </c>
      <c r="Y31">
        <f>HYPERLINK("https://klasma.github.io/Logging_1493/kartor_geotiff/A 49233-2023 georefererad karta.tif", "A 49233-2023")</f>
        <v/>
      </c>
      <c r="AA31">
        <f>HYPERLINK("https://klasma.github.io/Logging_1493/klagomål/A 49233-2023 FSC-klagomål.docx", "A 49233-2023")</f>
        <v/>
      </c>
      <c r="AB31">
        <f>HYPERLINK("https://klasma.github.io/Logging_1493/klagomålsmail/A 49233-2023 FSC-klagomål mail.docx", "A 49233-2023")</f>
        <v/>
      </c>
      <c r="AC31">
        <f>HYPERLINK("https://klasma.github.io/Logging_1493/tillsyn/A 49233-2023 tillsynsbegäran.docx", "A 49233-2023")</f>
        <v/>
      </c>
      <c r="AD31">
        <f>HYPERLINK("https://klasma.github.io/Logging_1493/tillsynsmail/A 49233-2023 tillsynsbegäran mail.docx", "A 49233-2023")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46255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46255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46255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46255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46255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46255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46255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46255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46255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46255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46255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46255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46255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46255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46255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46255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46255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46255</v>
      </c>
      <c r="F49" t="inlineStr">
        <is>
          <t>VÄSTRA GÖTALANDS LÄN</t>
        </is>
      </c>
      <c r="G49" t="inlineStr">
        <is>
          <t>MARIESTAD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46255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46255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46255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46255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46255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46255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46255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46255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46255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46255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46255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46255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46255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46255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46255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46255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46255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46255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46255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46255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46255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46255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46255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46255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46255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46255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46255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46255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46255</v>
      </c>
      <c r="F78" t="inlineStr">
        <is>
          <t>VÄSTRA GÖTALANDS LÄN</t>
        </is>
      </c>
      <c r="G78" t="inlineStr">
        <is>
          <t>MARIESTAD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46255</v>
      </c>
      <c r="F79" t="inlineStr">
        <is>
          <t>VÄSTRA GÖTALANDS LÄN</t>
        </is>
      </c>
      <c r="G79" t="inlineStr">
        <is>
          <t>MARIESTAD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46255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46255</v>
      </c>
      <c r="F81" t="inlineStr">
        <is>
          <t>VÄSTRA GÖTALANDS LÄN</t>
        </is>
      </c>
      <c r="G81" t="inlineStr">
        <is>
          <t>MARIESTAD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46255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46255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46255</v>
      </c>
      <c r="F84" t="inlineStr">
        <is>
          <t>VÄSTRA GÖTALANDS LÄN</t>
        </is>
      </c>
      <c r="G84" t="inlineStr">
        <is>
          <t>MARIESTAD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46255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46255</v>
      </c>
      <c r="F86" t="inlineStr">
        <is>
          <t>VÄSTRA GÖTALANDS LÄN</t>
        </is>
      </c>
      <c r="G86" t="inlineStr">
        <is>
          <t>MARIESTAD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45460</v>
      </c>
      <c r="E87" s="1" t="n">
        <v>46255</v>
      </c>
      <c r="F87" t="inlineStr">
        <is>
          <t>VÄSTRA GÖTALANDS LÄN</t>
        </is>
      </c>
      <c r="G87" t="inlineStr">
        <is>
          <t>MARIESTAD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46255</v>
      </c>
      <c r="F88" t="inlineStr">
        <is>
          <t>VÄSTRA GÖTALANDS LÄN</t>
        </is>
      </c>
      <c r="G88" t="inlineStr">
        <is>
          <t>MARIESTAD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46255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46255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46255</v>
      </c>
      <c r="F91" t="inlineStr">
        <is>
          <t>VÄSTRA GÖTALANDS LÄN</t>
        </is>
      </c>
      <c r="G91" t="inlineStr">
        <is>
          <t>MARIESTAD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44553</v>
      </c>
      <c r="E92" s="1" t="n">
        <v>46255</v>
      </c>
      <c r="F92" t="inlineStr">
        <is>
          <t>VÄSTRA GÖTALANDS LÄN</t>
        </is>
      </c>
      <c r="G92" t="inlineStr">
        <is>
          <t>MARIESTAD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33571-2023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45131</v>
      </c>
      <c r="E93" s="1" t="n">
        <v>46255</v>
      </c>
      <c r="F93" t="inlineStr">
        <is>
          <t>VÄSTRA GÖTALANDS LÄN</t>
        </is>
      </c>
      <c r="G93" t="inlineStr">
        <is>
          <t>MARIESTAD</t>
        </is>
      </c>
      <c r="I93" t="n">
        <v>16.1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46255</v>
      </c>
      <c r="F94" t="inlineStr">
        <is>
          <t>VÄSTRA GÖTALANDS LÄN</t>
        </is>
      </c>
      <c r="G94" t="inlineStr">
        <is>
          <t>MARIESTAD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46255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45265</v>
      </c>
      <c r="E96" s="1" t="n">
        <v>46255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46255</v>
      </c>
      <c r="F97" t="inlineStr">
        <is>
          <t>VÄSTRA GÖTALANDS LÄN</t>
        </is>
      </c>
      <c r="G97" t="inlineStr">
        <is>
          <t>MARIESTAD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45268</v>
      </c>
      <c r="E98" s="1" t="n">
        <v>46255</v>
      </c>
      <c r="F98" t="inlineStr">
        <is>
          <t>VÄSTRA GÖTALANDS LÄN</t>
        </is>
      </c>
      <c r="G98" t="inlineStr">
        <is>
          <t>MARIESTAD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46255</v>
      </c>
      <c r="F99" t="inlineStr">
        <is>
          <t>VÄSTRA GÖTALANDS LÄN</t>
        </is>
      </c>
      <c r="G99" t="inlineStr">
        <is>
          <t>MARIESTAD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46255</v>
      </c>
      <c r="F100" t="inlineStr">
        <is>
          <t>VÄSTRA GÖTALANDS LÄN</t>
        </is>
      </c>
      <c r="G100" t="inlineStr">
        <is>
          <t>MARIESTAD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46255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66771-2021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44521</v>
      </c>
      <c r="E102" s="1" t="n">
        <v>46255</v>
      </c>
      <c r="F102" t="inlineStr">
        <is>
          <t>VÄSTRA GÖTALANDS LÄN</t>
        </is>
      </c>
      <c r="G102" t="inlineStr">
        <is>
          <t>MARIESTAD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57692-2023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46255</v>
      </c>
      <c r="F103" t="inlineStr">
        <is>
          <t>VÄSTRA GÖTALANDS LÄN</t>
        </is>
      </c>
      <c r="G103" t="inlineStr">
        <is>
          <t>MARIESTAD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46255</v>
      </c>
      <c r="F104" t="inlineStr">
        <is>
          <t>VÄSTRA GÖTALANDS LÄN</t>
        </is>
      </c>
      <c r="G104" t="inlineStr">
        <is>
          <t>MARIESTAD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46255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Kyrkan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46255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60812-2023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45260</v>
      </c>
      <c r="E107" s="1" t="n">
        <v>46255</v>
      </c>
      <c r="F107" t="inlineStr">
        <is>
          <t>VÄSTRA GÖTALANDS LÄN</t>
        </is>
      </c>
      <c r="G107" t="inlineStr">
        <is>
          <t>MARIESTAD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45516</v>
      </c>
      <c r="E108" s="1" t="n">
        <v>46255</v>
      </c>
      <c r="F108" t="inlineStr">
        <is>
          <t>VÄSTRA GÖTALANDS LÄN</t>
        </is>
      </c>
      <c r="G108" t="inlineStr">
        <is>
          <t>MARIESTAD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45516</v>
      </c>
      <c r="E109" s="1" t="n">
        <v>46255</v>
      </c>
      <c r="F109" t="inlineStr">
        <is>
          <t>VÄSTRA GÖTALANDS LÄN</t>
        </is>
      </c>
      <c r="G109" t="inlineStr">
        <is>
          <t>MARIESTAD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12361-2023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46255</v>
      </c>
      <c r="F110" t="inlineStr">
        <is>
          <t>VÄSTRA GÖTALANDS LÄN</t>
        </is>
      </c>
      <c r="G110" t="inlineStr">
        <is>
          <t>MARIESTAD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46255</v>
      </c>
      <c r="F111" t="inlineStr">
        <is>
          <t>VÄSTRA GÖTALANDS LÄN</t>
        </is>
      </c>
      <c r="G111" t="inlineStr">
        <is>
          <t>MARIESTAD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46255</v>
      </c>
      <c r="F112" t="inlineStr">
        <is>
          <t>VÄSTRA GÖTALANDS LÄN</t>
        </is>
      </c>
      <c r="G112" t="inlineStr">
        <is>
          <t>MARIESTAD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46255</v>
      </c>
      <c r="F113" t="inlineStr">
        <is>
          <t>VÄSTRA GÖTALANDS LÄN</t>
        </is>
      </c>
      <c r="G113" t="inlineStr">
        <is>
          <t>MARIESTAD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46255</v>
      </c>
      <c r="F114" t="inlineStr">
        <is>
          <t>VÄSTRA GÖTALANDS LÄN</t>
        </is>
      </c>
      <c r="G114" t="inlineStr">
        <is>
          <t>MARIESTAD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46255</v>
      </c>
      <c r="F115" t="inlineStr">
        <is>
          <t>VÄSTRA GÖTALANDS LÄN</t>
        </is>
      </c>
      <c r="G115" t="inlineStr">
        <is>
          <t>MARIESTAD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16867-2023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45033</v>
      </c>
      <c r="E116" s="1" t="n">
        <v>46255</v>
      </c>
      <c r="F116" t="inlineStr">
        <is>
          <t>VÄSTRA GÖTALANDS LÄN</t>
        </is>
      </c>
      <c r="G116" t="inlineStr">
        <is>
          <t>MARIESTAD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46255</v>
      </c>
      <c r="F117" t="inlineStr">
        <is>
          <t>VÄSTRA GÖTALANDS LÄN</t>
        </is>
      </c>
      <c r="G117" t="inlineStr">
        <is>
          <t>MARIESTAD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46255</v>
      </c>
      <c r="F118" t="inlineStr">
        <is>
          <t>VÄSTRA GÖTALANDS LÄN</t>
        </is>
      </c>
      <c r="G118" t="inlineStr">
        <is>
          <t>MARIESTAD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46255</v>
      </c>
      <c r="F119" t="inlineStr">
        <is>
          <t>VÄSTRA GÖTALANDS LÄN</t>
        </is>
      </c>
      <c r="G119" t="inlineStr">
        <is>
          <t>MARIESTAD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46255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44936</v>
      </c>
      <c r="E121" s="1" t="n">
        <v>46255</v>
      </c>
      <c r="F121" t="inlineStr">
        <is>
          <t>VÄSTRA GÖTALANDS LÄN</t>
        </is>
      </c>
      <c r="G121" t="inlineStr">
        <is>
          <t>MARIESTAD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46255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Kyrkan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46255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7587-2026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46061</v>
      </c>
      <c r="E124" s="1" t="n">
        <v>46255</v>
      </c>
      <c r="F124" t="inlineStr">
        <is>
          <t>VÄSTRA GÖTALANDS LÄN</t>
        </is>
      </c>
      <c r="G124" t="inlineStr">
        <is>
          <t>MARIESTAD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46255</v>
      </c>
      <c r="F125" t="inlineStr">
        <is>
          <t>VÄSTRA GÖTALANDS LÄN</t>
        </is>
      </c>
      <c r="G125" t="inlineStr">
        <is>
          <t>MARIESTAD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46255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46255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46255</v>
      </c>
      <c r="F128" t="inlineStr">
        <is>
          <t>VÄSTRA GÖTALANDS LÄN</t>
        </is>
      </c>
      <c r="G128" t="inlineStr">
        <is>
          <t>MARIESTAD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46255</v>
      </c>
      <c r="F129" t="inlineStr">
        <is>
          <t>VÄSTRA GÖTALANDS LÄN</t>
        </is>
      </c>
      <c r="G129" t="inlineStr">
        <is>
          <t>MARIESTAD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46255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46255</v>
      </c>
      <c r="F131" t="inlineStr">
        <is>
          <t>VÄSTRA GÖTALANDS LÄN</t>
        </is>
      </c>
      <c r="G131" t="inlineStr">
        <is>
          <t>MARIESTAD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46255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46255</v>
      </c>
      <c r="F133" t="inlineStr">
        <is>
          <t>VÄSTRA GÖTALANDS LÄN</t>
        </is>
      </c>
      <c r="G133" t="inlineStr">
        <is>
          <t>MARIESTAD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45199</v>
      </c>
      <c r="E134" s="1" t="n">
        <v>46255</v>
      </c>
      <c r="F134" t="inlineStr">
        <is>
          <t>VÄSTRA GÖTALANDS LÄN</t>
        </is>
      </c>
      <c r="G134" t="inlineStr">
        <is>
          <t>MARIESTAD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46255</v>
      </c>
      <c r="F135" t="inlineStr">
        <is>
          <t>VÄSTRA GÖTALANDS LÄN</t>
        </is>
      </c>
      <c r="G135" t="inlineStr">
        <is>
          <t>MARIESTAD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46255</v>
      </c>
      <c r="F136" t="inlineStr">
        <is>
          <t>VÄSTRA GÖTALANDS LÄN</t>
        </is>
      </c>
      <c r="G136" t="inlineStr">
        <is>
          <t>MARIESTAD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26688-2022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44739</v>
      </c>
      <c r="E137" s="1" t="n">
        <v>46255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46255</v>
      </c>
      <c r="F138" t="inlineStr">
        <is>
          <t>VÄSTRA GÖTALANDS LÄN</t>
        </is>
      </c>
      <c r="G138" t="inlineStr">
        <is>
          <t>MARIESTAD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46255</v>
      </c>
      <c r="F139" t="inlineStr">
        <is>
          <t>VÄSTRA GÖTALANDS LÄN</t>
        </is>
      </c>
      <c r="G139" t="inlineStr">
        <is>
          <t>MARIESTAD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9558-2026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46071</v>
      </c>
      <c r="E140" s="1" t="n">
        <v>46255</v>
      </c>
      <c r="F140" t="inlineStr">
        <is>
          <t>VÄSTRA GÖTALANDS LÄN</t>
        </is>
      </c>
      <c r="G140" t="inlineStr">
        <is>
          <t>MARIESTAD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46255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46255</v>
      </c>
      <c r="F142" t="inlineStr">
        <is>
          <t>VÄSTRA GÖTALANDS LÄN</t>
        </is>
      </c>
      <c r="G142" t="inlineStr">
        <is>
          <t>MARIESTAD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46255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46255</v>
      </c>
      <c r="F144" t="inlineStr">
        <is>
          <t>VÄSTRA GÖTALANDS LÄN</t>
        </is>
      </c>
      <c r="G144" t="inlineStr">
        <is>
          <t>MARIESTAD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45873</v>
      </c>
      <c r="E145" s="1" t="n">
        <v>46255</v>
      </c>
      <c r="F145" t="inlineStr">
        <is>
          <t>VÄSTRA GÖTALANDS LÄN</t>
        </is>
      </c>
      <c r="G145" t="inlineStr">
        <is>
          <t>MARIESTAD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46255</v>
      </c>
      <c r="F146" t="inlineStr">
        <is>
          <t>VÄSTRA GÖTALANDS LÄN</t>
        </is>
      </c>
      <c r="G146" t="inlineStr">
        <is>
          <t>MARIESTAD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46255</v>
      </c>
      <c r="F147" t="inlineStr">
        <is>
          <t>VÄSTRA GÖTALANDS LÄN</t>
        </is>
      </c>
      <c r="G147" t="inlineStr">
        <is>
          <t>MARIESTAD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46255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46255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8849-2022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46255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46255</v>
      </c>
      <c r="F151" t="inlineStr">
        <is>
          <t>VÄSTRA GÖTALANDS LÄN</t>
        </is>
      </c>
      <c r="G151" t="inlineStr">
        <is>
          <t>MARIESTAD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46077</v>
      </c>
      <c r="E152" s="1" t="n">
        <v>46255</v>
      </c>
      <c r="F152" t="inlineStr">
        <is>
          <t>VÄSTRA GÖTALANDS LÄN</t>
        </is>
      </c>
      <c r="G152" t="inlineStr">
        <is>
          <t>MARIESTAD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46255</v>
      </c>
      <c r="F153" t="inlineStr">
        <is>
          <t>VÄSTRA GÖTALANDS LÄN</t>
        </is>
      </c>
      <c r="G153" t="inlineStr">
        <is>
          <t>MARIESTAD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46255</v>
      </c>
      <c r="F154" t="inlineStr">
        <is>
          <t>VÄSTRA GÖTALANDS LÄN</t>
        </is>
      </c>
      <c r="G154" t="inlineStr">
        <is>
          <t>MARIESTAD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13655-2023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45006</v>
      </c>
      <c r="E155" s="1" t="n">
        <v>46255</v>
      </c>
      <c r="F155" t="inlineStr">
        <is>
          <t>VÄSTRA GÖTALANDS LÄN</t>
        </is>
      </c>
      <c r="G155" t="inlineStr">
        <is>
          <t>MARIESTAD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46255</v>
      </c>
      <c r="F156" t="inlineStr">
        <is>
          <t>VÄSTRA GÖTALANDS LÄN</t>
        </is>
      </c>
      <c r="G156" t="inlineStr">
        <is>
          <t>MARIESTAD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46255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44993</v>
      </c>
      <c r="E158" s="1" t="n">
        <v>46255</v>
      </c>
      <c r="F158" t="inlineStr">
        <is>
          <t>VÄSTRA GÖTALANDS LÄN</t>
        </is>
      </c>
      <c r="G158" t="inlineStr">
        <is>
          <t>MARIESTAD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46255</v>
      </c>
      <c r="F159" t="inlineStr">
        <is>
          <t>VÄSTRA GÖTALANDS LÄN</t>
        </is>
      </c>
      <c r="G159" t="inlineStr">
        <is>
          <t>MARIESTAD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46080</v>
      </c>
      <c r="E160" s="1" t="n">
        <v>46255</v>
      </c>
      <c r="F160" t="inlineStr">
        <is>
          <t>VÄSTRA GÖTALANDS LÄN</t>
        </is>
      </c>
      <c r="G160" t="inlineStr">
        <is>
          <t>MARIESTAD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45664</v>
      </c>
      <c r="E161" s="1" t="n">
        <v>46255</v>
      </c>
      <c r="F161" t="inlineStr">
        <is>
          <t>VÄSTRA GÖTALANDS LÄN</t>
        </is>
      </c>
      <c r="G161" t="inlineStr">
        <is>
          <t>MARIESTAD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45722</v>
      </c>
      <c r="E162" s="1" t="n">
        <v>46255</v>
      </c>
      <c r="F162" t="inlineStr">
        <is>
          <t>VÄSTRA GÖTALANDS LÄN</t>
        </is>
      </c>
      <c r="G162" t="inlineStr">
        <is>
          <t>MARIESTAD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46255</v>
      </c>
      <c r="F163" t="inlineStr">
        <is>
          <t>VÄSTRA GÖTALANDS LÄN</t>
        </is>
      </c>
      <c r="G163" t="inlineStr">
        <is>
          <t>MARIESTAD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46255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46255</v>
      </c>
      <c r="F165" t="inlineStr">
        <is>
          <t>VÄSTRA GÖTALANDS LÄN</t>
        </is>
      </c>
      <c r="G165" t="inlineStr">
        <is>
          <t>MARIESTAD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46255</v>
      </c>
      <c r="F166" t="inlineStr">
        <is>
          <t>VÄSTRA GÖTALANDS LÄN</t>
        </is>
      </c>
      <c r="G166" t="inlineStr">
        <is>
          <t>MARIESTAD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12381-2026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46255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46255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46255</v>
      </c>
      <c r="F169" t="inlineStr">
        <is>
          <t>VÄSTRA GÖTALANDS LÄN</t>
        </is>
      </c>
      <c r="G169" t="inlineStr">
        <is>
          <t>MARIESTAD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46255</v>
      </c>
      <c r="F170" t="inlineStr">
        <is>
          <t>VÄSTRA GÖTALANDS LÄN</t>
        </is>
      </c>
      <c r="G170" t="inlineStr">
        <is>
          <t>MARIESTAD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46255</v>
      </c>
      <c r="F171" t="inlineStr">
        <is>
          <t>VÄSTRA GÖTALANDS LÄN</t>
        </is>
      </c>
      <c r="G171" t="inlineStr">
        <is>
          <t>MARIESTAD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46255</v>
      </c>
      <c r="F172" t="inlineStr">
        <is>
          <t>VÄSTRA GÖTALANDS LÄN</t>
        </is>
      </c>
      <c r="G172" t="inlineStr">
        <is>
          <t>MARIESTAD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46255</v>
      </c>
      <c r="F173" t="inlineStr">
        <is>
          <t>VÄSTRA GÖTALANDS LÄN</t>
        </is>
      </c>
      <c r="G173" t="inlineStr">
        <is>
          <t>MARIESTAD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46255</v>
      </c>
      <c r="F174" t="inlineStr">
        <is>
          <t>VÄSTRA GÖTALANDS LÄN</t>
        </is>
      </c>
      <c r="G174" t="inlineStr">
        <is>
          <t>MARIESTAD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46255</v>
      </c>
      <c r="F175" t="inlineStr">
        <is>
          <t>VÄSTRA GÖTALANDS LÄN</t>
        </is>
      </c>
      <c r="G175" t="inlineStr">
        <is>
          <t>MARIESTAD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46255</v>
      </c>
      <c r="F176" t="inlineStr">
        <is>
          <t>VÄSTRA GÖTALANDS LÄN</t>
        </is>
      </c>
      <c r="G176" t="inlineStr">
        <is>
          <t>MARIESTAD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46255</v>
      </c>
      <c r="F177" t="inlineStr">
        <is>
          <t>VÄSTRA GÖTALANDS LÄN</t>
        </is>
      </c>
      <c r="G177" t="inlineStr">
        <is>
          <t>MARIESTAD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46255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Övriga Aktiebolag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44746</v>
      </c>
      <c r="E179" s="1" t="n">
        <v>46255</v>
      </c>
      <c r="F179" t="inlineStr">
        <is>
          <t>VÄSTRA GÖTALANDS LÄN</t>
        </is>
      </c>
      <c r="G179" t="inlineStr">
        <is>
          <t>MARIESTAD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44843</v>
      </c>
      <c r="E180" s="1" t="n">
        <v>46255</v>
      </c>
      <c r="F180" t="inlineStr">
        <is>
          <t>VÄSTRA GÖTALANDS LÄN</t>
        </is>
      </c>
      <c r="G180" t="inlineStr">
        <is>
          <t>MARIESTAD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46255</v>
      </c>
      <c r="F181" t="inlineStr">
        <is>
          <t>VÄSTRA GÖTALANDS LÄN</t>
        </is>
      </c>
      <c r="G181" t="inlineStr">
        <is>
          <t>MARIESTAD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46255</v>
      </c>
      <c r="F182" t="inlineStr">
        <is>
          <t>VÄSTRA GÖTALANDS LÄN</t>
        </is>
      </c>
      <c r="G182" t="inlineStr">
        <is>
          <t>MARIESTAD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46255</v>
      </c>
      <c r="F183" t="inlineStr">
        <is>
          <t>VÄSTRA GÖTALANDS LÄN</t>
        </is>
      </c>
      <c r="G183" t="inlineStr">
        <is>
          <t>MARIESTAD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36399-2024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45535</v>
      </c>
      <c r="E184" s="1" t="n">
        <v>46255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46255</v>
      </c>
      <c r="F185" t="inlineStr">
        <is>
          <t>VÄSTRA GÖTALANDS LÄN</t>
        </is>
      </c>
      <c r="G185" t="inlineStr">
        <is>
          <t>MARIESTAD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46255</v>
      </c>
      <c r="F186" t="inlineStr">
        <is>
          <t>VÄSTRA GÖTALANDS LÄN</t>
        </is>
      </c>
      <c r="G186" t="inlineStr">
        <is>
          <t>MARIESTAD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44943</v>
      </c>
      <c r="E187" s="1" t="n">
        <v>46255</v>
      </c>
      <c r="F187" t="inlineStr">
        <is>
          <t>VÄSTRA GÖTALANDS LÄN</t>
        </is>
      </c>
      <c r="G187" t="inlineStr">
        <is>
          <t>MARIESTAD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47194-2021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44447</v>
      </c>
      <c r="E188" s="1" t="n">
        <v>46255</v>
      </c>
      <c r="F188" t="inlineStr">
        <is>
          <t>VÄSTRA GÖTALANDS LÄN</t>
        </is>
      </c>
      <c r="G188" t="inlineStr">
        <is>
          <t>MARIESTAD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46255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Kyrkan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44836</v>
      </c>
      <c r="E190" s="1" t="n">
        <v>46255</v>
      </c>
      <c r="F190" t="inlineStr">
        <is>
          <t>VÄSTRA GÖTALANDS LÄN</t>
        </is>
      </c>
      <c r="G190" t="inlineStr">
        <is>
          <t>MARIESTAD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46255</v>
      </c>
      <c r="F191" t="inlineStr">
        <is>
          <t>VÄSTRA GÖTALANDS LÄN</t>
        </is>
      </c>
      <c r="G191" t="inlineStr">
        <is>
          <t>MARIESTAD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46255</v>
      </c>
      <c r="F192" t="inlineStr">
        <is>
          <t>VÄSTRA GÖTALANDS LÄN</t>
        </is>
      </c>
      <c r="G192" t="inlineStr">
        <is>
          <t>MARIESTAD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46255</v>
      </c>
      <c r="F193" t="inlineStr">
        <is>
          <t>VÄSTRA GÖTALANDS LÄN</t>
        </is>
      </c>
      <c r="G193" t="inlineStr">
        <is>
          <t>MARIESTAD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45200</v>
      </c>
      <c r="E194" s="1" t="n">
        <v>46255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14288-2024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45393</v>
      </c>
      <c r="E195" s="1" t="n">
        <v>46255</v>
      </c>
      <c r="F195" t="inlineStr">
        <is>
          <t>VÄSTRA GÖTALANDS LÄN</t>
        </is>
      </c>
      <c r="G195" t="inlineStr">
        <is>
          <t>MARIESTAD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46255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45268</v>
      </c>
      <c r="E197" s="1" t="n">
        <v>46255</v>
      </c>
      <c r="F197" t="inlineStr">
        <is>
          <t>VÄSTRA GÖTALANDS LÄN</t>
        </is>
      </c>
      <c r="G197" t="inlineStr">
        <is>
          <t>MARIESTAD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46255</v>
      </c>
      <c r="F198" t="inlineStr">
        <is>
          <t>VÄSTRA GÖTALANDS LÄN</t>
        </is>
      </c>
      <c r="G198" t="inlineStr">
        <is>
          <t>MARIESTAD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46255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45412</v>
      </c>
      <c r="E200" s="1" t="n">
        <v>46255</v>
      </c>
      <c r="F200" t="inlineStr">
        <is>
          <t>VÄSTRA GÖTALANDS LÄN</t>
        </is>
      </c>
      <c r="G200" t="inlineStr">
        <is>
          <t>MARIESTAD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46255</v>
      </c>
      <c r="F201" t="inlineStr">
        <is>
          <t>VÄSTRA GÖTALANDS LÄN</t>
        </is>
      </c>
      <c r="G201" t="inlineStr">
        <is>
          <t>MARIESTAD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45397</v>
      </c>
      <c r="E202" s="1" t="n">
        <v>46255</v>
      </c>
      <c r="F202" t="inlineStr">
        <is>
          <t>VÄSTRA GÖTALANDS LÄN</t>
        </is>
      </c>
      <c r="G202" t="inlineStr">
        <is>
          <t>MARIESTAD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46255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46255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44620</v>
      </c>
      <c r="E205" s="1" t="n">
        <v>46255</v>
      </c>
      <c r="F205" t="inlineStr">
        <is>
          <t>VÄSTRA GÖTALANDS LÄN</t>
        </is>
      </c>
      <c r="G205" t="inlineStr">
        <is>
          <t>MARIESTAD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46255</v>
      </c>
      <c r="F206" t="inlineStr">
        <is>
          <t>VÄSTRA GÖTALANDS LÄN</t>
        </is>
      </c>
      <c r="G206" t="inlineStr">
        <is>
          <t>MARIESTAD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70259-2021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44536</v>
      </c>
      <c r="E207" s="1" t="n">
        <v>46255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46255</v>
      </c>
      <c r="F208" t="inlineStr">
        <is>
          <t>VÄSTRA GÖTALANDS LÄN</t>
        </is>
      </c>
      <c r="G208" t="inlineStr">
        <is>
          <t>MARIESTAD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45470</v>
      </c>
      <c r="E209" s="1" t="n">
        <v>46255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Kyrkan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46255</v>
      </c>
      <c r="F210" t="inlineStr">
        <is>
          <t>VÄSTRA GÖTALANDS LÄN</t>
        </is>
      </c>
      <c r="G210" t="inlineStr">
        <is>
          <t>MARIESTAD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46255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Kyrkan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44630</v>
      </c>
      <c r="E212" s="1" t="n">
        <v>46255</v>
      </c>
      <c r="F212" t="inlineStr">
        <is>
          <t>VÄSTRA GÖTALANDS LÄN</t>
        </is>
      </c>
      <c r="G212" t="inlineStr">
        <is>
          <t>MARIESTAD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46255</v>
      </c>
      <c r="F213" t="inlineStr">
        <is>
          <t>VÄSTRA GÖTALANDS LÄN</t>
        </is>
      </c>
      <c r="G213" t="inlineStr">
        <is>
          <t>MARIESTAD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45751</v>
      </c>
      <c r="E214" s="1" t="n">
        <v>46255</v>
      </c>
      <c r="F214" t="inlineStr">
        <is>
          <t>VÄSTRA GÖTALANDS LÄN</t>
        </is>
      </c>
      <c r="G214" t="inlineStr">
        <is>
          <t>MARIESTAD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46255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46255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46255</v>
      </c>
      <c r="F217" t="inlineStr">
        <is>
          <t>VÄSTRA GÖTALANDS LÄN</t>
        </is>
      </c>
      <c r="G217" t="inlineStr">
        <is>
          <t>MARIESTAD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46255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50579-2023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45217</v>
      </c>
      <c r="E219" s="1" t="n">
        <v>46255</v>
      </c>
      <c r="F219" t="inlineStr">
        <is>
          <t>VÄSTRA GÖTALANDS LÄN</t>
        </is>
      </c>
      <c r="G219" t="inlineStr">
        <is>
          <t>MARIESTAD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39766-2023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45167</v>
      </c>
      <c r="E220" s="1" t="n">
        <v>46255</v>
      </c>
      <c r="F220" t="inlineStr">
        <is>
          <t>VÄSTRA GÖTALANDS LÄN</t>
        </is>
      </c>
      <c r="G220" t="inlineStr">
        <is>
          <t>MARIESTAD</t>
        </is>
      </c>
      <c r="I220" t="n">
        <v>26.5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44649</v>
      </c>
      <c r="E221" s="1" t="n">
        <v>46255</v>
      </c>
      <c r="F221" t="inlineStr">
        <is>
          <t>VÄSTRA GÖTALANDS LÄN</t>
        </is>
      </c>
      <c r="G221" t="inlineStr">
        <is>
          <t>MARIESTAD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44629</v>
      </c>
      <c r="E222" s="1" t="n">
        <v>46255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46255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44638</v>
      </c>
      <c r="E224" s="1" t="n">
        <v>46255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41406-2024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46255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45200</v>
      </c>
      <c r="E226" s="1" t="n">
        <v>46255</v>
      </c>
      <c r="F226" t="inlineStr">
        <is>
          <t>VÄSTRA GÖTALANDS LÄN</t>
        </is>
      </c>
      <c r="G226" t="inlineStr">
        <is>
          <t>MARIESTAD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45691</v>
      </c>
      <c r="E227" s="1" t="n">
        <v>46255</v>
      </c>
      <c r="F227" t="inlineStr">
        <is>
          <t>VÄSTRA GÖTALANDS LÄN</t>
        </is>
      </c>
      <c r="G227" t="inlineStr">
        <is>
          <t>MARIESTAD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46255</v>
      </c>
      <c r="F228" t="inlineStr">
        <is>
          <t>VÄSTRA GÖTALANDS LÄN</t>
        </is>
      </c>
      <c r="G228" t="inlineStr">
        <is>
          <t>MARIESTAD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46255</v>
      </c>
      <c r="F229" t="inlineStr">
        <is>
          <t>VÄSTRA GÖTALANDS LÄN</t>
        </is>
      </c>
      <c r="G229" t="inlineStr">
        <is>
          <t>MARIESTAD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44574</v>
      </c>
      <c r="E230" s="1" t="n">
        <v>46255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40455-2023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45170</v>
      </c>
      <c r="E231" s="1" t="n">
        <v>46255</v>
      </c>
      <c r="F231" t="inlineStr">
        <is>
          <t>VÄSTRA GÖTALANDS LÄN</t>
        </is>
      </c>
      <c r="G231" t="inlineStr">
        <is>
          <t>MARIESTAD</t>
        </is>
      </c>
      <c r="I231" t="n">
        <v>34.9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46255</v>
      </c>
      <c r="F232" t="inlineStr">
        <is>
          <t>VÄSTRA GÖTALANDS LÄN</t>
        </is>
      </c>
      <c r="G232" t="inlineStr">
        <is>
          <t>MARIESTAD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46255</v>
      </c>
      <c r="F233" t="inlineStr">
        <is>
          <t>VÄSTRA GÖTALANDS LÄN</t>
        </is>
      </c>
      <c r="G233" t="inlineStr">
        <is>
          <t>MARIESTAD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46255</v>
      </c>
      <c r="F234" t="inlineStr">
        <is>
          <t>VÄSTRA GÖTALANDS LÄN</t>
        </is>
      </c>
      <c r="G234" t="inlineStr">
        <is>
          <t>MARIESTAD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46255</v>
      </c>
      <c r="F235" t="inlineStr">
        <is>
          <t>VÄSTRA GÖTALANDS LÄN</t>
        </is>
      </c>
      <c r="G235" t="inlineStr">
        <is>
          <t>MARIESTAD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44900</v>
      </c>
      <c r="E236" s="1" t="n">
        <v>46255</v>
      </c>
      <c r="F236" t="inlineStr">
        <is>
          <t>VÄSTRA GÖTALANDS LÄN</t>
        </is>
      </c>
      <c r="G236" t="inlineStr">
        <is>
          <t>MARIESTAD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46255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46255</v>
      </c>
      <c r="F238" t="inlineStr">
        <is>
          <t>VÄSTRA GÖTALANDS LÄN</t>
        </is>
      </c>
      <c r="G238" t="inlineStr">
        <is>
          <t>MARIESTAD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46255</v>
      </c>
      <c r="F239" t="inlineStr">
        <is>
          <t>VÄSTRA GÖTALANDS LÄN</t>
        </is>
      </c>
      <c r="G239" t="inlineStr">
        <is>
          <t>MARIESTAD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28050-2022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44746</v>
      </c>
      <c r="E240" s="1" t="n">
        <v>46255</v>
      </c>
      <c r="F240" t="inlineStr">
        <is>
          <t>VÄSTRA GÖTALANDS LÄN</t>
        </is>
      </c>
      <c r="G240" t="inlineStr">
        <is>
          <t>MARIESTAD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46255</v>
      </c>
      <c r="F241" t="inlineStr">
        <is>
          <t>VÄSTRA GÖTALANDS LÄN</t>
        </is>
      </c>
      <c r="G241" t="inlineStr">
        <is>
          <t>MARIESTAD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46255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61603-2023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45265</v>
      </c>
      <c r="E243" s="1" t="n">
        <v>46255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46255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44693</v>
      </c>
      <c r="E245" s="1" t="n">
        <v>46255</v>
      </c>
      <c r="F245" t="inlineStr">
        <is>
          <t>VÄSTRA GÖTALANDS LÄN</t>
        </is>
      </c>
      <c r="G245" t="inlineStr">
        <is>
          <t>MARIESTAD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46255</v>
      </c>
      <c r="F246" t="inlineStr">
        <is>
          <t>VÄSTRA GÖTALANDS LÄN</t>
        </is>
      </c>
      <c r="G246" t="inlineStr">
        <is>
          <t>MARIESTAD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49389-2023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45211</v>
      </c>
      <c r="E247" s="1" t="n">
        <v>46255</v>
      </c>
      <c r="F247" t="inlineStr">
        <is>
          <t>VÄSTRA GÖTALANDS LÄN</t>
        </is>
      </c>
      <c r="G247" t="inlineStr">
        <is>
          <t>MARIESTAD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21361-2026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46142</v>
      </c>
      <c r="E248" s="1" t="n">
        <v>46255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Kyrkan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46157</v>
      </c>
      <c r="E249" s="1" t="n">
        <v>46255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46157</v>
      </c>
      <c r="E250" s="1" t="n">
        <v>46255</v>
      </c>
      <c r="F250" t="inlineStr">
        <is>
          <t>VÄSTRA GÖTALANDS LÄN</t>
        </is>
      </c>
      <c r="G250" t="inlineStr">
        <is>
          <t>MARIESTAD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46255</v>
      </c>
      <c r="F251" t="inlineStr">
        <is>
          <t>VÄSTRA GÖTALANDS LÄN</t>
        </is>
      </c>
      <c r="G251" t="inlineStr">
        <is>
          <t>MARIESTAD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46255</v>
      </c>
      <c r="F252" t="inlineStr">
        <is>
          <t>VÄSTRA GÖTALANDS LÄN</t>
        </is>
      </c>
      <c r="G252" t="inlineStr">
        <is>
          <t>MARIESTAD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45528</v>
      </c>
      <c r="E253" s="1" t="n">
        <v>46255</v>
      </c>
      <c r="F253" t="inlineStr">
        <is>
          <t>VÄSTRA GÖTALANDS LÄN</t>
        </is>
      </c>
      <c r="G253" t="inlineStr">
        <is>
          <t>MARIESTAD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46255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46255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46255</v>
      </c>
      <c r="F256" t="inlineStr">
        <is>
          <t>VÄSTRA GÖTALANDS LÄN</t>
        </is>
      </c>
      <c r="G256" t="inlineStr">
        <is>
          <t>MARIESTAD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46255</v>
      </c>
      <c r="F257" t="inlineStr">
        <is>
          <t>VÄSTRA GÖTALANDS LÄN</t>
        </is>
      </c>
      <c r="G257" t="inlineStr">
        <is>
          <t>MARIESTAD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46255</v>
      </c>
      <c r="F258" t="inlineStr">
        <is>
          <t>VÄSTRA GÖTALANDS LÄN</t>
        </is>
      </c>
      <c r="G258" t="inlineStr">
        <is>
          <t>MARIESTAD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46255</v>
      </c>
      <c r="F259" t="inlineStr">
        <is>
          <t>VÄSTRA GÖTALANDS LÄN</t>
        </is>
      </c>
      <c r="G259" t="inlineStr">
        <is>
          <t>MARIESTAD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46255</v>
      </c>
      <c r="F260" t="inlineStr">
        <is>
          <t>VÄSTRA GÖTALANDS LÄN</t>
        </is>
      </c>
      <c r="G260" t="inlineStr">
        <is>
          <t>MARIESTAD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24731-2026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46255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46255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46255</v>
      </c>
      <c r="F263" t="inlineStr">
        <is>
          <t>VÄSTRA GÖTALANDS LÄN</t>
        </is>
      </c>
      <c r="G263" t="inlineStr">
        <is>
          <t>MARIESTAD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46171</v>
      </c>
      <c r="E264" s="1" t="n">
        <v>46255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46255</v>
      </c>
      <c r="F265" t="inlineStr">
        <is>
          <t>VÄSTRA GÖTALANDS LÄN</t>
        </is>
      </c>
      <c r="G265" t="inlineStr">
        <is>
          <t>MARIESTAD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46255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46255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46255</v>
      </c>
      <c r="F268" t="inlineStr">
        <is>
          <t>VÄSTRA GÖTALANDS LÄN</t>
        </is>
      </c>
      <c r="G268" t="inlineStr">
        <is>
          <t>MARIESTAD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46255</v>
      </c>
      <c r="F269" t="inlineStr">
        <is>
          <t>VÄSTRA GÖTALANDS LÄN</t>
        </is>
      </c>
      <c r="G269" t="inlineStr">
        <is>
          <t>MARIESTAD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46255</v>
      </c>
      <c r="F270" t="inlineStr">
        <is>
          <t>VÄSTRA GÖTALANDS LÄN</t>
        </is>
      </c>
      <c r="G270" t="inlineStr">
        <is>
          <t>MARIESTAD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46255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Naturvårdsverket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44617</v>
      </c>
      <c r="E272" s="1" t="n">
        <v>46255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44930</v>
      </c>
      <c r="E273" s="1" t="n">
        <v>46255</v>
      </c>
      <c r="F273" t="inlineStr">
        <is>
          <t>VÄSTRA GÖTALANDS LÄN</t>
        </is>
      </c>
      <c r="G273" t="inlineStr">
        <is>
          <t>MARIESTAD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46255</v>
      </c>
      <c r="F274" t="inlineStr">
        <is>
          <t>VÄSTRA GÖTALANDS LÄN</t>
        </is>
      </c>
      <c r="G274" t="inlineStr">
        <is>
          <t>MARIESTAD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46255</v>
      </c>
      <c r="F275" t="inlineStr">
        <is>
          <t>VÄSTRA GÖTALANDS LÄN</t>
        </is>
      </c>
      <c r="G275" t="inlineStr">
        <is>
          <t>MARIESTAD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45674</v>
      </c>
      <c r="E276" s="1" t="n">
        <v>46255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46255</v>
      </c>
      <c r="F277" t="inlineStr">
        <is>
          <t>VÄSTRA GÖTALANDS LÄN</t>
        </is>
      </c>
      <c r="G277" t="inlineStr">
        <is>
          <t>MARIESTAD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46255</v>
      </c>
      <c r="F278" t="inlineStr">
        <is>
          <t>VÄSTRA GÖTALANDS LÄN</t>
        </is>
      </c>
      <c r="G278" t="inlineStr">
        <is>
          <t>MARIESTAD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46255</v>
      </c>
      <c r="F279" t="inlineStr">
        <is>
          <t>VÄSTRA GÖTALANDS LÄN</t>
        </is>
      </c>
      <c r="G279" t="inlineStr">
        <is>
          <t>MARIESTAD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46255</v>
      </c>
      <c r="F280" t="inlineStr">
        <is>
          <t>VÄSTRA GÖTALANDS LÄN</t>
        </is>
      </c>
      <c r="G280" t="inlineStr">
        <is>
          <t>MARIESTAD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45558</v>
      </c>
      <c r="E281" s="1" t="n">
        <v>46255</v>
      </c>
      <c r="F281" t="inlineStr">
        <is>
          <t>VÄSTRA GÖTALANDS LÄN</t>
        </is>
      </c>
      <c r="G281" t="inlineStr">
        <is>
          <t>MARIESTAD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46255</v>
      </c>
      <c r="F282" t="inlineStr">
        <is>
          <t>VÄSTRA GÖTALANDS LÄN</t>
        </is>
      </c>
      <c r="G282" t="inlineStr">
        <is>
          <t>MARIESTAD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44622</v>
      </c>
      <c r="E283" s="1" t="n">
        <v>46255</v>
      </c>
      <c r="F283" t="inlineStr">
        <is>
          <t>VÄSTRA GÖTALANDS LÄN</t>
        </is>
      </c>
      <c r="G283" t="inlineStr">
        <is>
          <t>MARIESTAD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52626-2023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46255</v>
      </c>
      <c r="F284" t="inlineStr">
        <is>
          <t>VÄSTRA GÖTALANDS LÄN</t>
        </is>
      </c>
      <c r="G284" t="inlineStr">
        <is>
          <t>MARIESTAD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44616</v>
      </c>
      <c r="E285" s="1" t="n">
        <v>46255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45324</v>
      </c>
      <c r="E286" s="1" t="n">
        <v>46255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46185</v>
      </c>
      <c r="E287" s="1" t="n">
        <v>46255</v>
      </c>
      <c r="F287" t="inlineStr">
        <is>
          <t>VÄSTRA GÖTALANDS LÄN</t>
        </is>
      </c>
      <c r="G287" t="inlineStr">
        <is>
          <t>MARIESTAD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45530</v>
      </c>
      <c r="E288" s="1" t="n">
        <v>46255</v>
      </c>
      <c r="F288" t="inlineStr">
        <is>
          <t>VÄSTRA GÖTALANDS LÄN</t>
        </is>
      </c>
      <c r="G288" t="inlineStr">
        <is>
          <t>MARIESTAD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70295-2021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44536</v>
      </c>
      <c r="E289" s="1" t="n">
        <v>46255</v>
      </c>
      <c r="F289" t="inlineStr">
        <is>
          <t>VÄSTRA GÖTALANDS LÄN</t>
        </is>
      </c>
      <c r="G289" t="inlineStr">
        <is>
          <t>MARIESTAD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46255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46255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46255</v>
      </c>
      <c r="F292" t="inlineStr">
        <is>
          <t>VÄSTRA GÖTALANDS LÄN</t>
        </is>
      </c>
      <c r="G292" t="inlineStr">
        <is>
          <t>MARIESTAD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46255</v>
      </c>
      <c r="F293" t="inlineStr">
        <is>
          <t>VÄSTRA GÖTALANDS LÄN</t>
        </is>
      </c>
      <c r="G293" t="inlineStr">
        <is>
          <t>MARIESTAD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46255</v>
      </c>
      <c r="F294" t="inlineStr">
        <is>
          <t>VÄSTRA GÖTALANDS LÄN</t>
        </is>
      </c>
      <c r="G294" t="inlineStr">
        <is>
          <t>MARIESTAD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46255</v>
      </c>
      <c r="F295" t="inlineStr">
        <is>
          <t>VÄSTRA GÖTALANDS LÄN</t>
        </is>
      </c>
      <c r="G295" t="inlineStr">
        <is>
          <t>MARIESTAD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46255</v>
      </c>
      <c r="F296" t="inlineStr">
        <is>
          <t>VÄSTRA GÖTALANDS LÄN</t>
        </is>
      </c>
      <c r="G296" t="inlineStr">
        <is>
          <t>MARIESTAD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46255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46255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44843</v>
      </c>
      <c r="E299" s="1" t="n">
        <v>46255</v>
      </c>
      <c r="F299" t="inlineStr">
        <is>
          <t>VÄSTRA GÖTALANDS LÄN</t>
        </is>
      </c>
      <c r="G299" t="inlineStr">
        <is>
          <t>MARIESTAD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46255</v>
      </c>
      <c r="F300" t="inlineStr">
        <is>
          <t>VÄSTRA GÖTALANDS LÄN</t>
        </is>
      </c>
      <c r="G300" t="inlineStr">
        <is>
          <t>MARIESTAD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46255</v>
      </c>
      <c r="F301" t="inlineStr">
        <is>
          <t>VÄSTRA GÖTALANDS LÄN</t>
        </is>
      </c>
      <c r="G301" t="inlineStr">
        <is>
          <t>MARIESTAD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46255</v>
      </c>
      <c r="F302" t="inlineStr">
        <is>
          <t>VÄSTRA GÖTALANDS LÄN</t>
        </is>
      </c>
      <c r="G302" t="inlineStr">
        <is>
          <t>MARIESTAD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46255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56344-2022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46255</v>
      </c>
      <c r="F304" t="inlineStr">
        <is>
          <t>VÄSTRA GÖTALANDS LÄN</t>
        </is>
      </c>
      <c r="G304" t="inlineStr">
        <is>
          <t>MARIESTAD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45070</v>
      </c>
      <c r="E305" s="1" t="n">
        <v>46255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65197-2023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45289</v>
      </c>
      <c r="E306" s="1" t="n">
        <v>46255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46255</v>
      </c>
      <c r="F307" t="inlineStr">
        <is>
          <t>VÄSTRA GÖTALANDS LÄN</t>
        </is>
      </c>
      <c r="G307" t="inlineStr">
        <is>
          <t>MARIESTAD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46255</v>
      </c>
      <c r="F308" t="inlineStr">
        <is>
          <t>VÄSTRA GÖTALANDS LÄN</t>
        </is>
      </c>
      <c r="G308" t="inlineStr">
        <is>
          <t>MARIESTAD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46255</v>
      </c>
      <c r="F309" t="inlineStr">
        <is>
          <t>VÄSTRA GÖTALANDS LÄN</t>
        </is>
      </c>
      <c r="G309" t="inlineStr">
        <is>
          <t>MARIESTAD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29656-2026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46199</v>
      </c>
      <c r="E310" s="1" t="n">
        <v>46255</v>
      </c>
      <c r="F310" t="inlineStr">
        <is>
          <t>VÄSTRA GÖTALANDS LÄN</t>
        </is>
      </c>
      <c r="G310" t="inlineStr">
        <is>
          <t>MARIESTAD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44774</v>
      </c>
      <c r="E311" s="1" t="n">
        <v>46255</v>
      </c>
      <c r="F311" t="inlineStr">
        <is>
          <t>VÄSTRA GÖTALANDS LÄN</t>
        </is>
      </c>
      <c r="G311" t="inlineStr">
        <is>
          <t>MARIESTAD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44756</v>
      </c>
      <c r="E312" s="1" t="n">
        <v>46255</v>
      </c>
      <c r="F312" t="inlineStr">
        <is>
          <t>VÄSTRA GÖTALANDS LÄN</t>
        </is>
      </c>
      <c r="G312" t="inlineStr">
        <is>
          <t>MARIESTAD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46255</v>
      </c>
      <c r="F313" t="inlineStr">
        <is>
          <t>VÄSTRA GÖTALANDS LÄN</t>
        </is>
      </c>
      <c r="G313" t="inlineStr">
        <is>
          <t>MARIESTAD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46255</v>
      </c>
      <c r="F314" t="inlineStr">
        <is>
          <t>VÄSTRA GÖTALANDS LÄN</t>
        </is>
      </c>
      <c r="G314" t="inlineStr">
        <is>
          <t>MARIESTAD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46255</v>
      </c>
      <c r="F315" t="inlineStr">
        <is>
          <t>VÄSTRA GÖTALANDS LÄN</t>
        </is>
      </c>
      <c r="G315" t="inlineStr">
        <is>
          <t>MARIESTAD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46255</v>
      </c>
      <c r="F316" t="inlineStr">
        <is>
          <t>VÄSTRA GÖTALANDS LÄN</t>
        </is>
      </c>
      <c r="G316" t="inlineStr">
        <is>
          <t>MARIESTAD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46255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45343</v>
      </c>
      <c r="E318" s="1" t="n">
        <v>46255</v>
      </c>
      <c r="F318" t="inlineStr">
        <is>
          <t>VÄSTRA GÖTALANDS LÄN</t>
        </is>
      </c>
      <c r="G318" t="inlineStr">
        <is>
          <t>MARIESTAD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46255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46255</v>
      </c>
      <c r="F320" t="inlineStr">
        <is>
          <t>VÄSTRA GÖTALANDS LÄN</t>
        </is>
      </c>
      <c r="G320" t="inlineStr">
        <is>
          <t>MARIESTAD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46255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45271</v>
      </c>
      <c r="E322" s="1" t="n">
        <v>46255</v>
      </c>
      <c r="F322" t="inlineStr">
        <is>
          <t>VÄSTRA GÖTALANDS LÄN</t>
        </is>
      </c>
      <c r="G322" t="inlineStr">
        <is>
          <t>MARIESTAD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45524</v>
      </c>
      <c r="E323" s="1" t="n">
        <v>46255</v>
      </c>
      <c r="F323" t="inlineStr">
        <is>
          <t>VÄSTRA GÖTALANDS LÄN</t>
        </is>
      </c>
      <c r="G323" t="inlineStr">
        <is>
          <t>MARIESTAD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45384</v>
      </c>
      <c r="E324" s="1" t="n">
        <v>46255</v>
      </c>
      <c r="F324" t="inlineStr">
        <is>
          <t>VÄSTRA GÖTALANDS LÄN</t>
        </is>
      </c>
      <c r="G324" t="inlineStr">
        <is>
          <t>MARIESTAD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46255</v>
      </c>
      <c r="F325" t="inlineStr">
        <is>
          <t>VÄSTRA GÖTALANDS LÄN</t>
        </is>
      </c>
      <c r="G325" t="inlineStr">
        <is>
          <t>MARIESTAD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46255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46255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45684</v>
      </c>
      <c r="E328" s="1" t="n">
        <v>46255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Kyrkan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46655-2021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44445</v>
      </c>
      <c r="E329" s="1" t="n">
        <v>46255</v>
      </c>
      <c r="F329" t="inlineStr">
        <is>
          <t>VÄSTRA GÖTALANDS LÄN</t>
        </is>
      </c>
      <c r="G329" t="inlineStr">
        <is>
          <t>MARIESTAD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46255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46255</v>
      </c>
      <c r="F331" t="inlineStr">
        <is>
          <t>VÄSTRA GÖTALANDS LÄN</t>
        </is>
      </c>
      <c r="G331" t="inlineStr">
        <is>
          <t>MARIESTAD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46255</v>
      </c>
      <c r="F332" t="inlineStr">
        <is>
          <t>VÄSTRA GÖTALANDS LÄN</t>
        </is>
      </c>
      <c r="G332" t="inlineStr">
        <is>
          <t>MARIESTAD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46255</v>
      </c>
      <c r="F333" t="inlineStr">
        <is>
          <t>VÄSTRA GÖTALANDS LÄN</t>
        </is>
      </c>
      <c r="G333" t="inlineStr">
        <is>
          <t>MARIESTAD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45307</v>
      </c>
      <c r="E334" s="1" t="n">
        <v>46255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48324-2024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46255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46255</v>
      </c>
      <c r="F336" t="inlineStr">
        <is>
          <t>VÄSTRA GÖTALANDS LÄN</t>
        </is>
      </c>
      <c r="G336" t="inlineStr">
        <is>
          <t>MARIESTAD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49385-2023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45211</v>
      </c>
      <c r="E337" s="1" t="n">
        <v>46255</v>
      </c>
      <c r="F337" t="inlineStr">
        <is>
          <t>VÄSTRA GÖTALANDS LÄN</t>
        </is>
      </c>
      <c r="G337" t="inlineStr">
        <is>
          <t>MARIESTAD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66772-2021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44521</v>
      </c>
      <c r="E338" s="1" t="n">
        <v>46255</v>
      </c>
      <c r="F338" t="inlineStr">
        <is>
          <t>VÄSTRA GÖTALANDS LÄN</t>
        </is>
      </c>
      <c r="G338" t="inlineStr">
        <is>
          <t>MARIESTAD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46255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46255</v>
      </c>
      <c r="F340" t="inlineStr">
        <is>
          <t>VÄSTRA GÖTALANDS LÄN</t>
        </is>
      </c>
      <c r="G340" t="inlineStr">
        <is>
          <t>MARIESTAD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45331</v>
      </c>
      <c r="E341" s="1" t="n">
        <v>46255</v>
      </c>
      <c r="F341" t="inlineStr">
        <is>
          <t>VÄSTRA GÖTALANDS LÄN</t>
        </is>
      </c>
      <c r="G341" t="inlineStr">
        <is>
          <t>MARIESTAD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46255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45616</v>
      </c>
      <c r="E343" s="1" t="n">
        <v>46255</v>
      </c>
      <c r="F343" t="inlineStr">
        <is>
          <t>VÄSTRA GÖTALANDS LÄN</t>
        </is>
      </c>
      <c r="G343" t="inlineStr">
        <is>
          <t>MARIESTAD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45709</v>
      </c>
      <c r="E344" s="1" t="n">
        <v>46255</v>
      </c>
      <c r="F344" t="inlineStr">
        <is>
          <t>VÄSTRA GÖTALANDS LÄN</t>
        </is>
      </c>
      <c r="G344" t="inlineStr">
        <is>
          <t>MARIESTAD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46255</v>
      </c>
      <c r="F345" t="inlineStr">
        <is>
          <t>VÄSTRA GÖTALANDS LÄN</t>
        </is>
      </c>
      <c r="G345" t="inlineStr">
        <is>
          <t>MARIESTAD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46255</v>
      </c>
      <c r="F346" t="inlineStr">
        <is>
          <t>VÄSTRA GÖTALANDS LÄN</t>
        </is>
      </c>
      <c r="G346" t="inlineStr">
        <is>
          <t>MARIESTAD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52869-2024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45610</v>
      </c>
      <c r="E347" s="1" t="n">
        <v>46255</v>
      </c>
      <c r="F347" t="inlineStr">
        <is>
          <t>VÄSTRA GÖTALANDS LÄN</t>
        </is>
      </c>
      <c r="G347" t="inlineStr">
        <is>
          <t>MARIESTAD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46255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46255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45798</v>
      </c>
      <c r="E350" s="1" t="n">
        <v>46255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46255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46255</v>
      </c>
      <c r="F352" t="inlineStr">
        <is>
          <t>VÄSTRA GÖTALANDS LÄN</t>
        </is>
      </c>
      <c r="G352" t="inlineStr">
        <is>
          <t>MARIESTAD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46255</v>
      </c>
      <c r="F353" t="inlineStr">
        <is>
          <t>VÄSTRA GÖTALANDS LÄN</t>
        </is>
      </c>
      <c r="G353" t="inlineStr">
        <is>
          <t>MARIESTAD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46255</v>
      </c>
      <c r="F354" t="inlineStr">
        <is>
          <t>VÄSTRA GÖTALANDS LÄN</t>
        </is>
      </c>
      <c r="G354" t="inlineStr">
        <is>
          <t>MARIESTAD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46255</v>
      </c>
      <c r="F355" t="inlineStr">
        <is>
          <t>VÄSTRA GÖTALANDS LÄN</t>
        </is>
      </c>
      <c r="G355" t="inlineStr">
        <is>
          <t>MARIESTAD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46255</v>
      </c>
      <c r="F356" t="inlineStr">
        <is>
          <t>VÄSTRA GÖTALANDS LÄN</t>
        </is>
      </c>
      <c r="G356" t="inlineStr">
        <is>
          <t>MARIESTAD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4868-2024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45618</v>
      </c>
      <c r="E357" s="1" t="n">
        <v>46255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1204-2025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45757</v>
      </c>
      <c r="E358" s="1" t="n">
        <v>46255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359-2026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46064</v>
      </c>
      <c r="E359" s="1" t="n">
        <v>46255</v>
      </c>
      <c r="F359" t="inlineStr">
        <is>
          <t>VÄSTRA GÖTALANDS LÄN</t>
        </is>
      </c>
      <c r="G359" t="inlineStr">
        <is>
          <t>MARIESTAD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2026-08-21T01:49:14Z</dcterms:created>
  <dcterms:modified xmlns:dcterms="http://purl.org/dc/terms/" xmlns:xsi="http://www.w3.org/2001/XMLSchema-instance" xsi:type="dcterms:W3CDTF">2026-08-21T01:49:14Z</dcterms:modified>
</cp:coreProperties>
</file>