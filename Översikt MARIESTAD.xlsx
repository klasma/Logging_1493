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46236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46236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46236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46236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46236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46236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46236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46236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46236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11073-2022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44628</v>
      </c>
      <c r="E14" s="1" t="n">
        <v>46236</v>
      </c>
      <c r="F14" t="inlineStr">
        <is>
          <t>VÄSTRA GÖTALANDS LÄN</t>
        </is>
      </c>
      <c r="G14" t="inlineStr">
        <is>
          <t>MARIESTAD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Skogsduva</t>
        </is>
      </c>
      <c r="W14">
        <f>HYPERLINK("https://klasma.github.io/Logging_1493/artfynd/A 11073-2022 artfynd.xlsx", "A 11073-2022")</f>
        <v/>
      </c>
      <c r="X14">
        <f>HYPERLINK("https://klasma.github.io/Logging_1493/kartor/A 11073-2022 karta.png", "A 11073-2022")</f>
        <v/>
      </c>
      <c r="Y14">
        <f>HYPERLINK("https://klasma.github.io/Logging_1493/kartor_geotiff/A 11073-2022 georefererad karta.tif", "A 11073-2022")</f>
        <v/>
      </c>
      <c r="AA14">
        <f>HYPERLINK("https://klasma.github.io/Logging_1493/klagomål/A 11073-2022 FSC-klagomål.docx", "A 11073-2022")</f>
        <v/>
      </c>
      <c r="AB14">
        <f>HYPERLINK("https://klasma.github.io/Logging_1493/klagomålsmail/A 11073-2022 FSC-klagomål mail.docx", "A 11073-2022")</f>
        <v/>
      </c>
      <c r="AC14">
        <f>HYPERLINK("https://klasma.github.io/Logging_1493/tillsyn/A 11073-2022 tillsynsbegäran.docx", "A 11073-2022")</f>
        <v/>
      </c>
      <c r="AD14">
        <f>HYPERLINK("https://klasma.github.io/Logging_1493/tillsynsmail/A 11073-2022 tillsynsbegäran mail.docx", "A 11073-2022")</f>
        <v/>
      </c>
      <c r="AE14">
        <f>HYPERLINK("https://klasma.github.io/Logging_1493/fåglar/A 11073-2022 prioriterade fågelarter.docx", "A 11073-2022")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46236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46236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46236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Ask
Tallticka</t>
        </is>
      </c>
      <c r="W17">
        <f>HYPERLINK("https://klasma.github.io/Logging_1493/artfynd/A 63287-2025 artfynd.xlsx", "A 63287-2025")</f>
        <v/>
      </c>
      <c r="X17">
        <f>HYPERLINK("https://klasma.github.io/Logging_1493/kartor/A 63287-2025 karta.png", "A 63287-2025")</f>
        <v/>
      </c>
      <c r="Y17">
        <f>HYPERLINK("https://klasma.github.io/Logging_1493/kartor_geotiff/A 63287-2025 georefererad karta.tif", "A 63287-2025")</f>
        <v/>
      </c>
      <c r="AA17">
        <f>HYPERLINK("https://klasma.github.io/Logging_1493/klagomål/A 63287-2025 FSC-klagomål.docx", "A 63287-2025")</f>
        <v/>
      </c>
      <c r="AB17">
        <f>HYPERLINK("https://klasma.github.io/Logging_1493/klagomålsmail/A 63287-2025 FSC-klagomål mail.docx", "A 63287-2025")</f>
        <v/>
      </c>
      <c r="AC17">
        <f>HYPERLINK("https://klasma.github.io/Logging_1493/tillsyn/A 63287-2025 tillsynsbegäran.docx", "A 63287-2025")</f>
        <v/>
      </c>
      <c r="AD17">
        <f>HYPERLINK("https://klasma.github.io/Logging_1493/tillsynsmail/A 63287-2025 tillsynsbegäran mail.docx", "A 63287-2025")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46236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46236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46236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46236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51265-2021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44461</v>
      </c>
      <c r="E22" s="1" t="n">
        <v>46236</v>
      </c>
      <c r="F22" t="inlineStr">
        <is>
          <t>VÄSTRA GÖTALANDS LÄN</t>
        </is>
      </c>
      <c r="G22" t="inlineStr">
        <is>
          <t>MARIESTAD</t>
        </is>
      </c>
      <c r="I22" t="n">
        <v>30.9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HYPERLINK("https://klasma.github.io/Logging_1493/artfynd/A 51265-2021 artfynd.xlsx", "A 51265-2021")</f>
        <v/>
      </c>
      <c r="X22">
        <f>HYPERLINK("https://klasma.github.io/Logging_1493/kartor/A 51265-2021 karta.png", "A 51265-2021")</f>
        <v/>
      </c>
      <c r="Y22">
        <f>HYPERLINK("https://klasma.github.io/Logging_1493/kartor_geotiff/A 51265-2021 georefererad karta.tif", "A 51265-2021")</f>
        <v/>
      </c>
      <c r="AA22">
        <f>HYPERLINK("https://klasma.github.io/Logging_1493/klagomål/A 51265-2021 FSC-klagomål.docx", "A 51265-2021")</f>
        <v/>
      </c>
      <c r="AB22">
        <f>HYPERLINK("https://klasma.github.io/Logging_1493/klagomålsmail/A 51265-2021 FSC-klagomål mail.docx", "A 51265-2021")</f>
        <v/>
      </c>
      <c r="AC22">
        <f>HYPERLINK("https://klasma.github.io/Logging_1493/tillsyn/A 51265-2021 tillsynsbegäran.docx", "A 51265-2021")</f>
        <v/>
      </c>
      <c r="AD22">
        <f>HYPERLINK("https://klasma.github.io/Logging_1493/tillsynsmail/A 51265-2021 tillsynsbegäran mail.docx", "A 51265-2021")</f>
        <v/>
      </c>
      <c r="AE22">
        <f>HYPERLINK("https://klasma.github.io/Logging_1493/fåglar/A 51265-2021 prioriterade fågelarter.docx", "A 51265-2021")</f>
        <v/>
      </c>
    </row>
    <row r="23" ht="15" customHeight="1">
      <c r="A23" t="inlineStr">
        <is>
          <t>A 7612-2023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46236</v>
      </c>
      <c r="F23" t="inlineStr">
        <is>
          <t>VÄSTRA GÖTALANDS LÄN</t>
        </is>
      </c>
      <c r="G23" t="inlineStr">
        <is>
          <t>MARIESTAD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7612-2023 artfynd.xlsx", "A 7612-2023")</f>
        <v/>
      </c>
      <c r="X23">
        <f>HYPERLINK("https://klasma.github.io/Logging_1493/kartor/A 7612-2023 karta.png", "A 7612-2023")</f>
        <v/>
      </c>
      <c r="Y23">
        <f>HYPERLINK("https://klasma.github.io/Logging_1493/kartor_geotiff/A 7612-2023 georefererad karta.tif", "A 7612-2023")</f>
        <v/>
      </c>
      <c r="AA23">
        <f>HYPERLINK("https://klasma.github.io/Logging_1493/klagomål/A 7612-2023 FSC-klagomål.docx", "A 7612-2023")</f>
        <v/>
      </c>
      <c r="AB23">
        <f>HYPERLINK("https://klasma.github.io/Logging_1493/klagomålsmail/A 7612-2023 FSC-klagomål mail.docx", "A 7612-2023")</f>
        <v/>
      </c>
      <c r="AC23">
        <f>HYPERLINK("https://klasma.github.io/Logging_1493/tillsyn/A 7612-2023 tillsynsbegäran.docx", "A 7612-2023")</f>
        <v/>
      </c>
      <c r="AD23">
        <f>HYPERLINK("https://klasma.github.io/Logging_1493/tillsynsmail/A 7612-2023 tillsynsbegäran mail.docx", "A 7612-2023")</f>
        <v/>
      </c>
    </row>
    <row r="24" ht="15" customHeight="1">
      <c r="A24" t="inlineStr">
        <is>
          <t>A 46835-2021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44446</v>
      </c>
      <c r="E24" s="1" t="n">
        <v>46236</v>
      </c>
      <c r="F24" t="inlineStr">
        <is>
          <t>VÄSTRA GÖTALANDS LÄN</t>
        </is>
      </c>
      <c r="G24" t="inlineStr">
        <is>
          <t>MARIESTAD</t>
        </is>
      </c>
      <c r="I24" t="n">
        <v>3.3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HYPERLINK("https://klasma.github.io/Logging_1493/artfynd/A 46835-2021 artfynd.xlsx", "A 46835-2021")</f>
        <v/>
      </c>
      <c r="X24">
        <f>HYPERLINK("https://klasma.github.io/Logging_1493/kartor/A 46835-2021 karta.png", "A 46835-2021")</f>
        <v/>
      </c>
      <c r="Y24">
        <f>HYPERLINK("https://klasma.github.io/Logging_1493/kartor_geotiff/A 46835-2021 georefererad karta.tif", "A 46835-2021")</f>
        <v/>
      </c>
      <c r="AA24">
        <f>HYPERLINK("https://klasma.github.io/Logging_1493/klagomål/A 46835-2021 FSC-klagomål.docx", "A 46835-2021")</f>
        <v/>
      </c>
      <c r="AB24">
        <f>HYPERLINK("https://klasma.github.io/Logging_1493/klagomålsmail/A 46835-2021 FSC-klagomål mail.docx", "A 46835-2021")</f>
        <v/>
      </c>
      <c r="AC24">
        <f>HYPERLINK("https://klasma.github.io/Logging_1493/tillsyn/A 46835-2021 tillsynsbegäran.docx", "A 46835-2021")</f>
        <v/>
      </c>
      <c r="AD24">
        <f>HYPERLINK("https://klasma.github.io/Logging_1493/tillsynsmail/A 46835-2021 tillsynsbegäran mail.docx", "A 46835-2021")</f>
        <v/>
      </c>
    </row>
    <row r="25" ht="15" customHeight="1">
      <c r="A25" t="inlineStr">
        <is>
          <t>A 30652-2023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46236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1</v>
      </c>
      <c r="V25" s="2" t="inlineStr">
        <is>
          <t>Nattviol</t>
        </is>
      </c>
      <c r="W25">
        <f>HYPERLINK("https://klasma.github.io/Logging_1493/artfynd/A 30652-2023 artfynd.xlsx", "A 30652-2023")</f>
        <v/>
      </c>
      <c r="X25">
        <f>HYPERLINK("https://klasma.github.io/Logging_1493/kartor/A 30652-2023 karta.png", "A 30652-2023")</f>
        <v/>
      </c>
      <c r="Y25">
        <f>HYPERLINK("https://klasma.github.io/Logging_1493/kartor_geotiff/A 30652-2023 georefererad karta.tif", "A 30652-2023")</f>
        <v/>
      </c>
      <c r="AA25">
        <f>HYPERLINK("https://klasma.github.io/Logging_1493/klagomål/A 30652-2023 FSC-klagomål.docx", "A 30652-2023")</f>
        <v/>
      </c>
      <c r="AB25">
        <f>HYPERLINK("https://klasma.github.io/Logging_1493/klagomålsmail/A 30652-2023 FSC-klagomål mail.docx", "A 30652-2023")</f>
        <v/>
      </c>
      <c r="AC25">
        <f>HYPERLINK("https://klasma.github.io/Logging_1493/tillsyn/A 30652-2023 tillsynsbegäran.docx", "A 30652-2023")</f>
        <v/>
      </c>
      <c r="AD25">
        <f>HYPERLINK("https://klasma.github.io/Logging_1493/tillsynsmail/A 30652-2023 tillsynsbegäran mail.docx", "A 30652-2023")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46236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15052-2023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46236</v>
      </c>
      <c r="F27" t="inlineStr">
        <is>
          <t>VÄSTRA GÖTALANDS LÄN</t>
        </is>
      </c>
      <c r="G27" t="inlineStr">
        <is>
          <t>MARIESTAD</t>
        </is>
      </c>
      <c r="I27" t="n">
        <v>15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Bivråk</t>
        </is>
      </c>
      <c r="W27">
        <f>HYPERLINK("https://klasma.github.io/Logging_1493/artfynd/A 15052-2023 artfynd.xlsx", "A 15052-2023")</f>
        <v/>
      </c>
      <c r="X27">
        <f>HYPERLINK("https://klasma.github.io/Logging_1493/kartor/A 15052-2023 karta.png", "A 15052-2023")</f>
        <v/>
      </c>
      <c r="Y27">
        <f>HYPERLINK("https://klasma.github.io/Logging_1493/kartor_geotiff/A 15052-2023 georefererad karta.tif", "A 15052-2023")</f>
        <v/>
      </c>
      <c r="AA27">
        <f>HYPERLINK("https://klasma.github.io/Logging_1493/klagomål/A 15052-2023 FSC-klagomål.docx", "A 15052-2023")</f>
        <v/>
      </c>
      <c r="AB27">
        <f>HYPERLINK("https://klasma.github.io/Logging_1493/klagomålsmail/A 15052-2023 FSC-klagomål mail.docx", "A 15052-2023")</f>
        <v/>
      </c>
      <c r="AC27">
        <f>HYPERLINK("https://klasma.github.io/Logging_1493/tillsyn/A 15052-2023 tillsynsbegäran.docx", "A 15052-2023")</f>
        <v/>
      </c>
      <c r="AD27">
        <f>HYPERLINK("https://klasma.github.io/Logging_1493/tillsynsmail/A 15052-2023 tillsynsbegäran mail.docx", "A 15052-2023")</f>
        <v/>
      </c>
      <c r="AE27">
        <f>HYPERLINK("https://klasma.github.io/Logging_1493/fåglar/A 15052-2023 prioriterade fågelarter.docx", "A 15052-2023")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46236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20438-2024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45435</v>
      </c>
      <c r="E29" s="1" t="n">
        <v>46236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Kommuner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Griffelblomfluga</t>
        </is>
      </c>
      <c r="W29">
        <f>HYPERLINK("https://klasma.github.io/Logging_1493/artfynd/A 20438-2024 artfynd.xlsx", "A 20438-2024")</f>
        <v/>
      </c>
      <c r="X29">
        <f>HYPERLINK("https://klasma.github.io/Logging_1493/kartor/A 20438-2024 karta.png", "A 20438-2024")</f>
        <v/>
      </c>
      <c r="Y29">
        <f>HYPERLINK("https://klasma.github.io/Logging_1493/kartor_geotiff/A 20438-2024 georefererad karta.tif", "A 20438-2024")</f>
        <v/>
      </c>
      <c r="AA29">
        <f>HYPERLINK("https://klasma.github.io/Logging_1493/klagomål/A 20438-2024 FSC-klagomål.docx", "A 20438-2024")</f>
        <v/>
      </c>
      <c r="AB29">
        <f>HYPERLINK("https://klasma.github.io/Logging_1493/klagomålsmail/A 20438-2024 FSC-klagomål mail.docx", "A 20438-2024")</f>
        <v/>
      </c>
      <c r="AC29">
        <f>HYPERLINK("https://klasma.github.io/Logging_1493/tillsyn/A 20438-2024 tillsynsbegäran.docx", "A 20438-2024")</f>
        <v/>
      </c>
      <c r="AD29">
        <f>HYPERLINK("https://klasma.github.io/Logging_1493/tillsynsmail/A 20438-2024 tillsynsbegäran mail.docx", "A 20438-2024")</f>
        <v/>
      </c>
    </row>
    <row r="30" ht="15" customHeight="1">
      <c r="A30" t="inlineStr">
        <is>
          <t>A 27444-2023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45097</v>
      </c>
      <c r="E30" s="1" t="n">
        <v>46236</v>
      </c>
      <c r="F30" t="inlineStr">
        <is>
          <t>VÄSTRA GÖTALANDS LÄN</t>
        </is>
      </c>
      <c r="G30" t="inlineStr">
        <is>
          <t>MARIESTAD</t>
        </is>
      </c>
      <c r="I30" t="n">
        <v>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HYPERLINK("https://klasma.github.io/Logging_1493/artfynd/A 27444-2023 artfynd.xlsx", "A 27444-2023")</f>
        <v/>
      </c>
      <c r="X30">
        <f>HYPERLINK("https://klasma.github.io/Logging_1493/kartor/A 27444-2023 karta.png", "A 27444-2023")</f>
        <v/>
      </c>
      <c r="Y30">
        <f>HYPERLINK("https://klasma.github.io/Logging_1493/kartor_geotiff/A 27444-2023 georefererad karta.tif", "A 27444-2023")</f>
        <v/>
      </c>
      <c r="AA30">
        <f>HYPERLINK("https://klasma.github.io/Logging_1493/klagomål/A 27444-2023 FSC-klagomål.docx", "A 27444-2023")</f>
        <v/>
      </c>
      <c r="AB30">
        <f>HYPERLINK("https://klasma.github.io/Logging_1493/klagomålsmail/A 27444-2023 FSC-klagomål mail.docx", "A 27444-2023")</f>
        <v/>
      </c>
      <c r="AC30">
        <f>HYPERLINK("https://klasma.github.io/Logging_1493/tillsyn/A 27444-2023 tillsynsbegäran.docx", "A 27444-2023")</f>
        <v/>
      </c>
      <c r="AD30">
        <f>HYPERLINK("https://klasma.github.io/Logging_1493/tillsynsmail/A 27444-2023 tillsynsbegäran mail.docx", "A 27444-2023")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46236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59316-2025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45989</v>
      </c>
      <c r="E32" s="1" t="n">
        <v>46236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HYPERLINK("https://klasma.github.io/Logging_1493/artfynd/A 59316-2025 artfynd.xlsx", "A 59316-2025")</f>
        <v/>
      </c>
      <c r="X32">
        <f>HYPERLINK("https://klasma.github.io/Logging_1493/kartor/A 59316-2025 karta.png", "A 59316-2025")</f>
        <v/>
      </c>
      <c r="Y32">
        <f>HYPERLINK("https://klasma.github.io/Logging_1493/kartor_geotiff/A 59316-2025 georefererad karta.tif", "A 59316-2025")</f>
        <v/>
      </c>
      <c r="AA32">
        <f>HYPERLINK("https://klasma.github.io/Logging_1493/klagomål/A 59316-2025 FSC-klagomål.docx", "A 59316-2025")</f>
        <v/>
      </c>
      <c r="AB32">
        <f>HYPERLINK("https://klasma.github.io/Logging_1493/klagomålsmail/A 59316-2025 FSC-klagomål mail.docx", "A 59316-2025")</f>
        <v/>
      </c>
      <c r="AC32">
        <f>HYPERLINK("https://klasma.github.io/Logging_1493/tillsyn/A 59316-2025 tillsynsbegäran.docx", "A 59316-2025")</f>
        <v/>
      </c>
      <c r="AD32">
        <f>HYPERLINK("https://klasma.github.io/Logging_1493/tillsynsmail/A 59316-2025 tillsynsbegäran mail.docx", "A 59316-2025")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46236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49233-2023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45210</v>
      </c>
      <c r="E34" s="1" t="n">
        <v>46236</v>
      </c>
      <c r="F34" t="inlineStr">
        <is>
          <t>VÄSTRA GÖTALANDS LÄN</t>
        </is>
      </c>
      <c r="G34" t="inlineStr">
        <is>
          <t>MARIESTAD</t>
        </is>
      </c>
      <c r="I34" t="n">
        <v>6.1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Lönnlav</t>
        </is>
      </c>
      <c r="W34">
        <f>HYPERLINK("https://klasma.github.io/Logging_1493/artfynd/A 49233-2023 artfynd.xlsx", "A 49233-2023")</f>
        <v/>
      </c>
      <c r="X34">
        <f>HYPERLINK("https://klasma.github.io/Logging_1493/kartor/A 49233-2023 karta.png", "A 49233-2023")</f>
        <v/>
      </c>
      <c r="Y34">
        <f>HYPERLINK("https://klasma.github.io/Logging_1493/kartor_geotiff/A 49233-2023 georefererad karta.tif", "A 49233-2023")</f>
        <v/>
      </c>
      <c r="AA34">
        <f>HYPERLINK("https://klasma.github.io/Logging_1493/klagomål/A 49233-2023 FSC-klagomål.docx", "A 49233-2023")</f>
        <v/>
      </c>
      <c r="AB34">
        <f>HYPERLINK("https://klasma.github.io/Logging_1493/klagomålsmail/A 49233-2023 FSC-klagomål mail.docx", "A 49233-2023")</f>
        <v/>
      </c>
      <c r="AC34">
        <f>HYPERLINK("https://klasma.github.io/Logging_1493/tillsyn/A 49233-2023 tillsynsbegäran.docx", "A 49233-2023")</f>
        <v/>
      </c>
      <c r="AD34">
        <f>HYPERLINK("https://klasma.github.io/Logging_1493/tillsynsmail/A 49233-2023 tillsynsbegäran mail.docx", "A 49233-2023")</f>
        <v/>
      </c>
    </row>
    <row r="35" ht="15" customHeight="1">
      <c r="A35" t="inlineStr">
        <is>
          <t>A 12379-2026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46236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HYPERLINK("https://klasma.github.io/Logging_1493/artfynd/A 12379-2026 artfynd.xlsx", "A 12379-2026")</f>
        <v/>
      </c>
      <c r="X35">
        <f>HYPERLINK("https://klasma.github.io/Logging_1493/kartor/A 12379-2026 karta.png", "A 12379-2026")</f>
        <v/>
      </c>
      <c r="Y35">
        <f>HYPERLINK("https://klasma.github.io/Logging_1493/kartor_geotiff/A 12379-2026 georefererad karta.tif", "A 12379-2026")</f>
        <v/>
      </c>
      <c r="AA35">
        <f>HYPERLINK("https://klasma.github.io/Logging_1493/klagomål/A 12379-2026 FSC-klagomål.docx", "A 12379-2026")</f>
        <v/>
      </c>
      <c r="AB35">
        <f>HYPERLINK("https://klasma.github.io/Logging_1493/klagomålsmail/A 12379-2026 FSC-klagomål mail.docx", "A 12379-2026")</f>
        <v/>
      </c>
      <c r="AC35">
        <f>HYPERLINK("https://klasma.github.io/Logging_1493/tillsyn/A 12379-2026 tillsynsbegäran.docx", "A 12379-2026")</f>
        <v/>
      </c>
      <c r="AD35">
        <f>HYPERLINK("https://klasma.github.io/Logging_1493/tillsynsmail/A 12379-2026 tillsynsbegäran mail.docx", "A 12379-2026")</f>
        <v/>
      </c>
    </row>
    <row r="36" ht="15" customHeight="1">
      <c r="A36" t="inlineStr">
        <is>
          <t>A 38580-2023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46236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38580-2023 artfynd.xlsx", "A 38580-2023")</f>
        <v/>
      </c>
      <c r="X36">
        <f>HYPERLINK("https://klasma.github.io/Logging_1493/kartor/A 38580-2023 karta.png", "A 38580-2023")</f>
        <v/>
      </c>
      <c r="Y36">
        <f>HYPERLINK("https://klasma.github.io/Logging_1493/kartor_geotiff/A 38580-2023 georefererad karta.tif", "A 38580-2023")</f>
        <v/>
      </c>
      <c r="AA36">
        <f>HYPERLINK("https://klasma.github.io/Logging_1493/klagomål/A 38580-2023 FSC-klagomål.docx", "A 38580-2023")</f>
        <v/>
      </c>
      <c r="AB36">
        <f>HYPERLINK("https://klasma.github.io/Logging_1493/klagomålsmail/A 38580-2023 FSC-klagomål mail.docx", "A 38580-2023")</f>
        <v/>
      </c>
      <c r="AC36">
        <f>HYPERLINK("https://klasma.github.io/Logging_1493/tillsyn/A 38580-2023 tillsynsbegäran.docx", "A 38580-2023")</f>
        <v/>
      </c>
      <c r="AD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46236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HYPERLINK("https://klasma.github.io/Logging_1493/artfynd/A 18176-2025 artfynd.xlsx", "A 18176-2025")</f>
        <v/>
      </c>
      <c r="X37">
        <f>HYPERLINK("https://klasma.github.io/Logging_1493/kartor/A 18176-2025 karta.png", "A 18176-2025")</f>
        <v/>
      </c>
      <c r="Y37">
        <f>HYPERLINK("https://klasma.github.io/Logging_1493/kartor_geotiff/A 18176-2025 georefererad karta.tif", "A 18176-2025")</f>
        <v/>
      </c>
      <c r="AA37">
        <f>HYPERLINK("https://klasma.github.io/Logging_1493/klagomål/A 18176-2025 FSC-klagomål.docx", "A 18176-2025")</f>
        <v/>
      </c>
      <c r="AB37">
        <f>HYPERLINK("https://klasma.github.io/Logging_1493/klagomålsmail/A 18176-2025 FSC-klagomål mail.docx", "A 18176-2025")</f>
        <v/>
      </c>
      <c r="AC37">
        <f>HYPERLINK("https://klasma.github.io/Logging_1493/tillsyn/A 18176-2025 tillsynsbegäran.docx", "A 18176-2025")</f>
        <v/>
      </c>
      <c r="AD37">
        <f>HYPERLINK("https://klasma.github.io/Logging_1493/tillsynsmail/A 18176-2025 tillsynsbegäran mail.docx", "A 18176-2025")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46236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46236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46236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46236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46236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46236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46236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46236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46236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46236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46236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46236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46236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46236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46236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46236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46236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46236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46236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46236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46236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46236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46236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46236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46236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46236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46236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46236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46236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46236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46236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46236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46236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46236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46236</v>
      </c>
      <c r="F72" t="inlineStr">
        <is>
          <t>VÄSTRA GÖTALANDS LÄN</t>
        </is>
      </c>
      <c r="G72" t="inlineStr">
        <is>
          <t>MARIESTAD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45516</v>
      </c>
      <c r="E73" s="1" t="n">
        <v>46236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49896-2021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46236</v>
      </c>
      <c r="F74" t="inlineStr">
        <is>
          <t>VÄSTRA GÖTALANDS LÄN</t>
        </is>
      </c>
      <c r="G74" t="inlineStr">
        <is>
          <t>MARIESTAD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46236</v>
      </c>
      <c r="F75" t="inlineStr">
        <is>
          <t>VÄSTRA GÖTALANDS LÄN</t>
        </is>
      </c>
      <c r="G75" t="inlineStr">
        <is>
          <t>MARIESTAD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61601-2023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45265</v>
      </c>
      <c r="E76" s="1" t="n">
        <v>46236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46236</v>
      </c>
      <c r="F77" t="inlineStr">
        <is>
          <t>VÄSTRA GÖTALANDS LÄN</t>
        </is>
      </c>
      <c r="G77" t="inlineStr">
        <is>
          <t>MARIESTAD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68081-2021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44526</v>
      </c>
      <c r="E78" s="1" t="n">
        <v>46236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46236</v>
      </c>
      <c r="F79" t="inlineStr">
        <is>
          <t>VÄSTRA GÖTALANDS LÄN</t>
        </is>
      </c>
      <c r="G79" t="inlineStr">
        <is>
          <t>MARIESTAD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46236</v>
      </c>
      <c r="F80" t="inlineStr">
        <is>
          <t>VÄSTRA GÖTALANDS LÄN</t>
        </is>
      </c>
      <c r="G80" t="inlineStr">
        <is>
          <t>MARIESTAD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58598-2021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46236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44592</v>
      </c>
      <c r="E82" s="1" t="n">
        <v>46236</v>
      </c>
      <c r="F82" t="inlineStr">
        <is>
          <t>VÄSTRA GÖTALANDS LÄN</t>
        </is>
      </c>
      <c r="G82" t="inlineStr">
        <is>
          <t>MARIESTAD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45520-2021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46236</v>
      </c>
      <c r="F83" t="inlineStr">
        <is>
          <t>VÄSTRA GÖTALANDS LÄN</t>
        </is>
      </c>
      <c r="G83" t="inlineStr">
        <is>
          <t>MARIESTAD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66771-2021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44521</v>
      </c>
      <c r="E84" s="1" t="n">
        <v>46236</v>
      </c>
      <c r="F84" t="inlineStr">
        <is>
          <t>VÄSTRA GÖTALANDS LÄN</t>
        </is>
      </c>
      <c r="G84" t="inlineStr">
        <is>
          <t>MARIESTAD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45268</v>
      </c>
      <c r="E85" s="1" t="n">
        <v>46236</v>
      </c>
      <c r="F85" t="inlineStr">
        <is>
          <t>VÄSTRA GÖTALANDS LÄN</t>
        </is>
      </c>
      <c r="G85" t="inlineStr">
        <is>
          <t>MARIESTAD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68922-2021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46236</v>
      </c>
      <c r="F86" t="inlineStr">
        <is>
          <t>VÄSTRA GÖTALANDS LÄN</t>
        </is>
      </c>
      <c r="G86" t="inlineStr">
        <is>
          <t>MARIESTAD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44973</v>
      </c>
      <c r="E87" s="1" t="n">
        <v>46236</v>
      </c>
      <c r="F87" t="inlineStr">
        <is>
          <t>VÄSTRA GÖTALANDS LÄN</t>
        </is>
      </c>
      <c r="G87" t="inlineStr">
        <is>
          <t>MARIESTAD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46236</v>
      </c>
      <c r="F88" t="inlineStr">
        <is>
          <t>VÄSTRA GÖTALANDS LÄN</t>
        </is>
      </c>
      <c r="G88" t="inlineStr">
        <is>
          <t>MARIESTAD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45243</v>
      </c>
      <c r="E89" s="1" t="n">
        <v>46236</v>
      </c>
      <c r="F89" t="inlineStr">
        <is>
          <t>VÄSTRA GÖTALANDS LÄN</t>
        </is>
      </c>
      <c r="G89" t="inlineStr">
        <is>
          <t>MARIESTAD</t>
        </is>
      </c>
      <c r="I89" t="n">
        <v>9.699999999999999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45343</v>
      </c>
      <c r="E90" s="1" t="n">
        <v>46236</v>
      </c>
      <c r="F90" t="inlineStr">
        <is>
          <t>VÄSTRA GÖTALANDS LÄN</t>
        </is>
      </c>
      <c r="G90" t="inlineStr">
        <is>
          <t>MARIESTAD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45211</v>
      </c>
      <c r="E91" s="1" t="n">
        <v>46236</v>
      </c>
      <c r="F91" t="inlineStr">
        <is>
          <t>VÄSTRA GÖTALANDS LÄN</t>
        </is>
      </c>
      <c r="G91" t="inlineStr">
        <is>
          <t>MARIESTAD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46236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46236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45412</v>
      </c>
      <c r="E94" s="1" t="n">
        <v>46236</v>
      </c>
      <c r="F94" t="inlineStr">
        <is>
          <t>VÄSTRA GÖTALANDS LÄN</t>
        </is>
      </c>
      <c r="G94" t="inlineStr">
        <is>
          <t>MARIESTAD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45412</v>
      </c>
      <c r="E95" s="1" t="n">
        <v>46236</v>
      </c>
      <c r="F95" t="inlineStr">
        <is>
          <t>VÄSTRA GÖTALANDS LÄN</t>
        </is>
      </c>
      <c r="G95" t="inlineStr">
        <is>
          <t>MARIESTAD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45590</v>
      </c>
      <c r="E96" s="1" t="n">
        <v>46236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46236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46236</v>
      </c>
      <c r="F98" t="inlineStr">
        <is>
          <t>VÄSTRA GÖTALANDS LÄN</t>
        </is>
      </c>
      <c r="G98" t="inlineStr">
        <is>
          <t>MARIESTAD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46236</v>
      </c>
      <c r="F99" t="inlineStr">
        <is>
          <t>VÄSTRA GÖTALANDS LÄN</t>
        </is>
      </c>
      <c r="G99" t="inlineStr">
        <is>
          <t>MARIESTAD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44848</v>
      </c>
      <c r="E100" s="1" t="n">
        <v>46236</v>
      </c>
      <c r="F100" t="inlineStr">
        <is>
          <t>VÄSTRA GÖTALANDS LÄN</t>
        </is>
      </c>
      <c r="G100" t="inlineStr">
        <is>
          <t>MARIESTAD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39437-2021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44414</v>
      </c>
      <c r="E101" s="1" t="n">
        <v>46236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46236</v>
      </c>
      <c r="F102" t="inlineStr">
        <is>
          <t>VÄSTRA GÖTALANDS LÄN</t>
        </is>
      </c>
      <c r="G102" t="inlineStr">
        <is>
          <t>MARIESTAD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46236</v>
      </c>
      <c r="F103" t="inlineStr">
        <is>
          <t>VÄSTRA GÖTALANDS LÄN</t>
        </is>
      </c>
      <c r="G103" t="inlineStr">
        <is>
          <t>MARIESTAD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46236</v>
      </c>
      <c r="F104" t="inlineStr">
        <is>
          <t>VÄSTRA GÖTALANDS LÄN</t>
        </is>
      </c>
      <c r="G104" t="inlineStr">
        <is>
          <t>MARIESTAD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46236</v>
      </c>
      <c r="F105" t="inlineStr">
        <is>
          <t>VÄSTRA GÖTALANDS LÄN</t>
        </is>
      </c>
      <c r="G105" t="inlineStr">
        <is>
          <t>MARIESTAD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46236</v>
      </c>
      <c r="F106" t="inlineStr">
        <is>
          <t>VÄSTRA GÖTALANDS LÄN</t>
        </is>
      </c>
      <c r="G106" t="inlineStr">
        <is>
          <t>MARIESTAD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46236</v>
      </c>
      <c r="F107" t="inlineStr">
        <is>
          <t>VÄSTRA GÖTALANDS LÄN</t>
        </is>
      </c>
      <c r="G107" t="inlineStr">
        <is>
          <t>MARIESTAD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45460</v>
      </c>
      <c r="E108" s="1" t="n">
        <v>46236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46236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Naturvårdsverket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46236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46236</v>
      </c>
      <c r="F111" t="inlineStr">
        <is>
          <t>VÄSTRA GÖTALANDS LÄN</t>
        </is>
      </c>
      <c r="G111" t="inlineStr">
        <is>
          <t>MARIESTAD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60812-2023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45260</v>
      </c>
      <c r="E112" s="1" t="n">
        <v>46236</v>
      </c>
      <c r="F112" t="inlineStr">
        <is>
          <t>VÄSTRA GÖTALANDS LÄN</t>
        </is>
      </c>
      <c r="G112" t="inlineStr">
        <is>
          <t>MARIESTAD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46236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46236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45516</v>
      </c>
      <c r="E115" s="1" t="n">
        <v>46236</v>
      </c>
      <c r="F115" t="inlineStr">
        <is>
          <t>VÄSTRA GÖTALANDS LÄN</t>
        </is>
      </c>
      <c r="G115" t="inlineStr">
        <is>
          <t>MARIESTAD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46236</v>
      </c>
      <c r="F116" t="inlineStr">
        <is>
          <t>VÄSTRA GÖTALANDS LÄN</t>
        </is>
      </c>
      <c r="G116" t="inlineStr">
        <is>
          <t>MARIESTAD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46236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12361-2023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46236</v>
      </c>
      <c r="F118" t="inlineStr">
        <is>
          <t>VÄSTRA GÖTALANDS LÄN</t>
        </is>
      </c>
      <c r="G118" t="inlineStr">
        <is>
          <t>MARIESTAD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46236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Kyrkan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46236</v>
      </c>
      <c r="F120" t="inlineStr">
        <is>
          <t>VÄSTRA GÖTALANDS LÄN</t>
        </is>
      </c>
      <c r="G120" t="inlineStr">
        <is>
          <t>MARIESTAD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45131</v>
      </c>
      <c r="E121" s="1" t="n">
        <v>46236</v>
      </c>
      <c r="F121" t="inlineStr">
        <is>
          <t>VÄSTRA GÖTALANDS LÄN</t>
        </is>
      </c>
      <c r="G121" t="inlineStr">
        <is>
          <t>MARIESTAD</t>
        </is>
      </c>
      <c r="I121" t="n">
        <v>16.1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46236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44930</v>
      </c>
      <c r="E123" s="1" t="n">
        <v>46236</v>
      </c>
      <c r="F123" t="inlineStr">
        <is>
          <t>VÄSTRA GÖTALANDS LÄN</t>
        </is>
      </c>
      <c r="G123" t="inlineStr">
        <is>
          <t>MARIESTAD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46236</v>
      </c>
      <c r="F124" t="inlineStr">
        <is>
          <t>VÄSTRA GÖTALANDS LÄN</t>
        </is>
      </c>
      <c r="G124" t="inlineStr">
        <is>
          <t>MARIESTAD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46236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46236</v>
      </c>
      <c r="F126" t="inlineStr">
        <is>
          <t>VÄSTRA GÖTALANDS LÄN</t>
        </is>
      </c>
      <c r="G126" t="inlineStr">
        <is>
          <t>MARIESTAD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46236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46236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46236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46236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39766-2023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45167</v>
      </c>
      <c r="E131" s="1" t="n">
        <v>46236</v>
      </c>
      <c r="F131" t="inlineStr">
        <is>
          <t>VÄSTRA GÖTALANDS LÄN</t>
        </is>
      </c>
      <c r="G131" t="inlineStr">
        <is>
          <t>MARIESTAD</t>
        </is>
      </c>
      <c r="I131" t="n">
        <v>26.5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44936</v>
      </c>
      <c r="E132" s="1" t="n">
        <v>46236</v>
      </c>
      <c r="F132" t="inlineStr">
        <is>
          <t>VÄSTRA GÖTALANDS LÄN</t>
        </is>
      </c>
      <c r="G132" t="inlineStr">
        <is>
          <t>MARIESTAD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46236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46236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46236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46236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44816</v>
      </c>
      <c r="E137" s="1" t="n">
        <v>46236</v>
      </c>
      <c r="F137" t="inlineStr">
        <is>
          <t>VÄSTRA GÖTALANDS LÄN</t>
        </is>
      </c>
      <c r="G137" t="inlineStr">
        <is>
          <t>MARIESTAD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46236</v>
      </c>
      <c r="F138" t="inlineStr">
        <is>
          <t>VÄSTRA GÖTALANDS LÄN</t>
        </is>
      </c>
      <c r="G138" t="inlineStr">
        <is>
          <t>MARIESTAD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46236</v>
      </c>
      <c r="F139" t="inlineStr">
        <is>
          <t>VÄSTRA GÖTALANDS LÄN</t>
        </is>
      </c>
      <c r="G139" t="inlineStr">
        <is>
          <t>MARIESTAD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46236</v>
      </c>
      <c r="F140" t="inlineStr">
        <is>
          <t>VÄSTRA GÖTALANDS LÄN</t>
        </is>
      </c>
      <c r="G140" t="inlineStr">
        <is>
          <t>MARIESTAD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46236</v>
      </c>
      <c r="F141" t="inlineStr">
        <is>
          <t>VÄSTRA GÖTALANDS LÄN</t>
        </is>
      </c>
      <c r="G141" t="inlineStr">
        <is>
          <t>MARIESTAD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44936</v>
      </c>
      <c r="E142" s="1" t="n">
        <v>46236</v>
      </c>
      <c r="F142" t="inlineStr">
        <is>
          <t>VÄSTRA GÖTALANDS LÄN</t>
        </is>
      </c>
      <c r="G142" t="inlineStr">
        <is>
          <t>MARIESTAD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46236</v>
      </c>
      <c r="F143" t="inlineStr">
        <is>
          <t>VÄSTRA GÖTALANDS LÄN</t>
        </is>
      </c>
      <c r="G143" t="inlineStr">
        <is>
          <t>MARIESTAD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45875</v>
      </c>
      <c r="E144" s="1" t="n">
        <v>46236</v>
      </c>
      <c r="F144" t="inlineStr">
        <is>
          <t>VÄSTRA GÖTALANDS LÄN</t>
        </is>
      </c>
      <c r="G144" t="inlineStr">
        <is>
          <t>MARIESTAD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45199</v>
      </c>
      <c r="E145" s="1" t="n">
        <v>46236</v>
      </c>
      <c r="F145" t="inlineStr">
        <is>
          <t>VÄSTRA GÖTALANDS LÄN</t>
        </is>
      </c>
      <c r="G145" t="inlineStr">
        <is>
          <t>MARIESTAD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46236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45170</v>
      </c>
      <c r="E147" s="1" t="n">
        <v>46236</v>
      </c>
      <c r="F147" t="inlineStr">
        <is>
          <t>VÄSTRA GÖTALANDS LÄN</t>
        </is>
      </c>
      <c r="G147" t="inlineStr">
        <is>
          <t>MARIESTAD</t>
        </is>
      </c>
      <c r="I147" t="n">
        <v>34.9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26688-2022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44739</v>
      </c>
      <c r="E148" s="1" t="n">
        <v>46236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46236</v>
      </c>
      <c r="F149" t="inlineStr">
        <is>
          <t>VÄSTRA GÖTALANDS LÄN</t>
        </is>
      </c>
      <c r="G149" t="inlineStr">
        <is>
          <t>MARIESTAD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46236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46236</v>
      </c>
      <c r="F151" t="inlineStr">
        <is>
          <t>VÄSTRA GÖTALANDS LÄN</t>
        </is>
      </c>
      <c r="G151" t="inlineStr">
        <is>
          <t>MARIESTAD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8021-2024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46236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44830</v>
      </c>
      <c r="E153" s="1" t="n">
        <v>46236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46236</v>
      </c>
      <c r="F154" t="inlineStr">
        <is>
          <t>VÄSTRA GÖTALANDS LÄN</t>
        </is>
      </c>
      <c r="G154" t="inlineStr">
        <is>
          <t>MARIESTAD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46236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46236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46236</v>
      </c>
      <c r="F157" t="inlineStr">
        <is>
          <t>VÄSTRA GÖTALANDS LÄN</t>
        </is>
      </c>
      <c r="G157" t="inlineStr">
        <is>
          <t>MARIESTAD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46236</v>
      </c>
      <c r="F158" t="inlineStr">
        <is>
          <t>VÄSTRA GÖTALANDS LÄN</t>
        </is>
      </c>
      <c r="G158" t="inlineStr">
        <is>
          <t>MARIESTAD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45674</v>
      </c>
      <c r="E159" s="1" t="n">
        <v>46236</v>
      </c>
      <c r="F159" t="inlineStr">
        <is>
          <t>VÄSTRA GÖTALANDS LÄN</t>
        </is>
      </c>
      <c r="G159" t="inlineStr">
        <is>
          <t>MARIESTAD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13655-2023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45006</v>
      </c>
      <c r="E160" s="1" t="n">
        <v>46236</v>
      </c>
      <c r="F160" t="inlineStr">
        <is>
          <t>VÄSTRA GÖTALANDS LÄN</t>
        </is>
      </c>
      <c r="G160" t="inlineStr">
        <is>
          <t>MARIESTAD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46236</v>
      </c>
      <c r="F161" t="inlineStr">
        <is>
          <t>VÄSTRA GÖTALANDS LÄN</t>
        </is>
      </c>
      <c r="G161" t="inlineStr">
        <is>
          <t>MARIESTAD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46236</v>
      </c>
      <c r="F162" t="inlineStr">
        <is>
          <t>VÄSTRA GÖTALANDS LÄN</t>
        </is>
      </c>
      <c r="G162" t="inlineStr">
        <is>
          <t>MARIESTAD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46236</v>
      </c>
      <c r="F163" t="inlineStr">
        <is>
          <t>VÄSTRA GÖTALANDS LÄN</t>
        </is>
      </c>
      <c r="G163" t="inlineStr">
        <is>
          <t>MARIESTAD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45114</v>
      </c>
      <c r="E164" s="1" t="n">
        <v>46236</v>
      </c>
      <c r="F164" t="inlineStr">
        <is>
          <t>VÄSTRA GÖTALANDS LÄN</t>
        </is>
      </c>
      <c r="G164" t="inlineStr">
        <is>
          <t>MARIESTAD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46236</v>
      </c>
      <c r="F165" t="inlineStr">
        <is>
          <t>VÄSTRA GÖTALANDS LÄN</t>
        </is>
      </c>
      <c r="G165" t="inlineStr">
        <is>
          <t>MARIESTAD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46236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46236</v>
      </c>
      <c r="F167" t="inlineStr">
        <is>
          <t>VÄSTRA GÖTALANDS LÄN</t>
        </is>
      </c>
      <c r="G167" t="inlineStr">
        <is>
          <t>MARIESTAD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46236</v>
      </c>
      <c r="F168" t="inlineStr">
        <is>
          <t>VÄSTRA GÖTALANDS LÄN</t>
        </is>
      </c>
      <c r="G168" t="inlineStr">
        <is>
          <t>MARIESTAD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46236</v>
      </c>
      <c r="F169" t="inlineStr">
        <is>
          <t>VÄSTRA GÖTALANDS LÄN</t>
        </is>
      </c>
      <c r="G169" t="inlineStr">
        <is>
          <t>MARIESTAD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46236</v>
      </c>
      <c r="F170" t="inlineStr">
        <is>
          <t>VÄSTRA GÖTALANDS LÄN</t>
        </is>
      </c>
      <c r="G170" t="inlineStr">
        <is>
          <t>MARIESTAD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44622</v>
      </c>
      <c r="E171" s="1" t="n">
        <v>46236</v>
      </c>
      <c r="F171" t="inlineStr">
        <is>
          <t>VÄSTRA GÖTALANDS LÄN</t>
        </is>
      </c>
      <c r="G171" t="inlineStr">
        <is>
          <t>MARIESTAD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46236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46236</v>
      </c>
      <c r="F173" t="inlineStr">
        <is>
          <t>VÄSTRA GÖTALANDS LÄN</t>
        </is>
      </c>
      <c r="G173" t="inlineStr">
        <is>
          <t>MARIESTAD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46236</v>
      </c>
      <c r="F174" t="inlineStr">
        <is>
          <t>VÄSTRA GÖTALANDS LÄN</t>
        </is>
      </c>
      <c r="G174" t="inlineStr">
        <is>
          <t>MARIESTAD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44616</v>
      </c>
      <c r="E175" s="1" t="n">
        <v>46236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Kyrkan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46236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46236</v>
      </c>
      <c r="F177" t="inlineStr">
        <is>
          <t>VÄSTRA GÖTALANDS LÄN</t>
        </is>
      </c>
      <c r="G177" t="inlineStr">
        <is>
          <t>MARIESTAD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46236</v>
      </c>
      <c r="F178" t="inlineStr">
        <is>
          <t>VÄSTRA GÖTALANDS LÄN</t>
        </is>
      </c>
      <c r="G178" t="inlineStr">
        <is>
          <t>MARIESTAD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46236</v>
      </c>
      <c r="F179" t="inlineStr">
        <is>
          <t>VÄSTRA GÖTALANDS LÄN</t>
        </is>
      </c>
      <c r="G179" t="inlineStr">
        <is>
          <t>MARIESTAD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46236</v>
      </c>
      <c r="F180" t="inlineStr">
        <is>
          <t>VÄSTRA GÖTALANDS LÄN</t>
        </is>
      </c>
      <c r="G180" t="inlineStr">
        <is>
          <t>MARIESTAD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46236</v>
      </c>
      <c r="F181" t="inlineStr">
        <is>
          <t>VÄSTRA GÖTALANDS LÄN</t>
        </is>
      </c>
      <c r="G181" t="inlineStr">
        <is>
          <t>MARIESTAD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46236</v>
      </c>
      <c r="F182" t="inlineStr">
        <is>
          <t>VÄSTRA GÖTALANDS LÄN</t>
        </is>
      </c>
      <c r="G182" t="inlineStr">
        <is>
          <t>MARIESTAD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46236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46236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46236</v>
      </c>
      <c r="F185" t="inlineStr">
        <is>
          <t>VÄSTRA GÖTALANDS LÄN</t>
        </is>
      </c>
      <c r="G185" t="inlineStr">
        <is>
          <t>MARIESTAD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46236</v>
      </c>
      <c r="F186" t="inlineStr">
        <is>
          <t>VÄSTRA GÖTALANDS LÄN</t>
        </is>
      </c>
      <c r="G186" t="inlineStr">
        <is>
          <t>MARIESTAD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46236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Övriga Aktiebolag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21361-2026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46142</v>
      </c>
      <c r="E188" s="1" t="n">
        <v>46236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46236</v>
      </c>
      <c r="F189" t="inlineStr">
        <is>
          <t>VÄSTRA GÖTALANDS LÄN</t>
        </is>
      </c>
      <c r="G189" t="inlineStr">
        <is>
          <t>MARIESTAD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45210</v>
      </c>
      <c r="E190" s="1" t="n">
        <v>46236</v>
      </c>
      <c r="F190" t="inlineStr">
        <is>
          <t>VÄSTRA GÖTALANDS LÄN</t>
        </is>
      </c>
      <c r="G190" t="inlineStr">
        <is>
          <t>MARIESTAD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46236</v>
      </c>
      <c r="F191" t="inlineStr">
        <is>
          <t>VÄSTRA GÖTALANDS LÄN</t>
        </is>
      </c>
      <c r="G191" t="inlineStr">
        <is>
          <t>MARIESTAD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70295-2021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46236</v>
      </c>
      <c r="F192" t="inlineStr">
        <is>
          <t>VÄSTRA GÖTALANDS LÄN</t>
        </is>
      </c>
      <c r="G192" t="inlineStr">
        <is>
          <t>MARIESTAD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22879-2026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46236</v>
      </c>
      <c r="F193" t="inlineStr">
        <is>
          <t>VÄSTRA GÖTALANDS LÄN</t>
        </is>
      </c>
      <c r="G193" t="inlineStr">
        <is>
          <t>MARIESTAD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46236</v>
      </c>
      <c r="F194" t="inlineStr">
        <is>
          <t>VÄSTRA GÖTALANDS LÄN</t>
        </is>
      </c>
      <c r="G194" t="inlineStr">
        <is>
          <t>MARIESTAD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46236</v>
      </c>
      <c r="F195" t="inlineStr">
        <is>
          <t>VÄSTRA GÖTALANDS LÄN</t>
        </is>
      </c>
      <c r="G195" t="inlineStr">
        <is>
          <t>MARIESTAD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46236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46236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46236</v>
      </c>
      <c r="F198" t="inlineStr">
        <is>
          <t>VÄSTRA GÖTALANDS LÄN</t>
        </is>
      </c>
      <c r="G198" t="inlineStr">
        <is>
          <t>MARIESTAD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19268-2025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46236</v>
      </c>
      <c r="F199" t="inlineStr">
        <is>
          <t>VÄSTRA GÖTALANDS LÄN</t>
        </is>
      </c>
      <c r="G199" t="inlineStr">
        <is>
          <t>MARIESTAD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46205</v>
      </c>
      <c r="E200" s="1" t="n">
        <v>46236</v>
      </c>
      <c r="F200" t="inlineStr">
        <is>
          <t>VÄSTRA GÖTALANDS LÄN</t>
        </is>
      </c>
      <c r="G200" t="inlineStr">
        <is>
          <t>MARIESTAD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46236</v>
      </c>
      <c r="F201" t="inlineStr">
        <is>
          <t>VÄSTRA GÖTALANDS LÄN</t>
        </is>
      </c>
      <c r="G201" t="inlineStr">
        <is>
          <t>MARIESTAD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46236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46236</v>
      </c>
      <c r="F203" t="inlineStr">
        <is>
          <t>VÄSTRA GÖTALANDS LÄN</t>
        </is>
      </c>
      <c r="G203" t="inlineStr">
        <is>
          <t>MARIESTAD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44843</v>
      </c>
      <c r="E204" s="1" t="n">
        <v>46236</v>
      </c>
      <c r="F204" t="inlineStr">
        <is>
          <t>VÄSTRA GÖTALANDS LÄN</t>
        </is>
      </c>
      <c r="G204" t="inlineStr">
        <is>
          <t>MARIESTAD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46236</v>
      </c>
      <c r="F205" t="inlineStr">
        <is>
          <t>VÄSTRA GÖTALANDS LÄN</t>
        </is>
      </c>
      <c r="G205" t="inlineStr">
        <is>
          <t>MARIESTAD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46236</v>
      </c>
      <c r="F206" t="inlineStr">
        <is>
          <t>VÄSTRA GÖTALANDS LÄN</t>
        </is>
      </c>
      <c r="G206" t="inlineStr">
        <is>
          <t>MARIESTAD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46236</v>
      </c>
      <c r="F207" t="inlineStr">
        <is>
          <t>VÄSTRA GÖTALANDS LÄN</t>
        </is>
      </c>
      <c r="G207" t="inlineStr">
        <is>
          <t>MARIESTAD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46236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36399-2024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45535</v>
      </c>
      <c r="E209" s="1" t="n">
        <v>46236</v>
      </c>
      <c r="F209" t="inlineStr">
        <is>
          <t>VÄSTRA GÖTALANDS LÄN</t>
        </is>
      </c>
      <c r="G209" t="inlineStr">
        <is>
          <t>MARIESTAD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44943</v>
      </c>
      <c r="E210" s="1" t="n">
        <v>46236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46236</v>
      </c>
      <c r="F211" t="inlineStr">
        <is>
          <t>VÄSTRA GÖTALANDS LÄN</t>
        </is>
      </c>
      <c r="G211" t="inlineStr">
        <is>
          <t>MARIESTAD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47194-2021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44447</v>
      </c>
      <c r="E212" s="1" t="n">
        <v>46236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46236</v>
      </c>
      <c r="F213" t="inlineStr">
        <is>
          <t>VÄSTRA GÖTALANDS LÄN</t>
        </is>
      </c>
      <c r="G213" t="inlineStr">
        <is>
          <t>MARIESTAD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46236</v>
      </c>
      <c r="F214" t="inlineStr">
        <is>
          <t>VÄSTRA GÖTALANDS LÄN</t>
        </is>
      </c>
      <c r="G214" t="inlineStr">
        <is>
          <t>MARIESTAD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58286-2022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46236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44836</v>
      </c>
      <c r="E216" s="1" t="n">
        <v>46236</v>
      </c>
      <c r="F216" t="inlineStr">
        <is>
          <t>VÄSTRA GÖTALANDS LÄN</t>
        </is>
      </c>
      <c r="G216" t="inlineStr">
        <is>
          <t>MARIESTAD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46236</v>
      </c>
      <c r="F217" t="inlineStr">
        <is>
          <t>VÄSTRA GÖTALANDS LÄN</t>
        </is>
      </c>
      <c r="G217" t="inlineStr">
        <is>
          <t>MARIESTAD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46236</v>
      </c>
      <c r="F218" t="inlineStr">
        <is>
          <t>VÄSTRA GÖTALANDS LÄN</t>
        </is>
      </c>
      <c r="G218" t="inlineStr">
        <is>
          <t>MARIESTAD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46236</v>
      </c>
      <c r="F219" t="inlineStr">
        <is>
          <t>VÄSTRA GÖTALANDS LÄN</t>
        </is>
      </c>
      <c r="G219" t="inlineStr">
        <is>
          <t>MARIESTAD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46236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46236</v>
      </c>
      <c r="F221" t="inlineStr">
        <is>
          <t>VÄSTRA GÖTALANDS LÄN</t>
        </is>
      </c>
      <c r="G221" t="inlineStr">
        <is>
          <t>MARIESTAD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45677</v>
      </c>
      <c r="E222" s="1" t="n">
        <v>46236</v>
      </c>
      <c r="F222" t="inlineStr">
        <is>
          <t>VÄSTRA GÖTALANDS LÄN</t>
        </is>
      </c>
      <c r="G222" t="inlineStr">
        <is>
          <t>MARIESTAD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46236</v>
      </c>
      <c r="F223" t="inlineStr">
        <is>
          <t>VÄSTRA GÖTALANDS LÄN</t>
        </is>
      </c>
      <c r="G223" t="inlineStr">
        <is>
          <t>MARIESTAD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46236</v>
      </c>
      <c r="F224" t="inlineStr">
        <is>
          <t>VÄSTRA GÖTALANDS LÄN</t>
        </is>
      </c>
      <c r="G224" t="inlineStr">
        <is>
          <t>MARIESTAD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46236</v>
      </c>
      <c r="F225" t="inlineStr">
        <is>
          <t>VÄSTRA GÖTALANDS LÄN</t>
        </is>
      </c>
      <c r="G225" t="inlineStr">
        <is>
          <t>MARIESTAD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46236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46236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46236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46236</v>
      </c>
      <c r="F229" t="inlineStr">
        <is>
          <t>VÄSTRA GÖTALANDS LÄN</t>
        </is>
      </c>
      <c r="G229" t="inlineStr">
        <is>
          <t>MARIESTAD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44843</v>
      </c>
      <c r="E230" s="1" t="n">
        <v>46236</v>
      </c>
      <c r="F230" t="inlineStr">
        <is>
          <t>VÄSTRA GÖTALANDS LÄN</t>
        </is>
      </c>
      <c r="G230" t="inlineStr">
        <is>
          <t>MARIESTAD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46236</v>
      </c>
      <c r="F231" t="inlineStr">
        <is>
          <t>VÄSTRA GÖTALANDS LÄN</t>
        </is>
      </c>
      <c r="G231" t="inlineStr">
        <is>
          <t>MARIESTAD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45371</v>
      </c>
      <c r="E232" s="1" t="n">
        <v>46236</v>
      </c>
      <c r="F232" t="inlineStr">
        <is>
          <t>VÄSTRA GÖTALANDS LÄN</t>
        </is>
      </c>
      <c r="G232" t="inlineStr">
        <is>
          <t>MARIESTAD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46236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46236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45200</v>
      </c>
      <c r="E235" s="1" t="n">
        <v>46236</v>
      </c>
      <c r="F235" t="inlineStr">
        <is>
          <t>VÄSTRA GÖTALANDS LÄN</t>
        </is>
      </c>
      <c r="G235" t="inlineStr">
        <is>
          <t>MARIESTAD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46236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46236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45393</v>
      </c>
      <c r="E238" s="1" t="n">
        <v>46236</v>
      </c>
      <c r="F238" t="inlineStr">
        <is>
          <t>VÄSTRA GÖTALANDS LÄN</t>
        </is>
      </c>
      <c r="G238" t="inlineStr">
        <is>
          <t>MARIESTAD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46236</v>
      </c>
      <c r="F239" t="inlineStr">
        <is>
          <t>VÄSTRA GÖTALANDS LÄN</t>
        </is>
      </c>
      <c r="G239" t="inlineStr">
        <is>
          <t>MARIESTAD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46236</v>
      </c>
      <c r="F240" t="inlineStr">
        <is>
          <t>VÄSTRA GÖTALANDS LÄN</t>
        </is>
      </c>
      <c r="G240" t="inlineStr">
        <is>
          <t>MARIESTAD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46236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46236</v>
      </c>
      <c r="F242" t="inlineStr">
        <is>
          <t>VÄSTRA GÖTALANDS LÄN</t>
        </is>
      </c>
      <c r="G242" t="inlineStr">
        <is>
          <t>MARIESTAD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45412</v>
      </c>
      <c r="E243" s="1" t="n">
        <v>46236</v>
      </c>
      <c r="F243" t="inlineStr">
        <is>
          <t>VÄSTRA GÖTALANDS LÄN</t>
        </is>
      </c>
      <c r="G243" t="inlineStr">
        <is>
          <t>MARIESTAD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45412</v>
      </c>
      <c r="E244" s="1" t="n">
        <v>46236</v>
      </c>
      <c r="F244" t="inlineStr">
        <is>
          <t>VÄSTRA GÖTALANDS LÄN</t>
        </is>
      </c>
      <c r="G244" t="inlineStr">
        <is>
          <t>MARIESTAD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46236</v>
      </c>
      <c r="F245" t="inlineStr">
        <is>
          <t>VÄSTRA GÖTALANDS LÄN</t>
        </is>
      </c>
      <c r="G245" t="inlineStr">
        <is>
          <t>MARIESTAD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14657-2024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45397</v>
      </c>
      <c r="E246" s="1" t="n">
        <v>46236</v>
      </c>
      <c r="F246" t="inlineStr">
        <is>
          <t>VÄSTRA GÖTALANDS LÄN</t>
        </is>
      </c>
      <c r="G246" t="inlineStr">
        <is>
          <t>MARIESTAD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46236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56344-2022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44890</v>
      </c>
      <c r="E248" s="1" t="n">
        <v>46236</v>
      </c>
      <c r="F248" t="inlineStr">
        <is>
          <t>VÄSTRA GÖTALANDS LÄN</t>
        </is>
      </c>
      <c r="G248" t="inlineStr">
        <is>
          <t>MARIESTAD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46236</v>
      </c>
      <c r="F249" t="inlineStr">
        <is>
          <t>VÄSTRA GÖTALANDS LÄN</t>
        </is>
      </c>
      <c r="G249" t="inlineStr">
        <is>
          <t>MARIESTAD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44620</v>
      </c>
      <c r="E250" s="1" t="n">
        <v>46236</v>
      </c>
      <c r="F250" t="inlineStr">
        <is>
          <t>VÄSTRA GÖTALANDS LÄN</t>
        </is>
      </c>
      <c r="G250" t="inlineStr">
        <is>
          <t>MARIESTAD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46236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46236</v>
      </c>
      <c r="F252" t="inlineStr">
        <is>
          <t>VÄSTRA GÖTALANDS LÄN</t>
        </is>
      </c>
      <c r="G252" t="inlineStr">
        <is>
          <t>MARIESTAD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45070</v>
      </c>
      <c r="E253" s="1" t="n">
        <v>46236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46051</v>
      </c>
      <c r="E254" s="1" t="n">
        <v>46236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65197-2023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45289</v>
      </c>
      <c r="E255" s="1" t="n">
        <v>46236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70259-2021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46236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46236</v>
      </c>
      <c r="F257" t="inlineStr">
        <is>
          <t>VÄSTRA GÖTALANDS LÄN</t>
        </is>
      </c>
      <c r="G257" t="inlineStr">
        <is>
          <t>MARIESTAD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46236</v>
      </c>
      <c r="F258" t="inlineStr">
        <is>
          <t>VÄSTRA GÖTALANDS LÄN</t>
        </is>
      </c>
      <c r="G258" t="inlineStr">
        <is>
          <t>MARIESTAD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46236</v>
      </c>
      <c r="F259" t="inlineStr">
        <is>
          <t>VÄSTRA GÖTALANDS LÄN</t>
        </is>
      </c>
      <c r="G259" t="inlineStr">
        <is>
          <t>MARIESTAD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46236</v>
      </c>
      <c r="F260" t="inlineStr">
        <is>
          <t>VÄSTRA GÖTALANDS LÄN</t>
        </is>
      </c>
      <c r="G260" t="inlineStr">
        <is>
          <t>MARIESTAD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46236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46236</v>
      </c>
      <c r="F262" t="inlineStr">
        <is>
          <t>VÄSTRA GÖTALANDS LÄN</t>
        </is>
      </c>
      <c r="G262" t="inlineStr">
        <is>
          <t>MARIESTAD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45470</v>
      </c>
      <c r="E263" s="1" t="n">
        <v>46236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Kyrkan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7587-2026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46061</v>
      </c>
      <c r="E264" s="1" t="n">
        <v>46236</v>
      </c>
      <c r="F264" t="inlineStr">
        <is>
          <t>VÄSTRA GÖTALANDS LÄN</t>
        </is>
      </c>
      <c r="G264" t="inlineStr">
        <is>
          <t>MARIESTAD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44630</v>
      </c>
      <c r="E265" s="1" t="n">
        <v>46236</v>
      </c>
      <c r="F265" t="inlineStr">
        <is>
          <t>VÄSTRA GÖTALANDS LÄN</t>
        </is>
      </c>
      <c r="G265" t="inlineStr">
        <is>
          <t>MARIESTAD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46236</v>
      </c>
      <c r="F266" t="inlineStr">
        <is>
          <t>VÄSTRA GÖTALANDS LÄN</t>
        </is>
      </c>
      <c r="G266" t="inlineStr">
        <is>
          <t>MARIESTAD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46236</v>
      </c>
      <c r="F267" t="inlineStr">
        <is>
          <t>VÄSTRA GÖTALANDS LÄN</t>
        </is>
      </c>
      <c r="G267" t="inlineStr">
        <is>
          <t>MARIESTAD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46236</v>
      </c>
      <c r="F268" t="inlineStr">
        <is>
          <t>VÄSTRA GÖTALANDS LÄN</t>
        </is>
      </c>
      <c r="G268" t="inlineStr">
        <is>
          <t>MARIESTAD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46236</v>
      </c>
      <c r="F269" t="inlineStr">
        <is>
          <t>VÄSTRA GÖTALANDS LÄN</t>
        </is>
      </c>
      <c r="G269" t="inlineStr">
        <is>
          <t>MARIESTAD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46236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46236</v>
      </c>
      <c r="F271" t="inlineStr">
        <is>
          <t>VÄSTRA GÖTALANDS LÄN</t>
        </is>
      </c>
      <c r="G271" t="inlineStr">
        <is>
          <t>MARIESTAD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44774</v>
      </c>
      <c r="E272" s="1" t="n">
        <v>46236</v>
      </c>
      <c r="F272" t="inlineStr">
        <is>
          <t>VÄSTRA GÖTALANDS LÄN</t>
        </is>
      </c>
      <c r="G272" t="inlineStr">
        <is>
          <t>MARIESTAD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46236</v>
      </c>
      <c r="F273" t="inlineStr">
        <is>
          <t>VÄSTRA GÖTALANDS LÄN</t>
        </is>
      </c>
      <c r="G273" t="inlineStr">
        <is>
          <t>MARIESTAD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46071</v>
      </c>
      <c r="E274" s="1" t="n">
        <v>46236</v>
      </c>
      <c r="F274" t="inlineStr">
        <is>
          <t>VÄSTRA GÖTALANDS LÄN</t>
        </is>
      </c>
      <c r="G274" t="inlineStr">
        <is>
          <t>MARIESTAD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46236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46236</v>
      </c>
      <c r="F276" t="inlineStr">
        <is>
          <t>VÄSTRA GÖTALANDS LÄN</t>
        </is>
      </c>
      <c r="G276" t="inlineStr">
        <is>
          <t>MARIESTAD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45600</v>
      </c>
      <c r="E277" s="1" t="n">
        <v>46236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46236</v>
      </c>
      <c r="F278" t="inlineStr">
        <is>
          <t>VÄSTRA GÖTALANDS LÄN</t>
        </is>
      </c>
      <c r="G278" t="inlineStr">
        <is>
          <t>MARIESTAD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50579-2023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45217</v>
      </c>
      <c r="E279" s="1" t="n">
        <v>46236</v>
      </c>
      <c r="F279" t="inlineStr">
        <is>
          <t>VÄSTRA GÖTALANDS LÄN</t>
        </is>
      </c>
      <c r="G279" t="inlineStr">
        <is>
          <t>MARIESTAD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46236</v>
      </c>
      <c r="F280" t="inlineStr">
        <is>
          <t>VÄSTRA GÖTALANDS LÄN</t>
        </is>
      </c>
      <c r="G280" t="inlineStr">
        <is>
          <t>MARIESTAD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46236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44649</v>
      </c>
      <c r="E282" s="1" t="n">
        <v>46236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44629</v>
      </c>
      <c r="E283" s="1" t="n">
        <v>46236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46236</v>
      </c>
      <c r="F284" t="inlineStr">
        <is>
          <t>VÄSTRA GÖTALANDS LÄN</t>
        </is>
      </c>
      <c r="G284" t="inlineStr">
        <is>
          <t>MARIESTAD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44645</v>
      </c>
      <c r="E285" s="1" t="n">
        <v>46236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46090</v>
      </c>
      <c r="E286" s="1" t="n">
        <v>46236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12380-2026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46236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44638</v>
      </c>
      <c r="E288" s="1" t="n">
        <v>46236</v>
      </c>
      <c r="F288" t="inlineStr">
        <is>
          <t>VÄSTRA GÖTALANDS LÄN</t>
        </is>
      </c>
      <c r="G288" t="inlineStr">
        <is>
          <t>MARIESTAD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45200</v>
      </c>
      <c r="E289" s="1" t="n">
        <v>46236</v>
      </c>
      <c r="F289" t="inlineStr">
        <is>
          <t>VÄSTRA GÖTALANDS LÄN</t>
        </is>
      </c>
      <c r="G289" t="inlineStr">
        <is>
          <t>MARIESTAD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45343</v>
      </c>
      <c r="E290" s="1" t="n">
        <v>46236</v>
      </c>
      <c r="F290" t="inlineStr">
        <is>
          <t>VÄSTRA GÖTALANDS LÄN</t>
        </is>
      </c>
      <c r="G290" t="inlineStr">
        <is>
          <t>MARIESTAD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45691</v>
      </c>
      <c r="E291" s="1" t="n">
        <v>46236</v>
      </c>
      <c r="F291" t="inlineStr">
        <is>
          <t>VÄSTRA GÖTALANDS LÄN</t>
        </is>
      </c>
      <c r="G291" t="inlineStr">
        <is>
          <t>MARIESTAD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45722</v>
      </c>
      <c r="E292" s="1" t="n">
        <v>46236</v>
      </c>
      <c r="F292" t="inlineStr">
        <is>
          <t>VÄSTRA GÖTALANDS LÄN</t>
        </is>
      </c>
      <c r="G292" t="inlineStr">
        <is>
          <t>MARIESTAD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46236</v>
      </c>
      <c r="F293" t="inlineStr">
        <is>
          <t>VÄSTRA GÖTALANDS LÄN</t>
        </is>
      </c>
      <c r="G293" t="inlineStr">
        <is>
          <t>MARIESTAD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46236</v>
      </c>
      <c r="F294" t="inlineStr">
        <is>
          <t>VÄSTRA GÖTALANDS LÄN</t>
        </is>
      </c>
      <c r="G294" t="inlineStr">
        <is>
          <t>MARIESTAD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46236</v>
      </c>
      <c r="F295" t="inlineStr">
        <is>
          <t>VÄSTRA GÖTALANDS LÄN</t>
        </is>
      </c>
      <c r="G295" t="inlineStr">
        <is>
          <t>MARIESTAD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46236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46236</v>
      </c>
      <c r="F297" t="inlineStr">
        <is>
          <t>VÄSTRA GÖTALANDS LÄN</t>
        </is>
      </c>
      <c r="G297" t="inlineStr">
        <is>
          <t>MARIESTAD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46236</v>
      </c>
      <c r="F298" t="inlineStr">
        <is>
          <t>VÄSTRA GÖTALANDS LÄN</t>
        </is>
      </c>
      <c r="G298" t="inlineStr">
        <is>
          <t>MARIESTAD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46236</v>
      </c>
      <c r="F299" t="inlineStr">
        <is>
          <t>VÄSTRA GÖTALANDS LÄN</t>
        </is>
      </c>
      <c r="G299" t="inlineStr">
        <is>
          <t>MARIESTAD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34253-2024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46236</v>
      </c>
      <c r="F300" t="inlineStr">
        <is>
          <t>VÄSTRA GÖTALANDS LÄN</t>
        </is>
      </c>
      <c r="G300" t="inlineStr">
        <is>
          <t>MARIESTAD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46236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58077-2022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44900</v>
      </c>
      <c r="E302" s="1" t="n">
        <v>46236</v>
      </c>
      <c r="F302" t="inlineStr">
        <is>
          <t>VÄSTRA GÖTALANDS LÄN</t>
        </is>
      </c>
      <c r="G302" t="inlineStr">
        <is>
          <t>MARIESTAD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46236</v>
      </c>
      <c r="F303" t="inlineStr">
        <is>
          <t>VÄSTRA GÖTALANDS LÄN</t>
        </is>
      </c>
      <c r="G303" t="inlineStr">
        <is>
          <t>MARIESTAD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46236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46236</v>
      </c>
      <c r="F305" t="inlineStr">
        <is>
          <t>VÄSTRA GÖTALANDS LÄN</t>
        </is>
      </c>
      <c r="G305" t="inlineStr">
        <is>
          <t>MARIESTAD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45720</v>
      </c>
      <c r="E306" s="1" t="n">
        <v>46236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44746</v>
      </c>
      <c r="E307" s="1" t="n">
        <v>46236</v>
      </c>
      <c r="F307" t="inlineStr">
        <is>
          <t>VÄSTRA GÖTALANDS LÄN</t>
        </is>
      </c>
      <c r="G307" t="inlineStr">
        <is>
          <t>MARIESTAD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46236</v>
      </c>
      <c r="F308" t="inlineStr">
        <is>
          <t>VÄSTRA GÖTALANDS LÄN</t>
        </is>
      </c>
      <c r="G308" t="inlineStr">
        <is>
          <t>MARIESTAD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45783</v>
      </c>
      <c r="E309" s="1" t="n">
        <v>46236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45783</v>
      </c>
      <c r="E310" s="1" t="n">
        <v>46236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46236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44445</v>
      </c>
      <c r="E312" s="1" t="n">
        <v>46236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45783</v>
      </c>
      <c r="E313" s="1" t="n">
        <v>46236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46236</v>
      </c>
      <c r="F314" t="inlineStr">
        <is>
          <t>VÄSTRA GÖTALANDS LÄN</t>
        </is>
      </c>
      <c r="G314" t="inlineStr">
        <is>
          <t>MARIESTAD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46236</v>
      </c>
      <c r="F315" t="inlineStr">
        <is>
          <t>VÄSTRA GÖTALANDS LÄN</t>
        </is>
      </c>
      <c r="G315" t="inlineStr">
        <is>
          <t>MARIESTAD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44746</v>
      </c>
      <c r="E316" s="1" t="n">
        <v>46236</v>
      </c>
      <c r="F316" t="inlineStr">
        <is>
          <t>VÄSTRA GÖTALANDS LÄN</t>
        </is>
      </c>
      <c r="G316" t="inlineStr">
        <is>
          <t>MARIESTAD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28056-2022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44746</v>
      </c>
      <c r="E317" s="1" t="n">
        <v>46236</v>
      </c>
      <c r="F317" t="inlineStr">
        <is>
          <t>VÄSTRA GÖTALANDS LÄN</t>
        </is>
      </c>
      <c r="G317" t="inlineStr">
        <is>
          <t>MARIESTAD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44797</v>
      </c>
      <c r="E318" s="1" t="n">
        <v>46236</v>
      </c>
      <c r="F318" t="inlineStr">
        <is>
          <t>VÄSTRA GÖTALANDS LÄN</t>
        </is>
      </c>
      <c r="G318" t="inlineStr">
        <is>
          <t>MARIESTAD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61603-2023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45265</v>
      </c>
      <c r="E319" s="1" t="n">
        <v>46236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46236</v>
      </c>
      <c r="F320" t="inlineStr">
        <is>
          <t>VÄSTRA GÖTALANDS LÄN</t>
        </is>
      </c>
      <c r="G320" t="inlineStr">
        <is>
          <t>MARIESTAD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44693</v>
      </c>
      <c r="E321" s="1" t="n">
        <v>46236</v>
      </c>
      <c r="F321" t="inlineStr">
        <is>
          <t>VÄSTRA GÖTALANDS LÄN</t>
        </is>
      </c>
      <c r="G321" t="inlineStr">
        <is>
          <t>MARIESTAD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45324</v>
      </c>
      <c r="E322" s="1" t="n">
        <v>46236</v>
      </c>
      <c r="F322" t="inlineStr">
        <is>
          <t>VÄSTRA GÖTALANDS LÄN</t>
        </is>
      </c>
      <c r="G322" t="inlineStr">
        <is>
          <t>MARIESTAD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49389-2023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45211</v>
      </c>
      <c r="E323" s="1" t="n">
        <v>46236</v>
      </c>
      <c r="F323" t="inlineStr">
        <is>
          <t>VÄSTRA GÖTALANDS LÄN</t>
        </is>
      </c>
      <c r="G323" t="inlineStr">
        <is>
          <t>MARIESTAD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45307</v>
      </c>
      <c r="E324" s="1" t="n">
        <v>46236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45590</v>
      </c>
      <c r="E325" s="1" t="n">
        <v>46236</v>
      </c>
      <c r="F325" t="inlineStr">
        <is>
          <t>VÄSTRA GÖTALANDS LÄN</t>
        </is>
      </c>
      <c r="G325" t="inlineStr">
        <is>
          <t>MARIESTAD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46236</v>
      </c>
      <c r="F326" t="inlineStr">
        <is>
          <t>VÄSTRA GÖTALANDS LÄN</t>
        </is>
      </c>
      <c r="G326" t="inlineStr">
        <is>
          <t>MARIESTAD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12011-2025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45728</v>
      </c>
      <c r="E327" s="1" t="n">
        <v>46236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45583</v>
      </c>
      <c r="E328" s="1" t="n">
        <v>46236</v>
      </c>
      <c r="F328" t="inlineStr">
        <is>
          <t>VÄSTRA GÖTALANDS LÄN</t>
        </is>
      </c>
      <c r="G328" t="inlineStr">
        <is>
          <t>MARIESTAD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45135</v>
      </c>
      <c r="E329" s="1" t="n">
        <v>46236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45528</v>
      </c>
      <c r="E330" s="1" t="n">
        <v>46236</v>
      </c>
      <c r="F330" t="inlineStr">
        <is>
          <t>VÄSTRA GÖTALANDS LÄN</t>
        </is>
      </c>
      <c r="G330" t="inlineStr">
        <is>
          <t>MARIESTAD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49385-2023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45211</v>
      </c>
      <c r="E331" s="1" t="n">
        <v>46236</v>
      </c>
      <c r="F331" t="inlineStr">
        <is>
          <t>VÄSTRA GÖTALANDS LÄN</t>
        </is>
      </c>
      <c r="G331" t="inlineStr">
        <is>
          <t>MARIESTAD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66772-2021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44521</v>
      </c>
      <c r="E332" s="1" t="n">
        <v>46236</v>
      </c>
      <c r="F332" t="inlineStr">
        <is>
          <t>VÄSTRA GÖTALANDS LÄN</t>
        </is>
      </c>
      <c r="G332" t="inlineStr">
        <is>
          <t>MARIESTAD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29857-2022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44756</v>
      </c>
      <c r="E333" s="1" t="n">
        <v>46236</v>
      </c>
      <c r="F333" t="inlineStr">
        <is>
          <t>VÄSTRA GÖTALANDS LÄN</t>
        </is>
      </c>
      <c r="G333" t="inlineStr">
        <is>
          <t>MARIESTAD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45502</v>
      </c>
      <c r="E334" s="1" t="n">
        <v>46236</v>
      </c>
      <c r="F334" t="inlineStr">
        <is>
          <t>VÄSTRA GÖTALANDS LÄN</t>
        </is>
      </c>
      <c r="G334" t="inlineStr">
        <is>
          <t>MARIESTAD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45716</v>
      </c>
      <c r="E335" s="1" t="n">
        <v>46236</v>
      </c>
      <c r="F335" t="inlineStr">
        <is>
          <t>VÄSTRA GÖTALANDS LÄN</t>
        </is>
      </c>
      <c r="G335" t="inlineStr">
        <is>
          <t>MARIESTAD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45331</v>
      </c>
      <c r="E336" s="1" t="n">
        <v>46236</v>
      </c>
      <c r="F336" t="inlineStr">
        <is>
          <t>VÄSTRA GÖTALANDS LÄN</t>
        </is>
      </c>
      <c r="G336" t="inlineStr">
        <is>
          <t>MARIESTAD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46236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46236</v>
      </c>
      <c r="F338" t="inlineStr">
        <is>
          <t>VÄSTRA GÖTALANDS LÄN</t>
        </is>
      </c>
      <c r="G338" t="inlineStr">
        <is>
          <t>MARIESTAD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45709</v>
      </c>
      <c r="E339" s="1" t="n">
        <v>46236</v>
      </c>
      <c r="F339" t="inlineStr">
        <is>
          <t>VÄSTRA GÖTALANDS LÄN</t>
        </is>
      </c>
      <c r="G339" t="inlineStr">
        <is>
          <t>MARIESTAD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46236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46236</v>
      </c>
      <c r="F341" t="inlineStr">
        <is>
          <t>VÄSTRA GÖTALANDS LÄN</t>
        </is>
      </c>
      <c r="G341" t="inlineStr">
        <is>
          <t>MARIESTAD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46236</v>
      </c>
      <c r="F342" t="inlineStr">
        <is>
          <t>VÄSTRA GÖTALANDS LÄN</t>
        </is>
      </c>
      <c r="G342" t="inlineStr">
        <is>
          <t>MARIESTAD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42161-2021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44426</v>
      </c>
      <c r="E343" s="1" t="n">
        <v>46236</v>
      </c>
      <c r="F343" t="inlineStr">
        <is>
          <t>VÄSTRA GÖTALANDS LÄN</t>
        </is>
      </c>
      <c r="G343" t="inlineStr">
        <is>
          <t>MARIESTAD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52869-2024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45610</v>
      </c>
      <c r="E344" s="1" t="n">
        <v>46236</v>
      </c>
      <c r="F344" t="inlineStr">
        <is>
          <t>VÄSTRA GÖTALANDS LÄN</t>
        </is>
      </c>
      <c r="G344" t="inlineStr">
        <is>
          <t>MARIESTAD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45798</v>
      </c>
      <c r="E345" s="1" t="n">
        <v>46236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46236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46236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45804</v>
      </c>
      <c r="E348" s="1" t="n">
        <v>46236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46236</v>
      </c>
      <c r="F349" t="inlineStr">
        <is>
          <t>VÄSTRA GÖTALANDS LÄN</t>
        </is>
      </c>
      <c r="G349" t="inlineStr">
        <is>
          <t>MARIESTAD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45804</v>
      </c>
      <c r="E350" s="1" t="n">
        <v>46236</v>
      </c>
      <c r="F350" t="inlineStr">
        <is>
          <t>VÄSTRA GÖTALANDS LÄN</t>
        </is>
      </c>
      <c r="G350" t="inlineStr">
        <is>
          <t>MARIESTAD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46236</v>
      </c>
      <c r="F351" t="inlineStr">
        <is>
          <t>VÄSTRA GÖTALANDS LÄN</t>
        </is>
      </c>
      <c r="G351" t="inlineStr">
        <is>
          <t>MARIESTAD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46236</v>
      </c>
      <c r="F352" t="inlineStr">
        <is>
          <t>VÄSTRA GÖTALANDS LÄN</t>
        </is>
      </c>
      <c r="G352" t="inlineStr">
        <is>
          <t>MARIESTAD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46236</v>
      </c>
      <c r="F353" t="inlineStr">
        <is>
          <t>VÄSTRA GÖTALANDS LÄN</t>
        </is>
      </c>
      <c r="G353" t="inlineStr">
        <is>
          <t>MARIESTAD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46236</v>
      </c>
      <c r="F354" t="inlineStr">
        <is>
          <t>VÄSTRA GÖTALANDS LÄN</t>
        </is>
      </c>
      <c r="G354" t="inlineStr">
        <is>
          <t>MARIESTAD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46236</v>
      </c>
      <c r="F355" t="inlineStr">
        <is>
          <t>VÄSTRA GÖTALANDS LÄN</t>
        </is>
      </c>
      <c r="G355" t="inlineStr">
        <is>
          <t>MARIESTAD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46236</v>
      </c>
      <c r="F356" t="inlineStr">
        <is>
          <t>VÄSTRA GÖTALANDS LÄN</t>
        </is>
      </c>
      <c r="G356" t="inlineStr">
        <is>
          <t>MARIESTAD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45821</v>
      </c>
      <c r="E357" s="1" t="n">
        <v>46236</v>
      </c>
      <c r="F357" t="inlineStr">
        <is>
          <t>VÄSTRA GÖTALANDS LÄN</t>
        </is>
      </c>
      <c r="G357" t="inlineStr">
        <is>
          <t>MARIESTAD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46236</v>
      </c>
      <c r="F358" t="inlineStr">
        <is>
          <t>VÄSTRA GÖTALANDS LÄN</t>
        </is>
      </c>
      <c r="G358" t="inlineStr">
        <is>
          <t>MARIESTAD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46236</v>
      </c>
      <c r="F359" t="inlineStr">
        <is>
          <t>VÄSTRA GÖTALANDS LÄN</t>
        </is>
      </c>
      <c r="G359" t="inlineStr">
        <is>
          <t>MARIESTAD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45832</v>
      </c>
      <c r="E360" s="1" t="n">
        <v>46236</v>
      </c>
      <c r="F360" t="inlineStr">
        <is>
          <t>VÄSTRA GÖTALANDS LÄN</t>
        </is>
      </c>
      <c r="G360" t="inlineStr">
        <is>
          <t>MARIESTAD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45873</v>
      </c>
      <c r="E361" s="1" t="n">
        <v>46236</v>
      </c>
      <c r="F361" t="inlineStr">
        <is>
          <t>VÄSTRA GÖTALANDS LÄN</t>
        </is>
      </c>
      <c r="G361" t="inlineStr">
        <is>
          <t>MARIESTAD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45875</v>
      </c>
      <c r="E362" s="1" t="n">
        <v>46236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4868-2024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45618</v>
      </c>
      <c r="E363" s="1" t="n">
        <v>46236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1204-2025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45757</v>
      </c>
      <c r="E364" s="1" t="n">
        <v>46236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359-2026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46064</v>
      </c>
      <c r="E365" s="1" t="n">
        <v>46236</v>
      </c>
      <c r="F365" t="inlineStr">
        <is>
          <t>VÄSTRA GÖTALANDS LÄN</t>
        </is>
      </c>
      <c r="G365" t="inlineStr">
        <is>
          <t>MARIESTAD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2026-08-02T01:53:52Z</dcterms:created>
  <dcterms:modified xmlns:dcterms="http://purl.org/dc/terms/" xmlns:xsi="http://www.w3.org/2001/XMLSchema-instance" xsi:type="dcterms:W3CDTF">2026-08-02T01:53:53Z</dcterms:modified>
</cp:coreProperties>
</file>