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45763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45763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45763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45763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45763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45763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45763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45763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45763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45763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45763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45763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45763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45763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45763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8030-2024</t>
        </is>
      </c>
      <c r="B17" s="1" t="n">
        <v>45350</v>
      </c>
      <c r="C17" s="1" t="n">
        <v>45763</v>
      </c>
      <c r="D17" t="inlineStr">
        <is>
          <t>VÄSTRA GÖTALANDS LÄN</t>
        </is>
      </c>
      <c r="E17" t="inlineStr">
        <is>
          <t>MARIESTAD</t>
        </is>
      </c>
      <c r="G17" t="n">
        <v>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HYPERLINK("https://klasma.github.io/Logging_1493/artfynd/A 8030-2024 artfynd.xlsx", "A 8030-2024")</f>
        <v/>
      </c>
      <c r="T17">
        <f>HYPERLINK("https://klasma.github.io/Logging_1493/kartor/A 8030-2024 karta.png", "A 8030-2024")</f>
        <v/>
      </c>
      <c r="V17">
        <f>HYPERLINK("https://klasma.github.io/Logging_1493/klagomål/A 8030-2024 FSC-klagomål.docx", "A 8030-2024")</f>
        <v/>
      </c>
      <c r="W17">
        <f>HYPERLINK("https://klasma.github.io/Logging_1493/klagomålsmail/A 8030-2024 FSC-klagomål mail.docx", "A 8030-2024")</f>
        <v/>
      </c>
      <c r="X17">
        <f>HYPERLINK("https://klasma.github.io/Logging_1493/tillsyn/A 8030-2024 tillsynsbegäran.docx", "A 8030-2024")</f>
        <v/>
      </c>
      <c r="Y17">
        <f>HYPERLINK("https://klasma.github.io/Logging_1493/tillsynsmail/A 8030-2024 tillsynsbegäran mail.docx", "A 8030-2024")</f>
        <v/>
      </c>
    </row>
    <row r="18" ht="15" customHeight="1">
      <c r="A18" t="inlineStr">
        <is>
          <t>A 18498-2019</t>
        </is>
      </c>
      <c r="B18" s="1" t="n">
        <v>43559</v>
      </c>
      <c r="C18" s="1" t="n">
        <v>45763</v>
      </c>
      <c r="D18" t="inlineStr">
        <is>
          <t>VÄSTRA GÖTALANDS LÄN</t>
        </is>
      </c>
      <c r="E18" t="inlineStr">
        <is>
          <t>MARIESTAD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HYPERLINK("https://klasma.github.io/Logging_1493/artfynd/A 18498-2019 artfynd.xlsx", "A 18498-2019")</f>
        <v/>
      </c>
      <c r="T18">
        <f>HYPERLINK("https://klasma.github.io/Logging_1493/kartor/A 18498-2019 karta.png", "A 18498-2019")</f>
        <v/>
      </c>
      <c r="V18">
        <f>HYPERLINK("https://klasma.github.io/Logging_1493/klagomål/A 18498-2019 FSC-klagomål.docx", "A 18498-2019")</f>
        <v/>
      </c>
      <c r="W18">
        <f>HYPERLINK("https://klasma.github.io/Logging_1493/klagomålsmail/A 18498-2019 FSC-klagomål mail.docx", "A 18498-2019")</f>
        <v/>
      </c>
      <c r="X18">
        <f>HYPERLINK("https://klasma.github.io/Logging_1493/tillsyn/A 18498-2019 tillsynsbegäran.docx", "A 18498-2019")</f>
        <v/>
      </c>
      <c r="Y18">
        <f>HYPERLINK("https://klasma.github.io/Logging_1493/tillsynsmail/A 18498-2019 tillsynsbegäran mail.docx", "A 18498-2019")</f>
        <v/>
      </c>
    </row>
    <row r="19" ht="15" customHeight="1">
      <c r="A19" t="inlineStr">
        <is>
          <t>A 33716-2019</t>
        </is>
      </c>
      <c r="B19" s="1" t="n">
        <v>43651</v>
      </c>
      <c r="C19" s="1" t="n">
        <v>45763</v>
      </c>
      <c r="D19" t="inlineStr">
        <is>
          <t>VÄSTRA GÖTALANDS LÄN</t>
        </is>
      </c>
      <c r="E19" t="inlineStr">
        <is>
          <t>MARIESTAD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HYPERLINK("https://klasma.github.io/Logging_1493/artfynd/A 33716-2019 artfynd.xlsx", "A 33716-2019")</f>
        <v/>
      </c>
      <c r="T19">
        <f>HYPERLINK("https://klasma.github.io/Logging_1493/kartor/A 33716-2019 karta.png", "A 33716-2019")</f>
        <v/>
      </c>
      <c r="V19">
        <f>HYPERLINK("https://klasma.github.io/Logging_1493/klagomål/A 33716-2019 FSC-klagomål.docx", "A 33716-2019")</f>
        <v/>
      </c>
      <c r="W19">
        <f>HYPERLINK("https://klasma.github.io/Logging_1493/klagomålsmail/A 33716-2019 FSC-klagomål mail.docx", "A 33716-2019")</f>
        <v/>
      </c>
      <c r="X19">
        <f>HYPERLINK("https://klasma.github.io/Logging_1493/tillsyn/A 33716-2019 tillsynsbegäran.docx", "A 33716-2019")</f>
        <v/>
      </c>
      <c r="Y19">
        <f>HYPERLINK("https://klasma.github.io/Logging_1493/tillsynsmail/A 33716-2019 tillsynsbegäran mail.docx", "A 33716-2019")</f>
        <v/>
      </c>
    </row>
    <row r="20" ht="15" customHeight="1">
      <c r="A20" t="inlineStr">
        <is>
          <t>A 63818-2019</t>
        </is>
      </c>
      <c r="B20" s="1" t="n">
        <v>43795</v>
      </c>
      <c r="C20" s="1" t="n">
        <v>45763</v>
      </c>
      <c r="D20" t="inlineStr">
        <is>
          <t>VÄSTRA GÖTALANDS LÄN</t>
        </is>
      </c>
      <c r="E20" t="inlineStr">
        <is>
          <t>MARIESTAD</t>
        </is>
      </c>
      <c r="G20" t="n">
        <v>3.4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63818-2019 artfynd.xlsx", "A 63818-2019")</f>
        <v/>
      </c>
      <c r="T20">
        <f>HYPERLINK("https://klasma.github.io/Logging_1493/kartor/A 63818-2019 karta.png", "A 63818-2019")</f>
        <v/>
      </c>
      <c r="V20">
        <f>HYPERLINK("https://klasma.github.io/Logging_1493/klagomål/A 63818-2019 FSC-klagomål.docx", "A 63818-2019")</f>
        <v/>
      </c>
      <c r="W20">
        <f>HYPERLINK("https://klasma.github.io/Logging_1493/klagomålsmail/A 63818-2019 FSC-klagomål mail.docx", "A 63818-2019")</f>
        <v/>
      </c>
      <c r="X20">
        <f>HYPERLINK("https://klasma.github.io/Logging_1493/tillsyn/A 63818-2019 tillsynsbegäran.docx", "A 63818-2019")</f>
        <v/>
      </c>
      <c r="Y20">
        <f>HYPERLINK("https://klasma.github.io/Logging_1493/tillsynsmail/A 63818-2019 tillsynsbegäran mail.docx", "A 63818-2019")</f>
        <v/>
      </c>
    </row>
    <row r="21" ht="15" customHeight="1">
      <c r="A21" t="inlineStr">
        <is>
          <t>A 37323-2020</t>
        </is>
      </c>
      <c r="B21" s="1" t="n">
        <v>44055</v>
      </c>
      <c r="C21" s="1" t="n">
        <v>45763</v>
      </c>
      <c r="D21" t="inlineStr">
        <is>
          <t>VÄSTRA GÖTALANDS LÄN</t>
        </is>
      </c>
      <c r="E21" t="inlineStr">
        <is>
          <t>MARIESTAD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HYPERLINK("https://klasma.github.io/Logging_1493/artfynd/A 37323-2020 artfynd.xlsx", "A 37323-2020")</f>
        <v/>
      </c>
      <c r="T21">
        <f>HYPERLINK("https://klasma.github.io/Logging_1493/kartor/A 37323-2020 karta.png", "A 37323-2020")</f>
        <v/>
      </c>
      <c r="V21">
        <f>HYPERLINK("https://klasma.github.io/Logging_1493/klagomål/A 37323-2020 FSC-klagomål.docx", "A 37323-2020")</f>
        <v/>
      </c>
      <c r="W21">
        <f>HYPERLINK("https://klasma.github.io/Logging_1493/klagomålsmail/A 37323-2020 FSC-klagomål mail.docx", "A 37323-2020")</f>
        <v/>
      </c>
      <c r="X21">
        <f>HYPERLINK("https://klasma.github.io/Logging_1493/tillsyn/A 37323-2020 tillsynsbegäran.docx", "A 37323-2020")</f>
        <v/>
      </c>
      <c r="Y21">
        <f>HYPERLINK("https://klasma.github.io/Logging_1493/tillsynsmail/A 37323-2020 tillsynsbegäran mail.docx", "A 37323-2020")</f>
        <v/>
      </c>
    </row>
    <row r="22" ht="15" customHeight="1">
      <c r="A22" t="inlineStr">
        <is>
          <t>A 50811-2020</t>
        </is>
      </c>
      <c r="B22" s="1" t="n">
        <v>44111</v>
      </c>
      <c r="C22" s="1" t="n">
        <v>45763</v>
      </c>
      <c r="D22" t="inlineStr">
        <is>
          <t>VÄSTRA GÖTALANDS LÄN</t>
        </is>
      </c>
      <c r="E22" t="inlineStr">
        <is>
          <t>MARIESTAD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HYPERLINK("https://klasma.github.io/Logging_1493/artfynd/A 50811-2020 artfynd.xlsx", "A 50811-2020")</f>
        <v/>
      </c>
      <c r="T22">
        <f>HYPERLINK("https://klasma.github.io/Logging_1493/kartor/A 50811-2020 karta.png", "A 50811-2020")</f>
        <v/>
      </c>
      <c r="V22">
        <f>HYPERLINK("https://klasma.github.io/Logging_1493/klagomål/A 50811-2020 FSC-klagomål.docx", "A 50811-2020")</f>
        <v/>
      </c>
      <c r="W22">
        <f>HYPERLINK("https://klasma.github.io/Logging_1493/klagomålsmail/A 50811-2020 FSC-klagomål mail.docx", "A 50811-2020")</f>
        <v/>
      </c>
      <c r="X22">
        <f>HYPERLINK("https://klasma.github.io/Logging_1493/tillsyn/A 50811-2020 tillsynsbegäran.docx", "A 50811-2020")</f>
        <v/>
      </c>
      <c r="Y22">
        <f>HYPERLINK("https://klasma.github.io/Logging_1493/tillsynsmail/A 50811-2020 tillsynsbegäran mail.docx", "A 50811-2020")</f>
        <v/>
      </c>
    </row>
    <row r="23" ht="15" customHeight="1">
      <c r="A23" t="inlineStr">
        <is>
          <t>A 56400-2020</t>
        </is>
      </c>
      <c r="B23" s="1" t="n">
        <v>44137</v>
      </c>
      <c r="C23" s="1" t="n">
        <v>45763</v>
      </c>
      <c r="D23" t="inlineStr">
        <is>
          <t>VÄSTRA GÖTALANDS LÄN</t>
        </is>
      </c>
      <c r="E23" t="inlineStr">
        <is>
          <t>MARIESTAD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HYPERLINK("https://klasma.github.io/Logging_1493/artfynd/A 56400-2020 artfynd.xlsx", "A 56400-2020")</f>
        <v/>
      </c>
      <c r="T23">
        <f>HYPERLINK("https://klasma.github.io/Logging_1493/kartor/A 56400-2020 karta.png", "A 56400-2020")</f>
        <v/>
      </c>
      <c r="V23">
        <f>HYPERLINK("https://klasma.github.io/Logging_1493/klagomål/A 56400-2020 FSC-klagomål.docx", "A 56400-2020")</f>
        <v/>
      </c>
      <c r="W23">
        <f>HYPERLINK("https://klasma.github.io/Logging_1493/klagomålsmail/A 56400-2020 FSC-klagomål mail.docx", "A 56400-2020")</f>
        <v/>
      </c>
      <c r="X23">
        <f>HYPERLINK("https://klasma.github.io/Logging_1493/tillsyn/A 56400-2020 tillsynsbegäran.docx", "A 56400-2020")</f>
        <v/>
      </c>
      <c r="Y23">
        <f>HYPERLINK("https://klasma.github.io/Logging_1493/tillsynsmail/A 56400-2020 tillsynsbegäran mail.docx", "A 56400-2020")</f>
        <v/>
      </c>
    </row>
    <row r="24" ht="15" customHeight="1">
      <c r="A24" t="inlineStr">
        <is>
          <t>A 64046-2020</t>
        </is>
      </c>
      <c r="B24" s="1" t="n">
        <v>44167</v>
      </c>
      <c r="C24" s="1" t="n">
        <v>45763</v>
      </c>
      <c r="D24" t="inlineStr">
        <is>
          <t>VÄSTRA GÖTALANDS LÄN</t>
        </is>
      </c>
      <c r="E24" t="inlineStr">
        <is>
          <t>MARIESTAD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HYPERLINK("https://klasma.github.io/Logging_1493/artfynd/A 64046-2020 artfynd.xlsx", "A 64046-2020")</f>
        <v/>
      </c>
      <c r="T24">
        <f>HYPERLINK("https://klasma.github.io/Logging_1493/kartor/A 64046-2020 karta.png", "A 64046-2020")</f>
        <v/>
      </c>
      <c r="V24">
        <f>HYPERLINK("https://klasma.github.io/Logging_1493/klagomål/A 64046-2020 FSC-klagomål.docx", "A 64046-2020")</f>
        <v/>
      </c>
      <c r="W24">
        <f>HYPERLINK("https://klasma.github.io/Logging_1493/klagomålsmail/A 64046-2020 FSC-klagomål mail.docx", "A 64046-2020")</f>
        <v/>
      </c>
      <c r="X24">
        <f>HYPERLINK("https://klasma.github.io/Logging_1493/tillsyn/A 64046-2020 tillsynsbegäran.docx", "A 64046-2020")</f>
        <v/>
      </c>
      <c r="Y24">
        <f>HYPERLINK("https://klasma.github.io/Logging_1493/tillsynsmail/A 64046-2020 tillsynsbegäran mail.docx", "A 64046-2020")</f>
        <v/>
      </c>
    </row>
    <row r="25" ht="15" customHeight="1">
      <c r="A25" t="inlineStr">
        <is>
          <t>A 51265-2021</t>
        </is>
      </c>
      <c r="B25" s="1" t="n">
        <v>44461</v>
      </c>
      <c r="C25" s="1" t="n">
        <v>45763</v>
      </c>
      <c r="D25" t="inlineStr">
        <is>
          <t>VÄSTRA GÖTALANDS LÄN</t>
        </is>
      </c>
      <c r="E25" t="inlineStr">
        <is>
          <t>MARIESTAD</t>
        </is>
      </c>
      <c r="G25" t="n">
        <v>30.9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HYPERLINK("https://klasma.github.io/Logging_1493/artfynd/A 51265-2021 artfynd.xlsx", "A 51265-2021")</f>
        <v/>
      </c>
      <c r="T25">
        <f>HYPERLINK("https://klasma.github.io/Logging_1493/kartor/A 51265-2021 karta.png", "A 51265-2021")</f>
        <v/>
      </c>
      <c r="V25">
        <f>HYPERLINK("https://klasma.github.io/Logging_1493/klagomål/A 51265-2021 FSC-klagomål.docx", "A 51265-2021")</f>
        <v/>
      </c>
      <c r="W25">
        <f>HYPERLINK("https://klasma.github.io/Logging_1493/klagomålsmail/A 51265-2021 FSC-klagomål mail.docx", "A 51265-2021")</f>
        <v/>
      </c>
      <c r="X25">
        <f>HYPERLINK("https://klasma.github.io/Logging_1493/tillsyn/A 51265-2021 tillsynsbegäran.docx", "A 51265-2021")</f>
        <v/>
      </c>
      <c r="Y25">
        <f>HYPERLINK("https://klasma.github.io/Logging_1493/tillsynsmail/A 51265-2021 tillsynsbegäran mail.docx", "A 51265-2021")</f>
        <v/>
      </c>
      <c r="Z25">
        <f>HYPERLINK("https://klasma.github.io/Logging_1493/fåglar/A 51265-2021 prioriterade fågelarter.docx", "A 51265-2021")</f>
        <v/>
      </c>
    </row>
    <row r="26" ht="15" customHeight="1">
      <c r="A26" t="inlineStr">
        <is>
          <t>A 8262-2022</t>
        </is>
      </c>
      <c r="B26" s="1" t="n">
        <v>44610</v>
      </c>
      <c r="C26" s="1" t="n">
        <v>45763</v>
      </c>
      <c r="D26" t="inlineStr">
        <is>
          <t>VÄSTRA GÖTALANDS LÄN</t>
        </is>
      </c>
      <c r="E26" t="inlineStr">
        <is>
          <t>MARIESTAD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HYPERLINK("https://klasma.github.io/Logging_1493/artfynd/A 8262-2022 artfynd.xlsx", "A 8262-2022")</f>
        <v/>
      </c>
      <c r="T26">
        <f>HYPERLINK("https://klasma.github.io/Logging_1493/kartor/A 8262-2022 karta.png", "A 8262-2022")</f>
        <v/>
      </c>
      <c r="V26">
        <f>HYPERLINK("https://klasma.github.io/Logging_1493/klagomål/A 8262-2022 FSC-klagomål.docx", "A 8262-2022")</f>
        <v/>
      </c>
      <c r="W26">
        <f>HYPERLINK("https://klasma.github.io/Logging_1493/klagomålsmail/A 8262-2022 FSC-klagomål mail.docx", "A 8262-2022")</f>
        <v/>
      </c>
      <c r="X26">
        <f>HYPERLINK("https://klasma.github.io/Logging_1493/tillsyn/A 8262-2022 tillsynsbegäran.docx", "A 8262-2022")</f>
        <v/>
      </c>
      <c r="Y26">
        <f>HYPERLINK("https://klasma.github.io/Logging_1493/tillsynsmail/A 8262-2022 tillsynsbegäran mail.docx", "A 8262-2022")</f>
        <v/>
      </c>
      <c r="Z26">
        <f>HYPERLINK("https://klasma.github.io/Logging_1493/fåglar/A 8262-2022 prioriterade fågelarter.docx", "A 8262-2022")</f>
        <v/>
      </c>
    </row>
    <row r="27" ht="15" customHeight="1">
      <c r="A27" t="inlineStr">
        <is>
          <t>A 28160-2022</t>
        </is>
      </c>
      <c r="B27" s="1" t="n">
        <v>44746</v>
      </c>
      <c r="C27" s="1" t="n">
        <v>45763</v>
      </c>
      <c r="D27" t="inlineStr">
        <is>
          <t>VÄSTRA GÖTALANDS LÄN</t>
        </is>
      </c>
      <c r="E27" t="inlineStr">
        <is>
          <t>MARIESTAD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HYPERLINK("https://klasma.github.io/Logging_1493/artfynd/A 28160-2022 artfynd.xlsx", "A 28160-2022")</f>
        <v/>
      </c>
      <c r="T27">
        <f>HYPERLINK("https://klasma.github.io/Logging_1493/kartor/A 28160-2022 karta.png", "A 28160-2022")</f>
        <v/>
      </c>
      <c r="V27">
        <f>HYPERLINK("https://klasma.github.io/Logging_1493/klagomål/A 28160-2022 FSC-klagomål.docx", "A 28160-2022")</f>
        <v/>
      </c>
      <c r="W27">
        <f>HYPERLINK("https://klasma.github.io/Logging_1493/klagomålsmail/A 28160-2022 FSC-klagomål mail.docx", "A 28160-2022")</f>
        <v/>
      </c>
      <c r="X27">
        <f>HYPERLINK("https://klasma.github.io/Logging_1493/tillsyn/A 28160-2022 tillsynsbegäran.docx", "A 28160-2022")</f>
        <v/>
      </c>
      <c r="Y27">
        <f>HYPERLINK("https://klasma.github.io/Logging_1493/tillsynsmail/A 28160-2022 tillsynsbegäran mail.docx", "A 28160-2022")</f>
        <v/>
      </c>
    </row>
    <row r="28" ht="15" customHeight="1">
      <c r="A28" t="inlineStr">
        <is>
          <t>A 53880-2022</t>
        </is>
      </c>
      <c r="B28" s="1" t="n">
        <v>44880</v>
      </c>
      <c r="C28" s="1" t="n">
        <v>45763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8144-2023</t>
        </is>
      </c>
      <c r="B29" s="1" t="n">
        <v>44974</v>
      </c>
      <c r="C29" s="1" t="n">
        <v>45763</v>
      </c>
      <c r="D29" t="inlineStr">
        <is>
          <t>VÄSTRA GÖTALANDS LÄN</t>
        </is>
      </c>
      <c r="E29" t="inlineStr">
        <is>
          <t>MARIESTAD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Tornseglare</t>
        </is>
      </c>
      <c r="S29">
        <f>HYPERLINK("https://klasma.github.io/Logging_1493/artfynd/A 8144-2023 artfynd.xlsx", "A 8144-2023")</f>
        <v/>
      </c>
      <c r="T29">
        <f>HYPERLINK("https://klasma.github.io/Logging_1493/kartor/A 8144-2023 karta.png", "A 8144-2023")</f>
        <v/>
      </c>
      <c r="V29">
        <f>HYPERLINK("https://klasma.github.io/Logging_1493/klagomål/A 8144-2023 FSC-klagomål.docx", "A 8144-2023")</f>
        <v/>
      </c>
      <c r="W29">
        <f>HYPERLINK("https://klasma.github.io/Logging_1493/klagomålsmail/A 8144-2023 FSC-klagomål mail.docx", "A 8144-2023")</f>
        <v/>
      </c>
      <c r="X29">
        <f>HYPERLINK("https://klasma.github.io/Logging_1493/tillsyn/A 8144-2023 tillsynsbegäran.docx", "A 8144-2023")</f>
        <v/>
      </c>
      <c r="Y29">
        <f>HYPERLINK("https://klasma.github.io/Logging_1493/tillsynsmail/A 8144-2023 tillsynsbegäran mail.docx", "A 8144-2023")</f>
        <v/>
      </c>
      <c r="Z29">
        <f>HYPERLINK("https://klasma.github.io/Logging_1493/fåglar/A 8144-2023 prioriterade fågelarter.docx", "A 8144-2023")</f>
        <v/>
      </c>
    </row>
    <row r="30" ht="15" customHeight="1">
      <c r="A30" t="inlineStr">
        <is>
          <t>A 17272-2023</t>
        </is>
      </c>
      <c r="B30" s="1" t="n">
        <v>45035</v>
      </c>
      <c r="C30" s="1" t="n">
        <v>45763</v>
      </c>
      <c r="D30" t="inlineStr">
        <is>
          <t>VÄSTRA GÖTALANDS LÄN</t>
        </is>
      </c>
      <c r="E30" t="inlineStr">
        <is>
          <t>MARIESTAD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HYPERLINK("https://klasma.github.io/Logging_1493/artfynd/A 17272-2023 artfynd.xlsx", "A 17272-2023")</f>
        <v/>
      </c>
      <c r="T30">
        <f>HYPERLINK("https://klasma.github.io/Logging_1493/kartor/A 17272-2023 karta.png", "A 17272-2023")</f>
        <v/>
      </c>
      <c r="V30">
        <f>HYPERLINK("https://klasma.github.io/Logging_1493/klagomål/A 17272-2023 FSC-klagomål.docx", "A 17272-2023")</f>
        <v/>
      </c>
      <c r="W30">
        <f>HYPERLINK("https://klasma.github.io/Logging_1493/klagomålsmail/A 17272-2023 FSC-klagomål mail.docx", "A 17272-2023")</f>
        <v/>
      </c>
      <c r="X30">
        <f>HYPERLINK("https://klasma.github.io/Logging_1493/tillsyn/A 17272-2023 tillsynsbegäran.docx", "A 17272-2023")</f>
        <v/>
      </c>
      <c r="Y30">
        <f>HYPERLINK("https://klasma.github.io/Logging_1493/tillsynsmail/A 17272-2023 tillsynsbegäran mail.docx", "A 17272-2023")</f>
        <v/>
      </c>
    </row>
    <row r="31" ht="15" customHeight="1">
      <c r="A31" t="inlineStr">
        <is>
          <t>A 49233-2023</t>
        </is>
      </c>
      <c r="B31" s="1" t="n">
        <v>45210</v>
      </c>
      <c r="C31" s="1" t="n">
        <v>45763</v>
      </c>
      <c r="D31" t="inlineStr">
        <is>
          <t>VÄSTRA GÖTALANDS LÄN</t>
        </is>
      </c>
      <c r="E31" t="inlineStr">
        <is>
          <t>MARIESTAD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HYPERLINK("https://klasma.github.io/Logging_1493/artfynd/A 49233-2023 artfynd.xlsx", "A 49233-2023")</f>
        <v/>
      </c>
      <c r="T31">
        <f>HYPERLINK("https://klasma.github.io/Logging_1493/kartor/A 49233-2023 karta.png", "A 49233-2023")</f>
        <v/>
      </c>
      <c r="V31">
        <f>HYPERLINK("https://klasma.github.io/Logging_1493/klagomål/A 49233-2023 FSC-klagomål.docx", "A 49233-2023")</f>
        <v/>
      </c>
      <c r="W31">
        <f>HYPERLINK("https://klasma.github.io/Logging_1493/klagomålsmail/A 49233-2023 FSC-klagomål mail.docx", "A 49233-2023")</f>
        <v/>
      </c>
      <c r="X31">
        <f>HYPERLINK("https://klasma.github.io/Logging_1493/tillsyn/A 49233-2023 tillsynsbegäran.docx", "A 49233-2023")</f>
        <v/>
      </c>
      <c r="Y31">
        <f>HYPERLINK("https://klasma.github.io/Logging_1493/tillsynsmail/A 49233-2023 tillsynsbegäran mail.docx", "A 49233-2023")</f>
        <v/>
      </c>
    </row>
    <row r="32" ht="15" customHeight="1">
      <c r="A32" t="inlineStr">
        <is>
          <t>A 5162-2024</t>
        </is>
      </c>
      <c r="B32" s="1" t="n">
        <v>45330</v>
      </c>
      <c r="C32" s="1" t="n">
        <v>45763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brunfladdermus</t>
        </is>
      </c>
      <c r="S32">
        <f>HYPERLINK("https://klasma.github.io/Logging_1493/artfynd/A 5162-2024 artfynd.xlsx", "A 5162-2024")</f>
        <v/>
      </c>
      <c r="T32">
        <f>HYPERLINK("https://klasma.github.io/Logging_1493/kartor/A 5162-2024 karta.png", "A 5162-2024")</f>
        <v/>
      </c>
      <c r="V32">
        <f>HYPERLINK("https://klasma.github.io/Logging_1493/klagomål/A 5162-2024 FSC-klagomål.docx", "A 5162-2024")</f>
        <v/>
      </c>
      <c r="W32">
        <f>HYPERLINK("https://klasma.github.io/Logging_1493/klagomålsmail/A 5162-2024 FSC-klagomål mail.docx", "A 5162-2024")</f>
        <v/>
      </c>
      <c r="X32">
        <f>HYPERLINK("https://klasma.github.io/Logging_1493/tillsyn/A 5162-2024 tillsynsbegäran.docx", "A 5162-2024")</f>
        <v/>
      </c>
      <c r="Y32">
        <f>HYPERLINK("https://klasma.github.io/Logging_1493/tillsynsmail/A 5162-2024 tillsynsbegäran mail.docx", "A 5162-2024")</f>
        <v/>
      </c>
    </row>
    <row r="33" ht="15" customHeight="1">
      <c r="A33" t="inlineStr">
        <is>
          <t>A 9650-2025</t>
        </is>
      </c>
      <c r="B33" s="1" t="n">
        <v>45716</v>
      </c>
      <c r="C33" s="1" t="n">
        <v>45763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HYPERLINK("https://klasma.github.io/Logging_141493/artfynd/A 9650-2025 artfynd.xlsx", "A 9650-2025")</f>
        <v/>
      </c>
      <c r="T33">
        <f>HYPERLINK("https://klasma.github.io/Logging_141493/kartor/A 9650-2025 karta.png", "A 9650-2025")</f>
        <v/>
      </c>
      <c r="V33">
        <f>HYPERLINK("https://klasma.github.io/Logging_141493/klagomål/A 9650-2025 FSC-klagomål.docx", "A 9650-2025")</f>
        <v/>
      </c>
      <c r="W33">
        <f>HYPERLINK("https://klasma.github.io/Logging_141493/klagomålsmail/A 9650-2025 FSC-klagomål mail.docx", "A 9650-2025")</f>
        <v/>
      </c>
      <c r="X33">
        <f>HYPERLINK("https://klasma.github.io/Logging_141493/tillsyn/A 9650-2025 tillsynsbegäran.docx", "A 9650-2025")</f>
        <v/>
      </c>
      <c r="Y33">
        <f>HYPERLINK("https://klasma.github.io/Logging_141493/tillsynsmail/A 9650-2025 tillsynsbegäran mail.docx", "A 9650-2025")</f>
        <v/>
      </c>
    </row>
    <row r="34" ht="15" customHeight="1">
      <c r="A34" t="inlineStr">
        <is>
          <t>A 18176-2025</t>
        </is>
      </c>
      <c r="B34" s="1" t="n">
        <v>45761</v>
      </c>
      <c r="C34" s="1" t="n">
        <v>45763</v>
      </c>
      <c r="D34" t="inlineStr">
        <is>
          <t>VÄSTRA GÖTALANDS LÄN</t>
        </is>
      </c>
      <c r="E34" t="inlineStr">
        <is>
          <t>MARIESTAD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HYPERLINK("https://klasma.github.io/Logging_141493/artfynd/A 18176-2025 artfynd.xlsx", "A 18176-2025")</f>
        <v/>
      </c>
      <c r="T34">
        <f>HYPERLINK("https://klasma.github.io/Logging_141493/kartor/A 18176-2025 karta.png", "A 18176-2025")</f>
        <v/>
      </c>
      <c r="V34">
        <f>HYPERLINK("https://klasma.github.io/Logging_141493/klagomål/A 18176-2025 FSC-klagomål.docx", "A 18176-2025")</f>
        <v/>
      </c>
      <c r="W34">
        <f>HYPERLINK("https://klasma.github.io/Logging_141493/klagomålsmail/A 18176-2025 FSC-klagomål mail.docx", "A 18176-2025")</f>
        <v/>
      </c>
      <c r="X34">
        <f>HYPERLINK("https://klasma.github.io/Logging_141493/tillsyn/A 18176-2025 tillsynsbegäran.docx", "A 18176-2025")</f>
        <v/>
      </c>
      <c r="Y34">
        <f>HYPERLINK("https://klasma.github.io/Logging_141493/tillsynsmail/A 18176-2025 tillsynsbegäran mail.docx", "A 18176-2025")</f>
        <v/>
      </c>
    </row>
    <row r="35" ht="15" customHeight="1">
      <c r="A35" t="inlineStr">
        <is>
          <t>A 17687-2019</t>
        </is>
      </c>
      <c r="B35" s="1" t="n">
        <v>43556</v>
      </c>
      <c r="C35" s="1" t="n">
        <v>45763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20108-2019</t>
        </is>
      </c>
      <c r="B36" s="1" t="n">
        <v>43570</v>
      </c>
      <c r="C36" s="1" t="n">
        <v>45763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Kyrkan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20160-2019</t>
        </is>
      </c>
      <c r="B37" s="1" t="n">
        <v>43570</v>
      </c>
      <c r="C37" s="1" t="n">
        <v>45763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20552-2019</t>
        </is>
      </c>
      <c r="B38" s="1" t="n">
        <v>43572</v>
      </c>
      <c r="C38" s="1" t="n">
        <v>45763</v>
      </c>
      <c r="D38" t="inlineStr">
        <is>
          <t>VÄSTRA GÖTALANDS LÄN</t>
        </is>
      </c>
      <c r="E38" t="inlineStr">
        <is>
          <t>MARIESTAD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22225-2019</t>
        </is>
      </c>
      <c r="B39" s="1" t="n">
        <v>43585</v>
      </c>
      <c r="C39" s="1" t="n">
        <v>45763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22981-2019</t>
        </is>
      </c>
      <c r="B40" s="1" t="n">
        <v>43591</v>
      </c>
      <c r="C40" s="1" t="n">
        <v>45763</v>
      </c>
      <c r="D40" t="inlineStr">
        <is>
          <t>VÄSTRA GÖTALANDS LÄN</t>
        </is>
      </c>
      <c r="E40" t="inlineStr">
        <is>
          <t>MARIESTAD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23190-2019</t>
        </is>
      </c>
      <c r="B41" s="1" t="n">
        <v>43592</v>
      </c>
      <c r="C41" s="1" t="n">
        <v>45763</v>
      </c>
      <c r="D41" t="inlineStr">
        <is>
          <t>VÄSTRA GÖTALANDS LÄN</t>
        </is>
      </c>
      <c r="E41" t="inlineStr">
        <is>
          <t>MARIESTAD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23401-2019</t>
        </is>
      </c>
      <c r="B42" s="1" t="n">
        <v>43593</v>
      </c>
      <c r="C42" s="1" t="n">
        <v>45763</v>
      </c>
      <c r="D42" t="inlineStr">
        <is>
          <t>VÄSTRA GÖTALANDS LÄN</t>
        </is>
      </c>
      <c r="E42" t="inlineStr">
        <is>
          <t>MARIESTAD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23413-2019</t>
        </is>
      </c>
      <c r="B43" s="1" t="n">
        <v>43593</v>
      </c>
      <c r="C43" s="1" t="n">
        <v>45763</v>
      </c>
      <c r="D43" t="inlineStr">
        <is>
          <t>VÄSTRA GÖTALANDS LÄN</t>
        </is>
      </c>
      <c r="E43" t="inlineStr">
        <is>
          <t>MARIESTAD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23404-2019</t>
        </is>
      </c>
      <c r="B44" s="1" t="n">
        <v>43593</v>
      </c>
      <c r="C44" s="1" t="n">
        <v>45763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24121-2019</t>
        </is>
      </c>
      <c r="B45" s="1" t="n">
        <v>43598</v>
      </c>
      <c r="C45" s="1" t="n">
        <v>45763</v>
      </c>
      <c r="D45" t="inlineStr">
        <is>
          <t>VÄSTRA GÖTALANDS LÄN</t>
        </is>
      </c>
      <c r="E45" t="inlineStr">
        <is>
          <t>MARIESTAD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25161-2019</t>
        </is>
      </c>
      <c r="B46" s="1" t="n">
        <v>43605</v>
      </c>
      <c r="C46" s="1" t="n">
        <v>45763</v>
      </c>
      <c r="D46" t="inlineStr">
        <is>
          <t>VÄSTRA GÖTALANDS LÄN</t>
        </is>
      </c>
      <c r="E46" t="inlineStr">
        <is>
          <t>MARIESTAD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26801-2019</t>
        </is>
      </c>
      <c r="B47" s="1" t="n">
        <v>43613</v>
      </c>
      <c r="C47" s="1" t="n">
        <v>45763</v>
      </c>
      <c r="D47" t="inlineStr">
        <is>
          <t>VÄSTRA GÖTALANDS LÄN</t>
        </is>
      </c>
      <c r="E47" t="inlineStr">
        <is>
          <t>MARIESTAD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26803-2019</t>
        </is>
      </c>
      <c r="B48" s="1" t="n">
        <v>43613</v>
      </c>
      <c r="C48" s="1" t="n">
        <v>45763</v>
      </c>
      <c r="D48" t="inlineStr">
        <is>
          <t>VÄSTRA GÖTALANDS LÄN</t>
        </is>
      </c>
      <c r="E48" t="inlineStr">
        <is>
          <t>MARIESTAD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26799-2019</t>
        </is>
      </c>
      <c r="B49" s="1" t="n">
        <v>43613</v>
      </c>
      <c r="C49" s="1" t="n">
        <v>45763</v>
      </c>
      <c r="D49" t="inlineStr">
        <is>
          <t>VÄSTRA GÖTALANDS LÄN</t>
        </is>
      </c>
      <c r="E49" t="inlineStr">
        <is>
          <t>MARIESTAD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28847-2019</t>
        </is>
      </c>
      <c r="B50" s="1" t="n">
        <v>43627</v>
      </c>
      <c r="C50" s="1" t="n">
        <v>45763</v>
      </c>
      <c r="D50" t="inlineStr">
        <is>
          <t>VÄSTRA GÖTALANDS LÄN</t>
        </is>
      </c>
      <c r="E50" t="inlineStr">
        <is>
          <t>MARIESTAD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31065-2019</t>
        </is>
      </c>
      <c r="B51" s="1" t="n">
        <v>43640</v>
      </c>
      <c r="C51" s="1" t="n">
        <v>45763</v>
      </c>
      <c r="D51" t="inlineStr">
        <is>
          <t>VÄSTRA GÖTALANDS LÄN</t>
        </is>
      </c>
      <c r="E51" t="inlineStr">
        <is>
          <t>MARIESTAD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31073-2019</t>
        </is>
      </c>
      <c r="B52" s="1" t="n">
        <v>43640</v>
      </c>
      <c r="C52" s="1" t="n">
        <v>45763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31682-2019</t>
        </is>
      </c>
      <c r="B53" s="1" t="n">
        <v>43642</v>
      </c>
      <c r="C53" s="1" t="n">
        <v>45763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32333-2019</t>
        </is>
      </c>
      <c r="B54" s="1" t="n">
        <v>43644</v>
      </c>
      <c r="C54" s="1" t="n">
        <v>45763</v>
      </c>
      <c r="D54" t="inlineStr">
        <is>
          <t>VÄSTRA GÖTALANDS LÄN</t>
        </is>
      </c>
      <c r="E54" t="inlineStr">
        <is>
          <t>MARIESTAD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32334-2019</t>
        </is>
      </c>
      <c r="B55" s="1" t="n">
        <v>43644</v>
      </c>
      <c r="C55" s="1" t="n">
        <v>45763</v>
      </c>
      <c r="D55" t="inlineStr">
        <is>
          <t>VÄSTRA GÖTALANDS LÄN</t>
        </is>
      </c>
      <c r="E55" t="inlineStr">
        <is>
          <t>MARIESTAD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32462-2019</t>
        </is>
      </c>
      <c r="B56" s="1" t="n">
        <v>43644</v>
      </c>
      <c r="C56" s="1" t="n">
        <v>45763</v>
      </c>
      <c r="D56" t="inlineStr">
        <is>
          <t>VÄSTRA GÖTALANDS LÄN</t>
        </is>
      </c>
      <c r="E56" t="inlineStr">
        <is>
          <t>MARIESTAD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32377-2019</t>
        </is>
      </c>
      <c r="B57" s="1" t="n">
        <v>43644</v>
      </c>
      <c r="C57" s="1" t="n">
        <v>45763</v>
      </c>
      <c r="D57" t="inlineStr">
        <is>
          <t>VÄSTRA GÖTALANDS LÄN</t>
        </is>
      </c>
      <c r="E57" t="inlineStr">
        <is>
          <t>MARIESTAD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32464-2019</t>
        </is>
      </c>
      <c r="B58" s="1" t="n">
        <v>43644</v>
      </c>
      <c r="C58" s="1" t="n">
        <v>45763</v>
      </c>
      <c r="D58" t="inlineStr">
        <is>
          <t>VÄSTRA GÖTALANDS LÄN</t>
        </is>
      </c>
      <c r="E58" t="inlineStr">
        <is>
          <t>MARIESTAD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32332-2019</t>
        </is>
      </c>
      <c r="B59" s="1" t="n">
        <v>43644</v>
      </c>
      <c r="C59" s="1" t="n">
        <v>45763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32601-2019</t>
        </is>
      </c>
      <c r="B60" s="1" t="n">
        <v>43647</v>
      </c>
      <c r="C60" s="1" t="n">
        <v>45763</v>
      </c>
      <c r="D60" t="inlineStr">
        <is>
          <t>VÄSTRA GÖTALANDS LÄN</t>
        </is>
      </c>
      <c r="E60" t="inlineStr">
        <is>
          <t>MARIESTAD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32649-2019</t>
        </is>
      </c>
      <c r="B61" s="1" t="n">
        <v>43647</v>
      </c>
      <c r="C61" s="1" t="n">
        <v>45763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33030-2019</t>
        </is>
      </c>
      <c r="B62" s="1" t="n">
        <v>43649</v>
      </c>
      <c r="C62" s="1" t="n">
        <v>45763</v>
      </c>
      <c r="D62" t="inlineStr">
        <is>
          <t>VÄSTRA GÖTALANDS LÄN</t>
        </is>
      </c>
      <c r="E62" t="inlineStr">
        <is>
          <t>MARIESTAD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33027-2019</t>
        </is>
      </c>
      <c r="B63" s="1" t="n">
        <v>43649</v>
      </c>
      <c r="C63" s="1" t="n">
        <v>45763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33713-2019</t>
        </is>
      </c>
      <c r="B64" s="1" t="n">
        <v>43651</v>
      </c>
      <c r="C64" s="1" t="n">
        <v>45763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34342-2019</t>
        </is>
      </c>
      <c r="B65" s="1" t="n">
        <v>43656</v>
      </c>
      <c r="C65" s="1" t="n">
        <v>45763</v>
      </c>
      <c r="D65" t="inlineStr">
        <is>
          <t>VÄSTRA GÖTALANDS LÄN</t>
        </is>
      </c>
      <c r="E65" t="inlineStr">
        <is>
          <t>MARIESTAD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36764-2019</t>
        </is>
      </c>
      <c r="B66" s="1" t="n">
        <v>43672</v>
      </c>
      <c r="C66" s="1" t="n">
        <v>45763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36762-2019</t>
        </is>
      </c>
      <c r="B67" s="1" t="n">
        <v>43672</v>
      </c>
      <c r="C67" s="1" t="n">
        <v>45763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36769-2019</t>
        </is>
      </c>
      <c r="B68" s="1" t="n">
        <v>43672</v>
      </c>
      <c r="C68" s="1" t="n">
        <v>45763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36768-2019</t>
        </is>
      </c>
      <c r="B69" s="1" t="n">
        <v>43672</v>
      </c>
      <c r="C69" s="1" t="n">
        <v>45763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37217-2019</t>
        </is>
      </c>
      <c r="B70" s="1" t="n">
        <v>43677</v>
      </c>
      <c r="C70" s="1" t="n">
        <v>45763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37238-2019</t>
        </is>
      </c>
      <c r="B71" s="1" t="n">
        <v>43677</v>
      </c>
      <c r="C71" s="1" t="n">
        <v>45763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37242-2019</t>
        </is>
      </c>
      <c r="B72" s="1" t="n">
        <v>43677</v>
      </c>
      <c r="C72" s="1" t="n">
        <v>45763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37336-2019</t>
        </is>
      </c>
      <c r="B73" s="1" t="n">
        <v>43678</v>
      </c>
      <c r="C73" s="1" t="n">
        <v>45763</v>
      </c>
      <c r="D73" t="inlineStr">
        <is>
          <t>VÄSTRA GÖTALANDS LÄN</t>
        </is>
      </c>
      <c r="E73" t="inlineStr">
        <is>
          <t>MARIESTAD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39041-2019</t>
        </is>
      </c>
      <c r="B74" s="1" t="n">
        <v>43689</v>
      </c>
      <c r="C74" s="1" t="n">
        <v>45763</v>
      </c>
      <c r="D74" t="inlineStr">
        <is>
          <t>VÄSTRA GÖTALANDS LÄN</t>
        </is>
      </c>
      <c r="E74" t="inlineStr">
        <is>
          <t>MARIESTAD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43437-2019</t>
        </is>
      </c>
      <c r="B75" s="1" t="n">
        <v>43704</v>
      </c>
      <c r="C75" s="1" t="n">
        <v>45763</v>
      </c>
      <c r="D75" t="inlineStr">
        <is>
          <t>VÄSTRA GÖTALANDS LÄN</t>
        </is>
      </c>
      <c r="E75" t="inlineStr">
        <is>
          <t>MARIESTAD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43278-2019</t>
        </is>
      </c>
      <c r="B76" s="1" t="n">
        <v>43706</v>
      </c>
      <c r="C76" s="1" t="n">
        <v>45763</v>
      </c>
      <c r="D76" t="inlineStr">
        <is>
          <t>VÄSTRA GÖTALANDS LÄN</t>
        </is>
      </c>
      <c r="E76" t="inlineStr">
        <is>
          <t>MARIESTAD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43341-2019</t>
        </is>
      </c>
      <c r="B77" s="1" t="n">
        <v>43706</v>
      </c>
      <c r="C77" s="1" t="n">
        <v>45763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HYPERLINK("https://klasma.github.io/Logging_1493/knärot/A 43341-2019 karta knärot.png", "A 43341-2019")</f>
        <v/>
      </c>
      <c r="V77">
        <f>HYPERLINK("https://klasma.github.io/Logging_1493/klagomål/A 43341-2019 FSC-klagomål.docx", "A 43341-2019")</f>
        <v/>
      </c>
      <c r="W77">
        <f>HYPERLINK("https://klasma.github.io/Logging_1493/klagomålsmail/A 43341-2019 FSC-klagomål mail.docx", "A 43341-2019")</f>
        <v/>
      </c>
      <c r="X77">
        <f>HYPERLINK("https://klasma.github.io/Logging_1493/tillsyn/A 43341-2019 tillsynsbegäran.docx", "A 43341-2019")</f>
        <v/>
      </c>
      <c r="Y77">
        <f>HYPERLINK("https://klasma.github.io/Logging_1493/tillsynsmail/A 43341-2019 tillsynsbegäran mail.docx", "A 43341-2019")</f>
        <v/>
      </c>
    </row>
    <row r="78" ht="15" customHeight="1">
      <c r="A78" t="inlineStr">
        <is>
          <t>A 44748-2019</t>
        </is>
      </c>
      <c r="B78" s="1" t="n">
        <v>43712</v>
      </c>
      <c r="C78" s="1" t="n">
        <v>45763</v>
      </c>
      <c r="D78" t="inlineStr">
        <is>
          <t>VÄSTRA GÖTALANDS LÄN</t>
        </is>
      </c>
      <c r="E78" t="inlineStr">
        <is>
          <t>MARIESTAD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45177-2019</t>
        </is>
      </c>
      <c r="B79" s="1" t="n">
        <v>43713</v>
      </c>
      <c r="C79" s="1" t="n">
        <v>45763</v>
      </c>
      <c r="D79" t="inlineStr">
        <is>
          <t>VÄSTRA GÖTALANDS LÄN</t>
        </is>
      </c>
      <c r="E79" t="inlineStr">
        <is>
          <t>MARIESTAD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45710-2019</t>
        </is>
      </c>
      <c r="B80" s="1" t="n">
        <v>43717</v>
      </c>
      <c r="C80" s="1" t="n">
        <v>45763</v>
      </c>
      <c r="D80" t="inlineStr">
        <is>
          <t>VÄSTRA GÖTALANDS LÄN</t>
        </is>
      </c>
      <c r="E80" t="inlineStr">
        <is>
          <t>MARIESTAD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47231-2019</t>
        </is>
      </c>
      <c r="B81" s="1" t="n">
        <v>43721</v>
      </c>
      <c r="C81" s="1" t="n">
        <v>45763</v>
      </c>
      <c r="D81" t="inlineStr">
        <is>
          <t>VÄSTRA GÖTALANDS LÄN</t>
        </is>
      </c>
      <c r="E81" t="inlineStr">
        <is>
          <t>MARIESTAD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49176-2019</t>
        </is>
      </c>
      <c r="B82" s="1" t="n">
        <v>43727</v>
      </c>
      <c r="C82" s="1" t="n">
        <v>45763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48870-2019</t>
        </is>
      </c>
      <c r="B83" s="1" t="n">
        <v>43728</v>
      </c>
      <c r="C83" s="1" t="n">
        <v>45763</v>
      </c>
      <c r="D83" t="inlineStr">
        <is>
          <t>VÄSTRA GÖTALANDS LÄN</t>
        </is>
      </c>
      <c r="E83" t="inlineStr">
        <is>
          <t>MARIESTAD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49544-2019</t>
        </is>
      </c>
      <c r="B84" s="1" t="n">
        <v>43732</v>
      </c>
      <c r="C84" s="1" t="n">
        <v>45763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51063-2019</t>
        </is>
      </c>
      <c r="B85" s="1" t="n">
        <v>43739</v>
      </c>
      <c r="C85" s="1" t="n">
        <v>45763</v>
      </c>
      <c r="D85" t="inlineStr">
        <is>
          <t>VÄSTRA GÖTALANDS LÄN</t>
        </is>
      </c>
      <c r="E85" t="inlineStr">
        <is>
          <t>MARIESTAD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51462-2019</t>
        </is>
      </c>
      <c r="B86" s="1" t="n">
        <v>43740</v>
      </c>
      <c r="C86" s="1" t="n">
        <v>45763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51477-2019</t>
        </is>
      </c>
      <c r="B87" s="1" t="n">
        <v>43740</v>
      </c>
      <c r="C87" s="1" t="n">
        <v>45763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51418-2019</t>
        </is>
      </c>
      <c r="B88" s="1" t="n">
        <v>43740</v>
      </c>
      <c r="C88" s="1" t="n">
        <v>45763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51472-2019</t>
        </is>
      </c>
      <c r="B89" s="1" t="n">
        <v>43740</v>
      </c>
      <c r="C89" s="1" t="n">
        <v>45763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51920-2019</t>
        </is>
      </c>
      <c r="B90" s="1" t="n">
        <v>43741</v>
      </c>
      <c r="C90" s="1" t="n">
        <v>45763</v>
      </c>
      <c r="D90" t="inlineStr">
        <is>
          <t>VÄSTRA GÖTALANDS LÄN</t>
        </is>
      </c>
      <c r="E90" t="inlineStr">
        <is>
          <t>MARIESTAD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51919-2019</t>
        </is>
      </c>
      <c r="B91" s="1" t="n">
        <v>43741</v>
      </c>
      <c r="C91" s="1" t="n">
        <v>45763</v>
      </c>
      <c r="D91" t="inlineStr">
        <is>
          <t>VÄSTRA GÖTALANDS LÄN</t>
        </is>
      </c>
      <c r="E91" t="inlineStr">
        <is>
          <t>MARIESTAD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58207-2019</t>
        </is>
      </c>
      <c r="B92" s="1" t="n">
        <v>43770</v>
      </c>
      <c r="C92" s="1" t="n">
        <v>45763</v>
      </c>
      <c r="D92" t="inlineStr">
        <is>
          <t>VÄSTRA GÖTALANDS LÄN</t>
        </is>
      </c>
      <c r="E92" t="inlineStr">
        <is>
          <t>MARIESTAD</t>
        </is>
      </c>
      <c r="G92" t="n">
        <v>14.6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58223-2019</t>
        </is>
      </c>
      <c r="B93" s="1" t="n">
        <v>43770</v>
      </c>
      <c r="C93" s="1" t="n">
        <v>45763</v>
      </c>
      <c r="D93" t="inlineStr">
        <is>
          <t>VÄSTRA GÖTALANDS LÄN</t>
        </is>
      </c>
      <c r="E93" t="inlineStr">
        <is>
          <t>MARIESTAD</t>
        </is>
      </c>
      <c r="G93" t="n">
        <v>21.2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58213-2019</t>
        </is>
      </c>
      <c r="B94" s="1" t="n">
        <v>43770</v>
      </c>
      <c r="C94" s="1" t="n">
        <v>45763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58211-2019</t>
        </is>
      </c>
      <c r="B95" s="1" t="n">
        <v>43770</v>
      </c>
      <c r="C95" s="1" t="n">
        <v>45763</v>
      </c>
      <c r="D95" t="inlineStr">
        <is>
          <t>VÄSTRA GÖTALANDS LÄN</t>
        </is>
      </c>
      <c r="E95" t="inlineStr">
        <is>
          <t>MARIESTAD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59802-2019</t>
        </is>
      </c>
      <c r="B96" s="1" t="n">
        <v>43777</v>
      </c>
      <c r="C96" s="1" t="n">
        <v>45763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63598-2019</t>
        </is>
      </c>
      <c r="B97" s="1" t="n">
        <v>43789</v>
      </c>
      <c r="C97" s="1" t="n">
        <v>45763</v>
      </c>
      <c r="D97" t="inlineStr">
        <is>
          <t>VÄSTRA GÖTALANDS LÄN</t>
        </is>
      </c>
      <c r="E97" t="inlineStr">
        <is>
          <t>MARIESTAD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63694-2019</t>
        </is>
      </c>
      <c r="B98" s="1" t="n">
        <v>43789</v>
      </c>
      <c r="C98" s="1" t="n">
        <v>45763</v>
      </c>
      <c r="D98" t="inlineStr">
        <is>
          <t>VÄSTRA GÖTALANDS LÄN</t>
        </is>
      </c>
      <c r="E98" t="inlineStr">
        <is>
          <t>MARIESTAD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65115-2019</t>
        </is>
      </c>
      <c r="B99" s="1" t="n">
        <v>43802</v>
      </c>
      <c r="C99" s="1" t="n">
        <v>45763</v>
      </c>
      <c r="D99" t="inlineStr">
        <is>
          <t>VÄSTRA GÖTALANDS LÄN</t>
        </is>
      </c>
      <c r="E99" t="inlineStr">
        <is>
          <t>MARIESTAD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881-2020</t>
        </is>
      </c>
      <c r="B100" s="1" t="n">
        <v>43839</v>
      </c>
      <c r="C100" s="1" t="n">
        <v>45763</v>
      </c>
      <c r="D100" t="inlineStr">
        <is>
          <t>VÄSTRA GÖTALANDS LÄN</t>
        </is>
      </c>
      <c r="E100" t="inlineStr">
        <is>
          <t>MARIESTAD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1029-2020</t>
        </is>
      </c>
      <c r="B101" s="1" t="n">
        <v>43839</v>
      </c>
      <c r="C101" s="1" t="n">
        <v>45763</v>
      </c>
      <c r="D101" t="inlineStr">
        <is>
          <t>VÄSTRA GÖTALANDS LÄN</t>
        </is>
      </c>
      <c r="E101" t="inlineStr">
        <is>
          <t>MARIESTAD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865-2020</t>
        </is>
      </c>
      <c r="B102" s="1" t="n">
        <v>43839</v>
      </c>
      <c r="C102" s="1" t="n">
        <v>45763</v>
      </c>
      <c r="D102" t="inlineStr">
        <is>
          <t>VÄSTRA GÖTALANDS LÄN</t>
        </is>
      </c>
      <c r="E102" t="inlineStr">
        <is>
          <t>MARIESTAD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1472-2020</t>
        </is>
      </c>
      <c r="B103" s="1" t="n">
        <v>43843</v>
      </c>
      <c r="C103" s="1" t="n">
        <v>45763</v>
      </c>
      <c r="D103" t="inlineStr">
        <is>
          <t>VÄSTRA GÖTALANDS LÄN</t>
        </is>
      </c>
      <c r="E103" t="inlineStr">
        <is>
          <t>MARIESTAD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2242-2020</t>
        </is>
      </c>
      <c r="B104" s="1" t="n">
        <v>43846</v>
      </c>
      <c r="C104" s="1" t="n">
        <v>45763</v>
      </c>
      <c r="D104" t="inlineStr">
        <is>
          <t>VÄSTRA GÖTALANDS LÄN</t>
        </is>
      </c>
      <c r="E104" t="inlineStr">
        <is>
          <t>MARIESTAD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2252-2020</t>
        </is>
      </c>
      <c r="B105" s="1" t="n">
        <v>43846</v>
      </c>
      <c r="C105" s="1" t="n">
        <v>45763</v>
      </c>
      <c r="D105" t="inlineStr">
        <is>
          <t>VÄSTRA GÖTALANDS LÄN</t>
        </is>
      </c>
      <c r="E105" t="inlineStr">
        <is>
          <t>MARIESTAD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2249-2020</t>
        </is>
      </c>
      <c r="B106" s="1" t="n">
        <v>43846</v>
      </c>
      <c r="C106" s="1" t="n">
        <v>45763</v>
      </c>
      <c r="D106" t="inlineStr">
        <is>
          <t>VÄSTRA GÖTALANDS LÄN</t>
        </is>
      </c>
      <c r="E106" t="inlineStr">
        <is>
          <t>MARIESTAD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2322-2020</t>
        </is>
      </c>
      <c r="B107" s="1" t="n">
        <v>43846</v>
      </c>
      <c r="C107" s="1" t="n">
        <v>45763</v>
      </c>
      <c r="D107" t="inlineStr">
        <is>
          <t>VÄSTRA GÖTALANDS LÄN</t>
        </is>
      </c>
      <c r="E107" t="inlineStr">
        <is>
          <t>MARIESTAD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3275-2020</t>
        </is>
      </c>
      <c r="B108" s="1" t="n">
        <v>43852</v>
      </c>
      <c r="C108" s="1" t="n">
        <v>45763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3823-2020</t>
        </is>
      </c>
      <c r="B109" s="1" t="n">
        <v>43854</v>
      </c>
      <c r="C109" s="1" t="n">
        <v>45763</v>
      </c>
      <c r="D109" t="inlineStr">
        <is>
          <t>VÄSTRA GÖTALANDS LÄN</t>
        </is>
      </c>
      <c r="E109" t="inlineStr">
        <is>
          <t>MARIESTAD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4571-2020</t>
        </is>
      </c>
      <c r="B110" s="1" t="n">
        <v>43858</v>
      </c>
      <c r="C110" s="1" t="n">
        <v>45763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5978-2020</t>
        </is>
      </c>
      <c r="B111" s="1" t="n">
        <v>43865</v>
      </c>
      <c r="C111" s="1" t="n">
        <v>45763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6070-2020</t>
        </is>
      </c>
      <c r="B112" s="1" t="n">
        <v>43865</v>
      </c>
      <c r="C112" s="1" t="n">
        <v>45763</v>
      </c>
      <c r="D112" t="inlineStr">
        <is>
          <t>VÄSTRA GÖTALANDS LÄN</t>
        </is>
      </c>
      <c r="E112" t="inlineStr">
        <is>
          <t>MARIESTAD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6382-2020</t>
        </is>
      </c>
      <c r="B113" s="1" t="n">
        <v>43866</v>
      </c>
      <c r="C113" s="1" t="n">
        <v>45763</v>
      </c>
      <c r="D113" t="inlineStr">
        <is>
          <t>VÄSTRA GÖTALANDS LÄN</t>
        </is>
      </c>
      <c r="E113" t="inlineStr">
        <is>
          <t>MARIESTAD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6352-2020</t>
        </is>
      </c>
      <c r="B114" s="1" t="n">
        <v>43866</v>
      </c>
      <c r="C114" s="1" t="n">
        <v>45763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7043-2020</t>
        </is>
      </c>
      <c r="B115" s="1" t="n">
        <v>43868</v>
      </c>
      <c r="C115" s="1" t="n">
        <v>45763</v>
      </c>
      <c r="D115" t="inlineStr">
        <is>
          <t>VÄSTRA GÖTALANDS LÄN</t>
        </is>
      </c>
      <c r="E115" t="inlineStr">
        <is>
          <t>MARIESTAD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7381-2020</t>
        </is>
      </c>
      <c r="B116" s="1" t="n">
        <v>43871</v>
      </c>
      <c r="C116" s="1" t="n">
        <v>45763</v>
      </c>
      <c r="D116" t="inlineStr">
        <is>
          <t>VÄSTRA GÖTALANDS LÄN</t>
        </is>
      </c>
      <c r="E116" t="inlineStr">
        <is>
          <t>MARIESTAD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7665-2020</t>
        </is>
      </c>
      <c r="B117" s="1" t="n">
        <v>43872</v>
      </c>
      <c r="C117" s="1" t="n">
        <v>45763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12966-2020</t>
        </is>
      </c>
      <c r="B118" s="1" t="n">
        <v>43900</v>
      </c>
      <c r="C118" s="1" t="n">
        <v>45763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13343-2020</t>
        </is>
      </c>
      <c r="B119" s="1" t="n">
        <v>43902</v>
      </c>
      <c r="C119" s="1" t="n">
        <v>45763</v>
      </c>
      <c r="D119" t="inlineStr">
        <is>
          <t>VÄSTRA GÖTALANDS LÄN</t>
        </is>
      </c>
      <c r="E119" t="inlineStr">
        <is>
          <t>MARIESTAD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13873-2020</t>
        </is>
      </c>
      <c r="B120" s="1" t="n">
        <v>43906</v>
      </c>
      <c r="C120" s="1" t="n">
        <v>45763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14412-2020</t>
        </is>
      </c>
      <c r="B121" s="1" t="n">
        <v>43908</v>
      </c>
      <c r="C121" s="1" t="n">
        <v>45763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14435-2020</t>
        </is>
      </c>
      <c r="B122" s="1" t="n">
        <v>43908</v>
      </c>
      <c r="C122" s="1" t="n">
        <v>45763</v>
      </c>
      <c r="D122" t="inlineStr">
        <is>
          <t>VÄSTRA GÖTALANDS LÄN</t>
        </is>
      </c>
      <c r="E122" t="inlineStr">
        <is>
          <t>MARIESTAD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16551-2020</t>
        </is>
      </c>
      <c r="B123" s="1" t="n">
        <v>43909</v>
      </c>
      <c r="C123" s="1" t="n">
        <v>45763</v>
      </c>
      <c r="D123" t="inlineStr">
        <is>
          <t>VÄSTRA GÖTALANDS LÄN</t>
        </is>
      </c>
      <c r="E123" t="inlineStr">
        <is>
          <t>MARIESTAD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15614-2020</t>
        </is>
      </c>
      <c r="B124" s="1" t="n">
        <v>43914</v>
      </c>
      <c r="C124" s="1" t="n">
        <v>45763</v>
      </c>
      <c r="D124" t="inlineStr">
        <is>
          <t>VÄSTRA GÖTALANDS LÄN</t>
        </is>
      </c>
      <c r="E124" t="inlineStr">
        <is>
          <t>MARIESTAD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15619-2020</t>
        </is>
      </c>
      <c r="B125" s="1" t="n">
        <v>43914</v>
      </c>
      <c r="C125" s="1" t="n">
        <v>45763</v>
      </c>
      <c r="D125" t="inlineStr">
        <is>
          <t>VÄSTRA GÖTALANDS LÄN</t>
        </is>
      </c>
      <c r="E125" t="inlineStr">
        <is>
          <t>MARIESTAD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15621-2020</t>
        </is>
      </c>
      <c r="B126" s="1" t="n">
        <v>43914</v>
      </c>
      <c r="C126" s="1" t="n">
        <v>45763</v>
      </c>
      <c r="D126" t="inlineStr">
        <is>
          <t>VÄSTRA GÖTALANDS LÄN</t>
        </is>
      </c>
      <c r="E126" t="inlineStr">
        <is>
          <t>MARIESTAD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15623-2020</t>
        </is>
      </c>
      <c r="B127" s="1" t="n">
        <v>43914</v>
      </c>
      <c r="C127" s="1" t="n">
        <v>45763</v>
      </c>
      <c r="D127" t="inlineStr">
        <is>
          <t>VÄSTRA GÖTALANDS LÄN</t>
        </is>
      </c>
      <c r="E127" t="inlineStr">
        <is>
          <t>MARIESTAD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16626-2020</t>
        </is>
      </c>
      <c r="B128" s="1" t="n">
        <v>43920</v>
      </c>
      <c r="C128" s="1" t="n">
        <v>45763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16837-2020</t>
        </is>
      </c>
      <c r="B129" s="1" t="n">
        <v>43921</v>
      </c>
      <c r="C129" s="1" t="n">
        <v>45763</v>
      </c>
      <c r="D129" t="inlineStr">
        <is>
          <t>VÄSTRA GÖTALANDS LÄN</t>
        </is>
      </c>
      <c r="E129" t="inlineStr">
        <is>
          <t>MARIESTAD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18951-2020</t>
        </is>
      </c>
      <c r="B130" s="1" t="n">
        <v>43935</v>
      </c>
      <c r="C130" s="1" t="n">
        <v>45763</v>
      </c>
      <c r="D130" t="inlineStr">
        <is>
          <t>VÄSTRA GÖTALANDS LÄN</t>
        </is>
      </c>
      <c r="E130" t="inlineStr">
        <is>
          <t>MARIESTAD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19800-2020</t>
        </is>
      </c>
      <c r="B131" s="1" t="n">
        <v>43942</v>
      </c>
      <c r="C131" s="1" t="n">
        <v>45763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21445-2020</t>
        </is>
      </c>
      <c r="B132" s="1" t="n">
        <v>43956</v>
      </c>
      <c r="C132" s="1" t="n">
        <v>45763</v>
      </c>
      <c r="D132" t="inlineStr">
        <is>
          <t>VÄSTRA GÖTALANDS LÄN</t>
        </is>
      </c>
      <c r="E132" t="inlineStr">
        <is>
          <t>MARIESTAD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22146-2020</t>
        </is>
      </c>
      <c r="B133" s="1" t="n">
        <v>43961</v>
      </c>
      <c r="C133" s="1" t="n">
        <v>45763</v>
      </c>
      <c r="D133" t="inlineStr">
        <is>
          <t>VÄSTRA GÖTALANDS LÄN</t>
        </is>
      </c>
      <c r="E133" t="inlineStr">
        <is>
          <t>MARIESTAD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22744-2020</t>
        </is>
      </c>
      <c r="B134" s="1" t="n">
        <v>43964</v>
      </c>
      <c r="C134" s="1" t="n">
        <v>45763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23139-2020</t>
        </is>
      </c>
      <c r="B135" s="1" t="n">
        <v>43966</v>
      </c>
      <c r="C135" s="1" t="n">
        <v>45763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23739-2020</t>
        </is>
      </c>
      <c r="B136" s="1" t="n">
        <v>43970</v>
      </c>
      <c r="C136" s="1" t="n">
        <v>45763</v>
      </c>
      <c r="D136" t="inlineStr">
        <is>
          <t>VÄSTRA GÖTALANDS LÄN</t>
        </is>
      </c>
      <c r="E136" t="inlineStr">
        <is>
          <t>MARIESTAD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24111-2020</t>
        </is>
      </c>
      <c r="B137" s="1" t="n">
        <v>43973</v>
      </c>
      <c r="C137" s="1" t="n">
        <v>45763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24768-2020</t>
        </is>
      </c>
      <c r="B138" s="1" t="n">
        <v>43978</v>
      </c>
      <c r="C138" s="1" t="n">
        <v>45763</v>
      </c>
      <c r="D138" t="inlineStr">
        <is>
          <t>VÄSTRA GÖTALANDS LÄN</t>
        </is>
      </c>
      <c r="E138" t="inlineStr">
        <is>
          <t>MARIESTAD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24938-2020</t>
        </is>
      </c>
      <c r="B139" s="1" t="n">
        <v>43979</v>
      </c>
      <c r="C139" s="1" t="n">
        <v>45763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24895-2020</t>
        </is>
      </c>
      <c r="B140" s="1" t="n">
        <v>43979</v>
      </c>
      <c r="C140" s="1" t="n">
        <v>45763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26481-2020</t>
        </is>
      </c>
      <c r="B141" s="1" t="n">
        <v>43987</v>
      </c>
      <c r="C141" s="1" t="n">
        <v>45763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27089-2020</t>
        </is>
      </c>
      <c r="B142" s="1" t="n">
        <v>43990</v>
      </c>
      <c r="C142" s="1" t="n">
        <v>45763</v>
      </c>
      <c r="D142" t="inlineStr">
        <is>
          <t>VÄSTRA GÖTALANDS LÄN</t>
        </is>
      </c>
      <c r="E142" t="inlineStr">
        <is>
          <t>MARIESTAD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27482-2020</t>
        </is>
      </c>
      <c r="B143" s="1" t="n">
        <v>43993</v>
      </c>
      <c r="C143" s="1" t="n">
        <v>45763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28605-2020</t>
        </is>
      </c>
      <c r="B144" s="1" t="n">
        <v>43999</v>
      </c>
      <c r="C144" s="1" t="n">
        <v>45763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28608-2020</t>
        </is>
      </c>
      <c r="B145" s="1" t="n">
        <v>43999</v>
      </c>
      <c r="C145" s="1" t="n">
        <v>45763</v>
      </c>
      <c r="D145" t="inlineStr">
        <is>
          <t>VÄSTRA GÖTALANDS LÄN</t>
        </is>
      </c>
      <c r="E145" t="inlineStr">
        <is>
          <t>MARIESTAD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32021-2020</t>
        </is>
      </c>
      <c r="B146" s="1" t="n">
        <v>44015</v>
      </c>
      <c r="C146" s="1" t="n">
        <v>45763</v>
      </c>
      <c r="D146" t="inlineStr">
        <is>
          <t>VÄSTRA GÖTALANDS LÄN</t>
        </is>
      </c>
      <c r="E146" t="inlineStr">
        <is>
          <t>MARIESTAD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33483-2020</t>
        </is>
      </c>
      <c r="B147" s="1" t="n">
        <v>44024</v>
      </c>
      <c r="C147" s="1" t="n">
        <v>45763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34222-2020</t>
        </is>
      </c>
      <c r="B148" s="1" t="n">
        <v>44029</v>
      </c>
      <c r="C148" s="1" t="n">
        <v>45763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35108-2020</t>
        </is>
      </c>
      <c r="B149" s="1" t="n">
        <v>44040</v>
      </c>
      <c r="C149" s="1" t="n">
        <v>45763</v>
      </c>
      <c r="D149" t="inlineStr">
        <is>
          <t>VÄSTRA GÖTALANDS LÄN</t>
        </is>
      </c>
      <c r="E149" t="inlineStr">
        <is>
          <t>MARIESTAD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36714-2020</t>
        </is>
      </c>
      <c r="B150" s="1" t="n">
        <v>44052</v>
      </c>
      <c r="C150" s="1" t="n">
        <v>45763</v>
      </c>
      <c r="D150" t="inlineStr">
        <is>
          <t>VÄSTRA GÖTALANDS LÄN</t>
        </is>
      </c>
      <c r="E150" t="inlineStr">
        <is>
          <t>MARIESTAD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37550-2020</t>
        </is>
      </c>
      <c r="B151" s="1" t="n">
        <v>44056</v>
      </c>
      <c r="C151" s="1" t="n">
        <v>45763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39211-2020</t>
        </is>
      </c>
      <c r="B152" s="1" t="n">
        <v>44063</v>
      </c>
      <c r="C152" s="1" t="n">
        <v>45763</v>
      </c>
      <c r="D152" t="inlineStr">
        <is>
          <t>VÄSTRA GÖTALANDS LÄN</t>
        </is>
      </c>
      <c r="E152" t="inlineStr">
        <is>
          <t>MARIESTAD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39179-2020</t>
        </is>
      </c>
      <c r="B153" s="1" t="n">
        <v>44063</v>
      </c>
      <c r="C153" s="1" t="n">
        <v>45763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39276-2020</t>
        </is>
      </c>
      <c r="B154" s="1" t="n">
        <v>44063</v>
      </c>
      <c r="C154" s="1" t="n">
        <v>45763</v>
      </c>
      <c r="D154" t="inlineStr">
        <is>
          <t>VÄSTRA GÖTALANDS LÄN</t>
        </is>
      </c>
      <c r="E154" t="inlineStr">
        <is>
          <t>MARIESTAD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39182-2020</t>
        </is>
      </c>
      <c r="B155" s="1" t="n">
        <v>44063</v>
      </c>
      <c r="C155" s="1" t="n">
        <v>45763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39457-2020</t>
        </is>
      </c>
      <c r="B156" s="1" t="n">
        <v>44064</v>
      </c>
      <c r="C156" s="1" t="n">
        <v>45763</v>
      </c>
      <c r="D156" t="inlineStr">
        <is>
          <t>VÄSTRA GÖTALANDS LÄN</t>
        </is>
      </c>
      <c r="E156" t="inlineStr">
        <is>
          <t>MARIESTAD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39722-2020</t>
        </is>
      </c>
      <c r="B157" s="1" t="n">
        <v>44067</v>
      </c>
      <c r="C157" s="1" t="n">
        <v>45763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40232-2020</t>
        </is>
      </c>
      <c r="B158" s="1" t="n">
        <v>44068</v>
      </c>
      <c r="C158" s="1" t="n">
        <v>45763</v>
      </c>
      <c r="D158" t="inlineStr">
        <is>
          <t>VÄSTRA GÖTALANDS LÄN</t>
        </is>
      </c>
      <c r="E158" t="inlineStr">
        <is>
          <t>MARIESTAD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40236-2020</t>
        </is>
      </c>
      <c r="B159" s="1" t="n">
        <v>44068</v>
      </c>
      <c r="C159" s="1" t="n">
        <v>45763</v>
      </c>
      <c r="D159" t="inlineStr">
        <is>
          <t>VÄSTRA GÖTALANDS LÄN</t>
        </is>
      </c>
      <c r="E159" t="inlineStr">
        <is>
          <t>MARIESTAD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43293-2020</t>
        </is>
      </c>
      <c r="B160" s="1" t="n">
        <v>44081</v>
      </c>
      <c r="C160" s="1" t="n">
        <v>45763</v>
      </c>
      <c r="D160" t="inlineStr">
        <is>
          <t>VÄSTRA GÖTALANDS LÄN</t>
        </is>
      </c>
      <c r="E160" t="inlineStr">
        <is>
          <t>MARIESTAD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45072-2020</t>
        </is>
      </c>
      <c r="B161" s="1" t="n">
        <v>44088</v>
      </c>
      <c r="C161" s="1" t="n">
        <v>45763</v>
      </c>
      <c r="D161" t="inlineStr">
        <is>
          <t>VÄSTRA GÖTALANDS LÄN</t>
        </is>
      </c>
      <c r="E161" t="inlineStr">
        <is>
          <t>MARIESTAD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45039-2020</t>
        </is>
      </c>
      <c r="B162" s="1" t="n">
        <v>44088</v>
      </c>
      <c r="C162" s="1" t="n">
        <v>45763</v>
      </c>
      <c r="D162" t="inlineStr">
        <is>
          <t>VÄSTRA GÖTALANDS LÄN</t>
        </is>
      </c>
      <c r="E162" t="inlineStr">
        <is>
          <t>MARIESTAD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45679-2020</t>
        </is>
      </c>
      <c r="B163" s="1" t="n">
        <v>44090</v>
      </c>
      <c r="C163" s="1" t="n">
        <v>45763</v>
      </c>
      <c r="D163" t="inlineStr">
        <is>
          <t>VÄSTRA GÖTALANDS LÄN</t>
        </is>
      </c>
      <c r="E163" t="inlineStr">
        <is>
          <t>MARIESTAD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50024-2020</t>
        </is>
      </c>
      <c r="B164" s="1" t="n">
        <v>44104</v>
      </c>
      <c r="C164" s="1" t="n">
        <v>45763</v>
      </c>
      <c r="D164" t="inlineStr">
        <is>
          <t>VÄSTRA GÖTALANDS LÄN</t>
        </is>
      </c>
      <c r="E164" t="inlineStr">
        <is>
          <t>MARIESTAD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49237-2020</t>
        </is>
      </c>
      <c r="B165" s="1" t="n">
        <v>44105</v>
      </c>
      <c r="C165" s="1" t="n">
        <v>45763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49644-2020</t>
        </is>
      </c>
      <c r="B166" s="1" t="n">
        <v>44106</v>
      </c>
      <c r="C166" s="1" t="n">
        <v>45763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49706-2020</t>
        </is>
      </c>
      <c r="B167" s="1" t="n">
        <v>44106</v>
      </c>
      <c r="C167" s="1" t="n">
        <v>45763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49646-2020</t>
        </is>
      </c>
      <c r="B168" s="1" t="n">
        <v>44106</v>
      </c>
      <c r="C168" s="1" t="n">
        <v>45763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51150-2020</t>
        </is>
      </c>
      <c r="B169" s="1" t="n">
        <v>44106</v>
      </c>
      <c r="C169" s="1" t="n">
        <v>45763</v>
      </c>
      <c r="D169" t="inlineStr">
        <is>
          <t>VÄSTRA GÖTALANDS LÄN</t>
        </is>
      </c>
      <c r="E169" t="inlineStr">
        <is>
          <t>MARIESTAD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51266-2020</t>
        </is>
      </c>
      <c r="B170" s="1" t="n">
        <v>44106</v>
      </c>
      <c r="C170" s="1" t="n">
        <v>45763</v>
      </c>
      <c r="D170" t="inlineStr">
        <is>
          <t>VÄSTRA GÖTALANDS LÄN</t>
        </is>
      </c>
      <c r="E170" t="inlineStr">
        <is>
          <t>MARIESTAD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51143-2020</t>
        </is>
      </c>
      <c r="B171" s="1" t="n">
        <v>44106</v>
      </c>
      <c r="C171" s="1" t="n">
        <v>45763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51026-2020</t>
        </is>
      </c>
      <c r="B172" s="1" t="n">
        <v>44112</v>
      </c>
      <c r="C172" s="1" t="n">
        <v>45763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52179-2020</t>
        </is>
      </c>
      <c r="B173" s="1" t="n">
        <v>44117</v>
      </c>
      <c r="C173" s="1" t="n">
        <v>45763</v>
      </c>
      <c r="D173" t="inlineStr">
        <is>
          <t>VÄSTRA GÖTALANDS LÄN</t>
        </is>
      </c>
      <c r="E173" t="inlineStr">
        <is>
          <t>MARIESTAD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53574-2020</t>
        </is>
      </c>
      <c r="B174" s="1" t="n">
        <v>44124</v>
      </c>
      <c r="C174" s="1" t="n">
        <v>45763</v>
      </c>
      <c r="D174" t="inlineStr">
        <is>
          <t>VÄSTRA GÖTALANDS LÄN</t>
        </is>
      </c>
      <c r="E174" t="inlineStr">
        <is>
          <t>MARIESTAD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54599-2020</t>
        </is>
      </c>
      <c r="B175" s="1" t="n">
        <v>44127</v>
      </c>
      <c r="C175" s="1" t="n">
        <v>45763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55202-2020</t>
        </is>
      </c>
      <c r="B176" s="1" t="n">
        <v>44130</v>
      </c>
      <c r="C176" s="1" t="n">
        <v>45763</v>
      </c>
      <c r="D176" t="inlineStr">
        <is>
          <t>VÄSTRA GÖTALANDS LÄN</t>
        </is>
      </c>
      <c r="E176" t="inlineStr">
        <is>
          <t>MARIESTAD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57099-2020</t>
        </is>
      </c>
      <c r="B177" s="1" t="n">
        <v>44139</v>
      </c>
      <c r="C177" s="1" t="n">
        <v>45763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57614-2020</t>
        </is>
      </c>
      <c r="B178" s="1" t="n">
        <v>44139</v>
      </c>
      <c r="C178" s="1" t="n">
        <v>45763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57618-2020</t>
        </is>
      </c>
      <c r="B179" s="1" t="n">
        <v>44139</v>
      </c>
      <c r="C179" s="1" t="n">
        <v>45763</v>
      </c>
      <c r="D179" t="inlineStr">
        <is>
          <t>VÄSTRA GÖTALANDS LÄN</t>
        </is>
      </c>
      <c r="E179" t="inlineStr">
        <is>
          <t>MARIESTAD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60173-2020</t>
        </is>
      </c>
      <c r="B180" s="1" t="n">
        <v>44152</v>
      </c>
      <c r="C180" s="1" t="n">
        <v>45763</v>
      </c>
      <c r="D180" t="inlineStr">
        <is>
          <t>VÄSTRA GÖTALANDS LÄN</t>
        </is>
      </c>
      <c r="E180" t="inlineStr">
        <is>
          <t>MARIESTAD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60189-2020</t>
        </is>
      </c>
      <c r="B181" s="1" t="n">
        <v>44152</v>
      </c>
      <c r="C181" s="1" t="n">
        <v>45763</v>
      </c>
      <c r="D181" t="inlineStr">
        <is>
          <t>VÄSTRA GÖTALANDS LÄN</t>
        </is>
      </c>
      <c r="E181" t="inlineStr">
        <is>
          <t>MARIESTAD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62950-2020</t>
        </is>
      </c>
      <c r="B182" s="1" t="n">
        <v>44161</v>
      </c>
      <c r="C182" s="1" t="n">
        <v>45763</v>
      </c>
      <c r="D182" t="inlineStr">
        <is>
          <t>VÄSTRA GÖTALANDS LÄN</t>
        </is>
      </c>
      <c r="E182" t="inlineStr">
        <is>
          <t>MARIESTAD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63406-2020</t>
        </is>
      </c>
      <c r="B183" s="1" t="n">
        <v>44165</v>
      </c>
      <c r="C183" s="1" t="n">
        <v>45763</v>
      </c>
      <c r="D183" t="inlineStr">
        <is>
          <t>VÄSTRA GÖTALANDS LÄN</t>
        </is>
      </c>
      <c r="E183" t="inlineStr">
        <is>
          <t>MARIESTAD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63895-2020</t>
        </is>
      </c>
      <c r="B184" s="1" t="n">
        <v>44165</v>
      </c>
      <c r="C184" s="1" t="n">
        <v>45763</v>
      </c>
      <c r="D184" t="inlineStr">
        <is>
          <t>VÄSTRA GÖTALANDS LÄN</t>
        </is>
      </c>
      <c r="E184" t="inlineStr">
        <is>
          <t>MARIESTAD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63891-2020</t>
        </is>
      </c>
      <c r="B185" s="1" t="n">
        <v>44165</v>
      </c>
      <c r="C185" s="1" t="n">
        <v>45763</v>
      </c>
      <c r="D185" t="inlineStr">
        <is>
          <t>VÄSTRA GÖTALANDS LÄN</t>
        </is>
      </c>
      <c r="E185" t="inlineStr">
        <is>
          <t>MARIESTAD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64037-2020</t>
        </is>
      </c>
      <c r="B186" s="1" t="n">
        <v>44165</v>
      </c>
      <c r="C186" s="1" t="n">
        <v>45763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63967-2020</t>
        </is>
      </c>
      <c r="B187" s="1" t="n">
        <v>44167</v>
      </c>
      <c r="C187" s="1" t="n">
        <v>45763</v>
      </c>
      <c r="D187" t="inlineStr">
        <is>
          <t>VÄSTRA GÖTALANDS LÄN</t>
        </is>
      </c>
      <c r="E187" t="inlineStr">
        <is>
          <t>MARIESTAD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64039-2020</t>
        </is>
      </c>
      <c r="B188" s="1" t="n">
        <v>44167</v>
      </c>
      <c r="C188" s="1" t="n">
        <v>45763</v>
      </c>
      <c r="D188" t="inlineStr">
        <is>
          <t>VÄSTRA GÖTALANDS LÄN</t>
        </is>
      </c>
      <c r="E188" t="inlineStr">
        <is>
          <t>MARIESTAD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66864-2020</t>
        </is>
      </c>
      <c r="B189" s="1" t="n">
        <v>44180</v>
      </c>
      <c r="C189" s="1" t="n">
        <v>45763</v>
      </c>
      <c r="D189" t="inlineStr">
        <is>
          <t>VÄSTRA GÖTALANDS LÄN</t>
        </is>
      </c>
      <c r="E189" t="inlineStr">
        <is>
          <t>MARIESTAD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69296-2020</t>
        </is>
      </c>
      <c r="B190" s="1" t="n">
        <v>44193</v>
      </c>
      <c r="C190" s="1" t="n">
        <v>45763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1795-2021</t>
        </is>
      </c>
      <c r="B191" s="1" t="n">
        <v>44210</v>
      </c>
      <c r="C191" s="1" t="n">
        <v>45763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4147-2021</t>
        </is>
      </c>
      <c r="B192" s="1" t="n">
        <v>44221</v>
      </c>
      <c r="C192" s="1" t="n">
        <v>45763</v>
      </c>
      <c r="D192" t="inlineStr">
        <is>
          <t>VÄSTRA GÖTALANDS LÄN</t>
        </is>
      </c>
      <c r="E192" t="inlineStr">
        <is>
          <t>MARIESTAD</t>
        </is>
      </c>
      <c r="G192" t="n">
        <v>45.2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5152-2021</t>
        </is>
      </c>
      <c r="B193" s="1" t="n">
        <v>44228</v>
      </c>
      <c r="C193" s="1" t="n">
        <v>45763</v>
      </c>
      <c r="D193" t="inlineStr">
        <is>
          <t>VÄSTRA GÖTALANDS LÄN</t>
        </is>
      </c>
      <c r="E193" t="inlineStr">
        <is>
          <t>MARIESTAD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7288-2021</t>
        </is>
      </c>
      <c r="B194" s="1" t="n">
        <v>44238</v>
      </c>
      <c r="C194" s="1" t="n">
        <v>45763</v>
      </c>
      <c r="D194" t="inlineStr">
        <is>
          <t>VÄSTRA GÖTALANDS LÄN</t>
        </is>
      </c>
      <c r="E194" t="inlineStr">
        <is>
          <t>MARIESTAD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8004-2021</t>
        </is>
      </c>
      <c r="B195" s="1" t="n">
        <v>44243</v>
      </c>
      <c r="C195" s="1" t="n">
        <v>45763</v>
      </c>
      <c r="D195" t="inlineStr">
        <is>
          <t>VÄSTRA GÖTALANDS LÄN</t>
        </is>
      </c>
      <c r="E195" t="inlineStr">
        <is>
          <t>MARIESTAD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10129-2021</t>
        </is>
      </c>
      <c r="B196" s="1" t="n">
        <v>44256</v>
      </c>
      <c r="C196" s="1" t="n">
        <v>45763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10901-2021</t>
        </is>
      </c>
      <c r="B197" s="1" t="n">
        <v>44259</v>
      </c>
      <c r="C197" s="1" t="n">
        <v>45763</v>
      </c>
      <c r="D197" t="inlineStr">
        <is>
          <t>VÄSTRA GÖTALANDS LÄN</t>
        </is>
      </c>
      <c r="E197" t="inlineStr">
        <is>
          <t>MARIESTAD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11029-2021</t>
        </is>
      </c>
      <c r="B198" s="1" t="n">
        <v>44260</v>
      </c>
      <c r="C198" s="1" t="n">
        <v>45763</v>
      </c>
      <c r="D198" t="inlineStr">
        <is>
          <t>VÄSTRA GÖTALANDS LÄN</t>
        </is>
      </c>
      <c r="E198" t="inlineStr">
        <is>
          <t>MARIESTAD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11023-2021</t>
        </is>
      </c>
      <c r="B199" s="1" t="n">
        <v>44260</v>
      </c>
      <c r="C199" s="1" t="n">
        <v>45763</v>
      </c>
      <c r="D199" t="inlineStr">
        <is>
          <t>VÄSTRA GÖTALANDS LÄN</t>
        </is>
      </c>
      <c r="E199" t="inlineStr">
        <is>
          <t>MARIESTAD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11442-2021</t>
        </is>
      </c>
      <c r="B200" s="1" t="n">
        <v>44264</v>
      </c>
      <c r="C200" s="1" t="n">
        <v>45763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12122-2021</t>
        </is>
      </c>
      <c r="B201" s="1" t="n">
        <v>44266</v>
      </c>
      <c r="C201" s="1" t="n">
        <v>45763</v>
      </c>
      <c r="D201" t="inlineStr">
        <is>
          <t>VÄSTRA GÖTALANDS LÄN</t>
        </is>
      </c>
      <c r="E201" t="inlineStr">
        <is>
          <t>MARIESTAD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14495-2021</t>
        </is>
      </c>
      <c r="B202" s="1" t="n">
        <v>44279</v>
      </c>
      <c r="C202" s="1" t="n">
        <v>45763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16951-2021</t>
        </is>
      </c>
      <c r="B203" s="1" t="n">
        <v>44295</v>
      </c>
      <c r="C203" s="1" t="n">
        <v>45763</v>
      </c>
      <c r="D203" t="inlineStr">
        <is>
          <t>VÄSTRA GÖTALANDS LÄN</t>
        </is>
      </c>
      <c r="E203" t="inlineStr">
        <is>
          <t>MARIESTAD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17685-2021</t>
        </is>
      </c>
      <c r="B204" s="1" t="n">
        <v>44300</v>
      </c>
      <c r="C204" s="1" t="n">
        <v>45763</v>
      </c>
      <c r="D204" t="inlineStr">
        <is>
          <t>VÄSTRA GÖTALANDS LÄN</t>
        </is>
      </c>
      <c r="E204" t="inlineStr">
        <is>
          <t>MARIESTAD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17624-2021</t>
        </is>
      </c>
      <c r="B205" s="1" t="n">
        <v>44300</v>
      </c>
      <c r="C205" s="1" t="n">
        <v>45763</v>
      </c>
      <c r="D205" t="inlineStr">
        <is>
          <t>VÄSTRA GÖTALANDS LÄN</t>
        </is>
      </c>
      <c r="E205" t="inlineStr">
        <is>
          <t>MARIESTAD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21020-2021</t>
        </is>
      </c>
      <c r="B206" s="1" t="n">
        <v>44319</v>
      </c>
      <c r="C206" s="1" t="n">
        <v>45763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21017-2021</t>
        </is>
      </c>
      <c r="B207" s="1" t="n">
        <v>44319</v>
      </c>
      <c r="C207" s="1" t="n">
        <v>45763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24420-2021</t>
        </is>
      </c>
      <c r="B208" s="1" t="n">
        <v>44337</v>
      </c>
      <c r="C208" s="1" t="n">
        <v>45763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24603-2021</t>
        </is>
      </c>
      <c r="B209" s="1" t="n">
        <v>44340</v>
      </c>
      <c r="C209" s="1" t="n">
        <v>45763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25969-2021</t>
        </is>
      </c>
      <c r="B210" s="1" t="n">
        <v>44344</v>
      </c>
      <c r="C210" s="1" t="n">
        <v>45763</v>
      </c>
      <c r="D210" t="inlineStr">
        <is>
          <t>VÄSTRA GÖTALANDS LÄN</t>
        </is>
      </c>
      <c r="E210" t="inlineStr">
        <is>
          <t>MARIESTAD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27369-2021</t>
        </is>
      </c>
      <c r="B211" s="1" t="n">
        <v>44351</v>
      </c>
      <c r="C211" s="1" t="n">
        <v>45763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27858-2021</t>
        </is>
      </c>
      <c r="B212" s="1" t="n">
        <v>44354</v>
      </c>
      <c r="C212" s="1" t="n">
        <v>45763</v>
      </c>
      <c r="D212" t="inlineStr">
        <is>
          <t>VÄSTRA GÖTALANDS LÄN</t>
        </is>
      </c>
      <c r="E212" t="inlineStr">
        <is>
          <t>MARIESTAD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28407-2021</t>
        </is>
      </c>
      <c r="B213" s="1" t="n">
        <v>44356</v>
      </c>
      <c r="C213" s="1" t="n">
        <v>45763</v>
      </c>
      <c r="D213" t="inlineStr">
        <is>
          <t>VÄSTRA GÖTALANDS LÄN</t>
        </is>
      </c>
      <c r="E213" t="inlineStr">
        <is>
          <t>MARIESTAD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28622-2021</t>
        </is>
      </c>
      <c r="B214" s="1" t="n">
        <v>44356</v>
      </c>
      <c r="C214" s="1" t="n">
        <v>45763</v>
      </c>
      <c r="D214" t="inlineStr">
        <is>
          <t>VÄSTRA GÖTALANDS LÄN</t>
        </is>
      </c>
      <c r="E214" t="inlineStr">
        <is>
          <t>MARIESTAD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28641-2021</t>
        </is>
      </c>
      <c r="B215" s="1" t="n">
        <v>44357</v>
      </c>
      <c r="C215" s="1" t="n">
        <v>45763</v>
      </c>
      <c r="D215" t="inlineStr">
        <is>
          <t>VÄSTRA GÖTALANDS LÄN</t>
        </is>
      </c>
      <c r="E215" t="inlineStr">
        <is>
          <t>MARIESTAD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29537-2021</t>
        </is>
      </c>
      <c r="B216" s="1" t="n">
        <v>44361</v>
      </c>
      <c r="C216" s="1" t="n">
        <v>45763</v>
      </c>
      <c r="D216" t="inlineStr">
        <is>
          <t>VÄSTRA GÖTALANDS LÄN</t>
        </is>
      </c>
      <c r="E216" t="inlineStr">
        <is>
          <t>MARIESTAD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29939-2021</t>
        </is>
      </c>
      <c r="B217" s="1" t="n">
        <v>44363</v>
      </c>
      <c r="C217" s="1" t="n">
        <v>45763</v>
      </c>
      <c r="D217" t="inlineStr">
        <is>
          <t>VÄSTRA GÖTALANDS LÄN</t>
        </is>
      </c>
      <c r="E217" t="inlineStr">
        <is>
          <t>MARIESTAD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32215-2021</t>
        </is>
      </c>
      <c r="B218" s="1" t="n">
        <v>44371</v>
      </c>
      <c r="C218" s="1" t="n">
        <v>45763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32167-2021</t>
        </is>
      </c>
      <c r="B219" s="1" t="n">
        <v>44371</v>
      </c>
      <c r="C219" s="1" t="n">
        <v>45763</v>
      </c>
      <c r="D219" t="inlineStr">
        <is>
          <t>VÄSTRA GÖTALANDS LÄN</t>
        </is>
      </c>
      <c r="E219" t="inlineStr">
        <is>
          <t>MARIESTAD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32212-2021</t>
        </is>
      </c>
      <c r="B220" s="1" t="n">
        <v>44371</v>
      </c>
      <c r="C220" s="1" t="n">
        <v>45763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32169-2021</t>
        </is>
      </c>
      <c r="B221" s="1" t="n">
        <v>44371</v>
      </c>
      <c r="C221" s="1" t="n">
        <v>45763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Kyrkan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32213-2021</t>
        </is>
      </c>
      <c r="B222" s="1" t="n">
        <v>44371</v>
      </c>
      <c r="C222" s="1" t="n">
        <v>45763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34864-2021</t>
        </is>
      </c>
      <c r="B223" s="1" t="n">
        <v>44383</v>
      </c>
      <c r="C223" s="1" t="n">
        <v>45763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36038-2021</t>
        </is>
      </c>
      <c r="B224" s="1" t="n">
        <v>44386</v>
      </c>
      <c r="C224" s="1" t="n">
        <v>45763</v>
      </c>
      <c r="D224" t="inlineStr">
        <is>
          <t>VÄSTRA GÖTALANDS LÄN</t>
        </is>
      </c>
      <c r="E224" t="inlineStr">
        <is>
          <t>MARIESTAD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36032-2021</t>
        </is>
      </c>
      <c r="B225" s="1" t="n">
        <v>44386</v>
      </c>
      <c r="C225" s="1" t="n">
        <v>45763</v>
      </c>
      <c r="D225" t="inlineStr">
        <is>
          <t>VÄSTRA GÖTALANDS LÄN</t>
        </is>
      </c>
      <c r="E225" t="inlineStr">
        <is>
          <t>MARIESTAD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38054-2021</t>
        </is>
      </c>
      <c r="B226" s="1" t="n">
        <v>44404</v>
      </c>
      <c r="C226" s="1" t="n">
        <v>45763</v>
      </c>
      <c r="D226" t="inlineStr">
        <is>
          <t>VÄSTRA GÖTALANDS LÄN</t>
        </is>
      </c>
      <c r="E226" t="inlineStr">
        <is>
          <t>MARIESTAD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39055-2021</t>
        </is>
      </c>
      <c r="B227" s="1" t="n">
        <v>44412</v>
      </c>
      <c r="C227" s="1" t="n">
        <v>45763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39352-2021</t>
        </is>
      </c>
      <c r="B228" s="1" t="n">
        <v>44414</v>
      </c>
      <c r="C228" s="1" t="n">
        <v>45763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39437-2021</t>
        </is>
      </c>
      <c r="B229" s="1" t="n">
        <v>44414</v>
      </c>
      <c r="C229" s="1" t="n">
        <v>45763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41761-2021</t>
        </is>
      </c>
      <c r="B230" s="1" t="n">
        <v>44425</v>
      </c>
      <c r="C230" s="1" t="n">
        <v>45763</v>
      </c>
      <c r="D230" t="inlineStr">
        <is>
          <t>VÄSTRA GÖTALANDS LÄN</t>
        </is>
      </c>
      <c r="E230" t="inlineStr">
        <is>
          <t>MARIESTAD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42161-2021</t>
        </is>
      </c>
      <c r="B231" s="1" t="n">
        <v>44426</v>
      </c>
      <c r="C231" s="1" t="n">
        <v>45763</v>
      </c>
      <c r="D231" t="inlineStr">
        <is>
          <t>VÄSTRA GÖTALANDS LÄN</t>
        </is>
      </c>
      <c r="E231" t="inlineStr">
        <is>
          <t>MARIESTAD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43562-2021</t>
        </is>
      </c>
      <c r="B232" s="1" t="n">
        <v>44433</v>
      </c>
      <c r="C232" s="1" t="n">
        <v>45763</v>
      </c>
      <c r="D232" t="inlineStr">
        <is>
          <t>VÄSTRA GÖTALANDS LÄN</t>
        </is>
      </c>
      <c r="E232" t="inlineStr">
        <is>
          <t>MARIESTAD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45520-2021</t>
        </is>
      </c>
      <c r="B233" s="1" t="n">
        <v>44440</v>
      </c>
      <c r="C233" s="1" t="n">
        <v>45763</v>
      </c>
      <c r="D233" t="inlineStr">
        <is>
          <t>VÄSTRA GÖTALANDS LÄN</t>
        </is>
      </c>
      <c r="E233" t="inlineStr">
        <is>
          <t>MARIESTAD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46573-2021</t>
        </is>
      </c>
      <c r="B234" s="1" t="n">
        <v>44445</v>
      </c>
      <c r="C234" s="1" t="n">
        <v>45763</v>
      </c>
      <c r="D234" t="inlineStr">
        <is>
          <t>VÄSTRA GÖTALANDS LÄN</t>
        </is>
      </c>
      <c r="E234" t="inlineStr">
        <is>
          <t>MARIESTAD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46655-2021</t>
        </is>
      </c>
      <c r="B235" s="1" t="n">
        <v>44445</v>
      </c>
      <c r="C235" s="1" t="n">
        <v>45763</v>
      </c>
      <c r="D235" t="inlineStr">
        <is>
          <t>VÄSTRA GÖTALANDS LÄN</t>
        </is>
      </c>
      <c r="E235" t="inlineStr">
        <is>
          <t>MARIESTAD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46841-2021</t>
        </is>
      </c>
      <c r="B236" s="1" t="n">
        <v>44446</v>
      </c>
      <c r="C236" s="1" t="n">
        <v>45763</v>
      </c>
      <c r="D236" t="inlineStr">
        <is>
          <t>VÄSTRA GÖTALANDS LÄN</t>
        </is>
      </c>
      <c r="E236" t="inlineStr">
        <is>
          <t>MARIESTAD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46835-2021</t>
        </is>
      </c>
      <c r="B237" s="1" t="n">
        <v>44446</v>
      </c>
      <c r="C237" s="1" t="n">
        <v>45763</v>
      </c>
      <c r="D237" t="inlineStr">
        <is>
          <t>VÄSTRA GÖTALANDS LÄN</t>
        </is>
      </c>
      <c r="E237" t="inlineStr">
        <is>
          <t>MARIESTAD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47076-2021</t>
        </is>
      </c>
      <c r="B238" s="1" t="n">
        <v>44446</v>
      </c>
      <c r="C238" s="1" t="n">
        <v>45763</v>
      </c>
      <c r="D238" t="inlineStr">
        <is>
          <t>VÄSTRA GÖTALANDS LÄN</t>
        </is>
      </c>
      <c r="E238" t="inlineStr">
        <is>
          <t>MARIESTAD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47194-2021</t>
        </is>
      </c>
      <c r="B239" s="1" t="n">
        <v>44447</v>
      </c>
      <c r="C239" s="1" t="n">
        <v>45763</v>
      </c>
      <c r="D239" t="inlineStr">
        <is>
          <t>VÄSTRA GÖTALANDS LÄN</t>
        </is>
      </c>
      <c r="E239" t="inlineStr">
        <is>
          <t>MARIESTAD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47193-2021</t>
        </is>
      </c>
      <c r="B240" s="1" t="n">
        <v>44447</v>
      </c>
      <c r="C240" s="1" t="n">
        <v>45763</v>
      </c>
      <c r="D240" t="inlineStr">
        <is>
          <t>VÄSTRA GÖTALANDS LÄN</t>
        </is>
      </c>
      <c r="E240" t="inlineStr">
        <is>
          <t>MARIESTAD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49106-2021</t>
        </is>
      </c>
      <c r="B241" s="1" t="n">
        <v>44453</v>
      </c>
      <c r="C241" s="1" t="n">
        <v>45763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49896-2021</t>
        </is>
      </c>
      <c r="B242" s="1" t="n">
        <v>44455</v>
      </c>
      <c r="C242" s="1" t="n">
        <v>45763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50817-2021</t>
        </is>
      </c>
      <c r="B243" s="1" t="n">
        <v>44460</v>
      </c>
      <c r="C243" s="1" t="n">
        <v>45763</v>
      </c>
      <c r="D243" t="inlineStr">
        <is>
          <t>VÄSTRA GÖTALANDS LÄN</t>
        </is>
      </c>
      <c r="E243" t="inlineStr">
        <is>
          <t>MARIESTAD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50820-2021</t>
        </is>
      </c>
      <c r="B244" s="1" t="n">
        <v>44460</v>
      </c>
      <c r="C244" s="1" t="n">
        <v>45763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51154-2021</t>
        </is>
      </c>
      <c r="B245" s="1" t="n">
        <v>44461</v>
      </c>
      <c r="C245" s="1" t="n">
        <v>45763</v>
      </c>
      <c r="D245" t="inlineStr">
        <is>
          <t>VÄSTRA GÖTALANDS LÄN</t>
        </is>
      </c>
      <c r="E245" t="inlineStr">
        <is>
          <t>MARIESTAD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51156-2021</t>
        </is>
      </c>
      <c r="B246" s="1" t="n">
        <v>44461</v>
      </c>
      <c r="C246" s="1" t="n">
        <v>45763</v>
      </c>
      <c r="D246" t="inlineStr">
        <is>
          <t>VÄSTRA GÖTALANDS LÄN</t>
        </is>
      </c>
      <c r="E246" t="inlineStr">
        <is>
          <t>MARIESTAD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51153-2021</t>
        </is>
      </c>
      <c r="B247" s="1" t="n">
        <v>44461</v>
      </c>
      <c r="C247" s="1" t="n">
        <v>45763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54484-2021</t>
        </is>
      </c>
      <c r="B248" s="1" t="n">
        <v>44473</v>
      </c>
      <c r="C248" s="1" t="n">
        <v>45763</v>
      </c>
      <c r="D248" t="inlineStr">
        <is>
          <t>VÄSTRA GÖTALANDS LÄN</t>
        </is>
      </c>
      <c r="E248" t="inlineStr">
        <is>
          <t>MARIESTAD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57732-2021</t>
        </is>
      </c>
      <c r="B249" s="1" t="n">
        <v>44484</v>
      </c>
      <c r="C249" s="1" t="n">
        <v>45763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Kyrkan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57794-2021</t>
        </is>
      </c>
      <c r="B250" s="1" t="n">
        <v>44484</v>
      </c>
      <c r="C250" s="1" t="n">
        <v>45763</v>
      </c>
      <c r="D250" t="inlineStr">
        <is>
          <t>VÄSTRA GÖTALANDS LÄN</t>
        </is>
      </c>
      <c r="E250" t="inlineStr">
        <is>
          <t>MARIESTAD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58598-2021</t>
        </is>
      </c>
      <c r="B251" s="1" t="n">
        <v>44489</v>
      </c>
      <c r="C251" s="1" t="n">
        <v>45763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60390-2021</t>
        </is>
      </c>
      <c r="B252" s="1" t="n">
        <v>44496</v>
      </c>
      <c r="C252" s="1" t="n">
        <v>45763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60335-2021</t>
        </is>
      </c>
      <c r="B253" s="1" t="n">
        <v>44496</v>
      </c>
      <c r="C253" s="1" t="n">
        <v>45763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60376-2021</t>
        </is>
      </c>
      <c r="B254" s="1" t="n">
        <v>44496</v>
      </c>
      <c r="C254" s="1" t="n">
        <v>45763</v>
      </c>
      <c r="D254" t="inlineStr">
        <is>
          <t>VÄSTRA GÖTALANDS LÄN</t>
        </is>
      </c>
      <c r="E254" t="inlineStr">
        <is>
          <t>MARIESTAD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65472-2021</t>
        </is>
      </c>
      <c r="B255" s="1" t="n">
        <v>44516</v>
      </c>
      <c r="C255" s="1" t="n">
        <v>45763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65458-2021</t>
        </is>
      </c>
      <c r="B256" s="1" t="n">
        <v>44516</v>
      </c>
      <c r="C256" s="1" t="n">
        <v>45763</v>
      </c>
      <c r="D256" t="inlineStr">
        <is>
          <t>VÄSTRA GÖTALANDS LÄN</t>
        </is>
      </c>
      <c r="E256" t="inlineStr">
        <is>
          <t>MARIESTAD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66772-2021</t>
        </is>
      </c>
      <c r="B257" s="1" t="n">
        <v>44521</v>
      </c>
      <c r="C257" s="1" t="n">
        <v>45763</v>
      </c>
      <c r="D257" t="inlineStr">
        <is>
          <t>VÄSTRA GÖTALANDS LÄN</t>
        </is>
      </c>
      <c r="E257" t="inlineStr">
        <is>
          <t>MARIESTAD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66771-2021</t>
        </is>
      </c>
      <c r="B258" s="1" t="n">
        <v>44521</v>
      </c>
      <c r="C258" s="1" t="n">
        <v>45763</v>
      </c>
      <c r="D258" t="inlineStr">
        <is>
          <t>VÄSTRA GÖTALANDS LÄN</t>
        </is>
      </c>
      <c r="E258" t="inlineStr">
        <is>
          <t>MARIESTAD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67133-2021</t>
        </is>
      </c>
      <c r="B259" s="1" t="n">
        <v>44523</v>
      </c>
      <c r="C259" s="1" t="n">
        <v>45763</v>
      </c>
      <c r="D259" t="inlineStr">
        <is>
          <t>VÄSTRA GÖTALANDS LÄN</t>
        </is>
      </c>
      <c r="E259" t="inlineStr">
        <is>
          <t>MARIESTAD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67142-2021</t>
        </is>
      </c>
      <c r="B260" s="1" t="n">
        <v>44523</v>
      </c>
      <c r="C260" s="1" t="n">
        <v>45763</v>
      </c>
      <c r="D260" t="inlineStr">
        <is>
          <t>VÄSTRA GÖTALANDS LÄN</t>
        </is>
      </c>
      <c r="E260" t="inlineStr">
        <is>
          <t>MARIESTAD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67146-2021</t>
        </is>
      </c>
      <c r="B261" s="1" t="n">
        <v>44523</v>
      </c>
      <c r="C261" s="1" t="n">
        <v>45763</v>
      </c>
      <c r="D261" t="inlineStr">
        <is>
          <t>VÄSTRA GÖTALANDS LÄN</t>
        </is>
      </c>
      <c r="E261" t="inlineStr">
        <is>
          <t>MARIESTAD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68081-2021</t>
        </is>
      </c>
      <c r="B262" s="1" t="n">
        <v>44526</v>
      </c>
      <c r="C262" s="1" t="n">
        <v>45763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68922-2021</t>
        </is>
      </c>
      <c r="B263" s="1" t="n">
        <v>44530</v>
      </c>
      <c r="C263" s="1" t="n">
        <v>45763</v>
      </c>
      <c r="D263" t="inlineStr">
        <is>
          <t>VÄSTRA GÖTALANDS LÄN</t>
        </is>
      </c>
      <c r="E263" t="inlineStr">
        <is>
          <t>MARIESTAD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70260-2021</t>
        </is>
      </c>
      <c r="B264" s="1" t="n">
        <v>44536</v>
      </c>
      <c r="C264" s="1" t="n">
        <v>45763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70259-2021</t>
        </is>
      </c>
      <c r="B265" s="1" t="n">
        <v>44536</v>
      </c>
      <c r="C265" s="1" t="n">
        <v>45763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70295-2021</t>
        </is>
      </c>
      <c r="B266" s="1" t="n">
        <v>44536</v>
      </c>
      <c r="C266" s="1" t="n">
        <v>45763</v>
      </c>
      <c r="D266" t="inlineStr">
        <is>
          <t>VÄSTRA GÖTALANDS LÄN</t>
        </is>
      </c>
      <c r="E266" t="inlineStr">
        <is>
          <t>MARIESTAD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71210-2021</t>
        </is>
      </c>
      <c r="B267" s="1" t="n">
        <v>44539</v>
      </c>
      <c r="C267" s="1" t="n">
        <v>45763</v>
      </c>
      <c r="D267" t="inlineStr">
        <is>
          <t>VÄSTRA GÖTALANDS LÄN</t>
        </is>
      </c>
      <c r="E267" t="inlineStr">
        <is>
          <t>MARIESTAD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72651-2021</t>
        </is>
      </c>
      <c r="B268" s="1" t="n">
        <v>44546</v>
      </c>
      <c r="C268" s="1" t="n">
        <v>45763</v>
      </c>
      <c r="D268" t="inlineStr">
        <is>
          <t>VÄSTRA GÖTALANDS LÄN</t>
        </is>
      </c>
      <c r="E268" t="inlineStr">
        <is>
          <t>MARIESTAD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74081-2021</t>
        </is>
      </c>
      <c r="B269" s="1" t="n">
        <v>44553</v>
      </c>
      <c r="C269" s="1" t="n">
        <v>45763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813-2022</t>
        </is>
      </c>
      <c r="B270" s="1" t="n">
        <v>44571</v>
      </c>
      <c r="C270" s="1" t="n">
        <v>45763</v>
      </c>
      <c r="D270" t="inlineStr">
        <is>
          <t>VÄSTRA GÖTALANDS LÄN</t>
        </is>
      </c>
      <c r="E270" t="inlineStr">
        <is>
          <t>MARIESTAD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1113-2022</t>
        </is>
      </c>
      <c r="B271" s="1" t="n">
        <v>44572</v>
      </c>
      <c r="C271" s="1" t="n">
        <v>45763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Naturvårdsverket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1636-2022</t>
        </is>
      </c>
      <c r="B272" s="1" t="n">
        <v>44574</v>
      </c>
      <c r="C272" s="1" t="n">
        <v>45763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1640-2022</t>
        </is>
      </c>
      <c r="B273" s="1" t="n">
        <v>44574</v>
      </c>
      <c r="C273" s="1" t="n">
        <v>45763</v>
      </c>
      <c r="D273" t="inlineStr">
        <is>
          <t>VÄSTRA GÖTALANDS LÄN</t>
        </is>
      </c>
      <c r="E273" t="inlineStr">
        <is>
          <t>MARIESTAD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2769-2022</t>
        </is>
      </c>
      <c r="B274" s="1" t="n">
        <v>44581</v>
      </c>
      <c r="C274" s="1" t="n">
        <v>45763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3853-2022</t>
        </is>
      </c>
      <c r="B275" s="1" t="n">
        <v>44587</v>
      </c>
      <c r="C275" s="1" t="n">
        <v>45763</v>
      </c>
      <c r="D275" t="inlineStr">
        <is>
          <t>VÄSTRA GÖTALANDS LÄN</t>
        </is>
      </c>
      <c r="E275" t="inlineStr">
        <is>
          <t>MARIESTAD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4631-2022</t>
        </is>
      </c>
      <c r="B276" s="1" t="n">
        <v>44592</v>
      </c>
      <c r="C276" s="1" t="n">
        <v>45763</v>
      </c>
      <c r="D276" t="inlineStr">
        <is>
          <t>VÄSTRA GÖTALANDS LÄN</t>
        </is>
      </c>
      <c r="E276" t="inlineStr">
        <is>
          <t>MARIESTAD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6448-2022</t>
        </is>
      </c>
      <c r="B277" s="1" t="n">
        <v>44601</v>
      </c>
      <c r="C277" s="1" t="n">
        <v>45763</v>
      </c>
      <c r="D277" t="inlineStr">
        <is>
          <t>VÄSTRA GÖTALANDS LÄN</t>
        </is>
      </c>
      <c r="E277" t="inlineStr">
        <is>
          <t>MARIESTAD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7831-2022</t>
        </is>
      </c>
      <c r="B278" s="1" t="n">
        <v>44608</v>
      </c>
      <c r="C278" s="1" t="n">
        <v>45763</v>
      </c>
      <c r="D278" t="inlineStr">
        <is>
          <t>VÄSTRA GÖTALANDS LÄN</t>
        </is>
      </c>
      <c r="E278" t="inlineStr">
        <is>
          <t>MARIESTAD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8265-2022</t>
        </is>
      </c>
      <c r="B279" s="1" t="n">
        <v>44610</v>
      </c>
      <c r="C279" s="1" t="n">
        <v>45763</v>
      </c>
      <c r="D279" t="inlineStr">
        <is>
          <t>VÄSTRA GÖTALANDS LÄN</t>
        </is>
      </c>
      <c r="E279" t="inlineStr">
        <is>
          <t>MARIESTAD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8849-2022</t>
        </is>
      </c>
      <c r="B280" s="1" t="n">
        <v>44614</v>
      </c>
      <c r="C280" s="1" t="n">
        <v>45763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8830-2022</t>
        </is>
      </c>
      <c r="B281" s="1" t="n">
        <v>44614</v>
      </c>
      <c r="C281" s="1" t="n">
        <v>45763</v>
      </c>
      <c r="D281" t="inlineStr">
        <is>
          <t>VÄSTRA GÖTALANDS LÄN</t>
        </is>
      </c>
      <c r="E281" t="inlineStr">
        <is>
          <t>MARIESTAD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8852-2022</t>
        </is>
      </c>
      <c r="B282" s="1" t="n">
        <v>44614</v>
      </c>
      <c r="C282" s="1" t="n">
        <v>45763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8853-2022</t>
        </is>
      </c>
      <c r="B283" s="1" t="n">
        <v>44614</v>
      </c>
      <c r="C283" s="1" t="n">
        <v>45763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8854-2022</t>
        </is>
      </c>
      <c r="B284" s="1" t="n">
        <v>44614</v>
      </c>
      <c r="C284" s="1" t="n">
        <v>45763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9451-2022</t>
        </is>
      </c>
      <c r="B285" s="1" t="n">
        <v>44616</v>
      </c>
      <c r="C285" s="1" t="n">
        <v>45763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9300-2022</t>
        </is>
      </c>
      <c r="B286" s="1" t="n">
        <v>44616</v>
      </c>
      <c r="C286" s="1" t="n">
        <v>45763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9413-2022</t>
        </is>
      </c>
      <c r="B287" s="1" t="n">
        <v>44616</v>
      </c>
      <c r="C287" s="1" t="n">
        <v>45763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9410-2022</t>
        </is>
      </c>
      <c r="B288" s="1" t="n">
        <v>44616</v>
      </c>
      <c r="C288" s="1" t="n">
        <v>45763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9444-2022</t>
        </is>
      </c>
      <c r="B289" s="1" t="n">
        <v>44616</v>
      </c>
      <c r="C289" s="1" t="n">
        <v>45763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9610-2022</t>
        </is>
      </c>
      <c r="B290" s="1" t="n">
        <v>44617</v>
      </c>
      <c r="C290" s="1" t="n">
        <v>45763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9633-2022</t>
        </is>
      </c>
      <c r="B291" s="1" t="n">
        <v>44617</v>
      </c>
      <c r="C291" s="1" t="n">
        <v>45763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9651-2022</t>
        </is>
      </c>
      <c r="B292" s="1" t="n">
        <v>44617</v>
      </c>
      <c r="C292" s="1" t="n">
        <v>45763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9606-2022</t>
        </is>
      </c>
      <c r="B293" s="1" t="n">
        <v>44617</v>
      </c>
      <c r="C293" s="1" t="n">
        <v>45763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9774-2022</t>
        </is>
      </c>
      <c r="B294" s="1" t="n">
        <v>44619</v>
      </c>
      <c r="C294" s="1" t="n">
        <v>45763</v>
      </c>
      <c r="D294" t="inlineStr">
        <is>
          <t>VÄSTRA GÖTALANDS LÄN</t>
        </is>
      </c>
      <c r="E294" t="inlineStr">
        <is>
          <t>MARIESTAD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9793-2022</t>
        </is>
      </c>
      <c r="B295" s="1" t="n">
        <v>44620</v>
      </c>
      <c r="C295" s="1" t="n">
        <v>45763</v>
      </c>
      <c r="D295" t="inlineStr">
        <is>
          <t>VÄSTRA GÖTALANDS LÄN</t>
        </is>
      </c>
      <c r="E295" t="inlineStr">
        <is>
          <t>MARIESTAD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9828-2022</t>
        </is>
      </c>
      <c r="B296" s="1" t="n">
        <v>44620</v>
      </c>
      <c r="C296" s="1" t="n">
        <v>45763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10192-2022</t>
        </is>
      </c>
      <c r="B297" s="1" t="n">
        <v>44622</v>
      </c>
      <c r="C297" s="1" t="n">
        <v>45763</v>
      </c>
      <c r="D297" t="inlineStr">
        <is>
          <t>VÄSTRA GÖTALANDS LÄN</t>
        </is>
      </c>
      <c r="E297" t="inlineStr">
        <is>
          <t>MARIESTAD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11147-2022</t>
        </is>
      </c>
      <c r="B298" s="1" t="n">
        <v>44629</v>
      </c>
      <c r="C298" s="1" t="n">
        <v>45763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11397-2022</t>
        </is>
      </c>
      <c r="B299" s="1" t="n">
        <v>44630</v>
      </c>
      <c r="C299" s="1" t="n">
        <v>45763</v>
      </c>
      <c r="D299" t="inlineStr">
        <is>
          <t>VÄSTRA GÖTALANDS LÄN</t>
        </is>
      </c>
      <c r="E299" t="inlineStr">
        <is>
          <t>MARIESTAD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12532-2022</t>
        </is>
      </c>
      <c r="B300" s="1" t="n">
        <v>44638</v>
      </c>
      <c r="C300" s="1" t="n">
        <v>45763</v>
      </c>
      <c r="D300" t="inlineStr">
        <is>
          <t>VÄSTRA GÖTALANDS LÄN</t>
        </is>
      </c>
      <c r="E300" t="inlineStr">
        <is>
          <t>MARIESTAD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13315-2022</t>
        </is>
      </c>
      <c r="B301" s="1" t="n">
        <v>44645</v>
      </c>
      <c r="C301" s="1" t="n">
        <v>45763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13790-2022</t>
        </is>
      </c>
      <c r="B302" s="1" t="n">
        <v>44649</v>
      </c>
      <c r="C302" s="1" t="n">
        <v>45763</v>
      </c>
      <c r="D302" t="inlineStr">
        <is>
          <t>VÄSTRA GÖTALANDS LÄN</t>
        </is>
      </c>
      <c r="E302" t="inlineStr">
        <is>
          <t>MARIESTAD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13798-2022</t>
        </is>
      </c>
      <c r="B303" s="1" t="n">
        <v>44649</v>
      </c>
      <c r="C303" s="1" t="n">
        <v>45763</v>
      </c>
      <c r="D303" t="inlineStr">
        <is>
          <t>VÄSTRA GÖTALANDS LÄN</t>
        </is>
      </c>
      <c r="E303" t="inlineStr">
        <is>
          <t>MARIESTAD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17371-2022</t>
        </is>
      </c>
      <c r="B304" s="1" t="n">
        <v>44678</v>
      </c>
      <c r="C304" s="1" t="n">
        <v>45763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19544-2022</t>
        </is>
      </c>
      <c r="B305" s="1" t="n">
        <v>44693</v>
      </c>
      <c r="C305" s="1" t="n">
        <v>45763</v>
      </c>
      <c r="D305" t="inlineStr">
        <is>
          <t>VÄSTRA GÖTALANDS LÄN</t>
        </is>
      </c>
      <c r="E305" t="inlineStr">
        <is>
          <t>MARIESTAD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19553-2022</t>
        </is>
      </c>
      <c r="B306" s="1" t="n">
        <v>44693</v>
      </c>
      <c r="C306" s="1" t="n">
        <v>45763</v>
      </c>
      <c r="D306" t="inlineStr">
        <is>
          <t>VÄSTRA GÖTALANDS LÄN</t>
        </is>
      </c>
      <c r="E306" t="inlineStr">
        <is>
          <t>MARIESTAD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19616-2022</t>
        </is>
      </c>
      <c r="B307" s="1" t="n">
        <v>44694</v>
      </c>
      <c r="C307" s="1" t="n">
        <v>45763</v>
      </c>
      <c r="D307" t="inlineStr">
        <is>
          <t>VÄSTRA GÖTALANDS LÄN</t>
        </is>
      </c>
      <c r="E307" t="inlineStr">
        <is>
          <t>MARIESTAD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19860-2022</t>
        </is>
      </c>
      <c r="B308" s="1" t="n">
        <v>44697</v>
      </c>
      <c r="C308" s="1" t="n">
        <v>45763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19861-2022</t>
        </is>
      </c>
      <c r="B309" s="1" t="n">
        <v>44697</v>
      </c>
      <c r="C309" s="1" t="n">
        <v>45763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21899-2022</t>
        </is>
      </c>
      <c r="B310" s="1" t="n">
        <v>44711</v>
      </c>
      <c r="C310" s="1" t="n">
        <v>45763</v>
      </c>
      <c r="D310" t="inlineStr">
        <is>
          <t>VÄSTRA GÖTALANDS LÄN</t>
        </is>
      </c>
      <c r="E310" t="inlineStr">
        <is>
          <t>MARIESTAD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26688-2022</t>
        </is>
      </c>
      <c r="B311" s="1" t="n">
        <v>44739</v>
      </c>
      <c r="C311" s="1" t="n">
        <v>45763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28044-2022</t>
        </is>
      </c>
      <c r="B312" s="1" t="n">
        <v>44746</v>
      </c>
      <c r="C312" s="1" t="n">
        <v>45763</v>
      </c>
      <c r="D312" t="inlineStr">
        <is>
          <t>VÄSTRA GÖTALANDS LÄN</t>
        </is>
      </c>
      <c r="E312" t="inlineStr">
        <is>
          <t>MARIESTAD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28050-2022</t>
        </is>
      </c>
      <c r="B313" s="1" t="n">
        <v>44746</v>
      </c>
      <c r="C313" s="1" t="n">
        <v>45763</v>
      </c>
      <c r="D313" t="inlineStr">
        <is>
          <t>VÄSTRA GÖTALANDS LÄN</t>
        </is>
      </c>
      <c r="E313" t="inlineStr">
        <is>
          <t>MARIESTAD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28056-2022</t>
        </is>
      </c>
      <c r="B314" s="1" t="n">
        <v>44746</v>
      </c>
      <c r="C314" s="1" t="n">
        <v>45763</v>
      </c>
      <c r="D314" t="inlineStr">
        <is>
          <t>VÄSTRA GÖTALANDS LÄN</t>
        </is>
      </c>
      <c r="E314" t="inlineStr">
        <is>
          <t>MARIESTAD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28049-2022</t>
        </is>
      </c>
      <c r="B315" s="1" t="n">
        <v>44746</v>
      </c>
      <c r="C315" s="1" t="n">
        <v>45763</v>
      </c>
      <c r="D315" t="inlineStr">
        <is>
          <t>VÄSTRA GÖTALANDS LÄN</t>
        </is>
      </c>
      <c r="E315" t="inlineStr">
        <is>
          <t>MARIESTAD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28048-2022</t>
        </is>
      </c>
      <c r="B316" s="1" t="n">
        <v>44746</v>
      </c>
      <c r="C316" s="1" t="n">
        <v>45763</v>
      </c>
      <c r="D316" t="inlineStr">
        <is>
          <t>VÄSTRA GÖTALANDS LÄN</t>
        </is>
      </c>
      <c r="E316" t="inlineStr">
        <is>
          <t>MARIESTAD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28053-2022</t>
        </is>
      </c>
      <c r="B317" s="1" t="n">
        <v>44746</v>
      </c>
      <c r="C317" s="1" t="n">
        <v>45763</v>
      </c>
      <c r="D317" t="inlineStr">
        <is>
          <t>VÄSTRA GÖTALANDS LÄN</t>
        </is>
      </c>
      <c r="E317" t="inlineStr">
        <is>
          <t>MARIESTAD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28161-2022</t>
        </is>
      </c>
      <c r="B318" s="1" t="n">
        <v>44746</v>
      </c>
      <c r="C318" s="1" t="n">
        <v>45763</v>
      </c>
      <c r="D318" t="inlineStr">
        <is>
          <t>VÄSTRA GÖTALANDS LÄN</t>
        </is>
      </c>
      <c r="E318" t="inlineStr">
        <is>
          <t>MARIESTAD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28099-2022</t>
        </is>
      </c>
      <c r="B319" s="1" t="n">
        <v>44746</v>
      </c>
      <c r="C319" s="1" t="n">
        <v>45763</v>
      </c>
      <c r="D319" t="inlineStr">
        <is>
          <t>VÄSTRA GÖTALANDS LÄN</t>
        </is>
      </c>
      <c r="E319" t="inlineStr">
        <is>
          <t>MARIESTAD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28165-2022</t>
        </is>
      </c>
      <c r="B320" s="1" t="n">
        <v>44746</v>
      </c>
      <c r="C320" s="1" t="n">
        <v>45763</v>
      </c>
      <c r="D320" t="inlineStr">
        <is>
          <t>VÄSTRA GÖTALANDS LÄN</t>
        </is>
      </c>
      <c r="E320" t="inlineStr">
        <is>
          <t>MARIESTAD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28162-2022</t>
        </is>
      </c>
      <c r="B321" s="1" t="n">
        <v>44746</v>
      </c>
      <c r="C321" s="1" t="n">
        <v>45763</v>
      </c>
      <c r="D321" t="inlineStr">
        <is>
          <t>VÄSTRA GÖTALANDS LÄN</t>
        </is>
      </c>
      <c r="E321" t="inlineStr">
        <is>
          <t>MARIESTAD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28158-2022</t>
        </is>
      </c>
      <c r="B322" s="1" t="n">
        <v>44746</v>
      </c>
      <c r="C322" s="1" t="n">
        <v>45763</v>
      </c>
      <c r="D322" t="inlineStr">
        <is>
          <t>VÄSTRA GÖTALANDS LÄN</t>
        </is>
      </c>
      <c r="E322" t="inlineStr">
        <is>
          <t>MARIESTAD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29848-2022</t>
        </is>
      </c>
      <c r="B323" s="1" t="n">
        <v>44756</v>
      </c>
      <c r="C323" s="1" t="n">
        <v>45763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29857-2022</t>
        </is>
      </c>
      <c r="B324" s="1" t="n">
        <v>44756</v>
      </c>
      <c r="C324" s="1" t="n">
        <v>45763</v>
      </c>
      <c r="D324" t="inlineStr">
        <is>
          <t>VÄSTRA GÖTALANDS LÄN</t>
        </is>
      </c>
      <c r="E324" t="inlineStr">
        <is>
          <t>MARIESTAD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30827-2022</t>
        </is>
      </c>
      <c r="B325" s="1" t="n">
        <v>44758</v>
      </c>
      <c r="C325" s="1" t="n">
        <v>45763</v>
      </c>
      <c r="D325" t="inlineStr">
        <is>
          <t>VÄSTRA GÖTALANDS LÄN</t>
        </is>
      </c>
      <c r="E325" t="inlineStr">
        <is>
          <t>MARIESTAD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30820-2022</t>
        </is>
      </c>
      <c r="B326" s="1" t="n">
        <v>44766</v>
      </c>
      <c r="C326" s="1" t="n">
        <v>45763</v>
      </c>
      <c r="D326" t="inlineStr">
        <is>
          <t>VÄSTRA GÖTALANDS LÄN</t>
        </is>
      </c>
      <c r="E326" t="inlineStr">
        <is>
          <t>MARIESTAD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30822-2022</t>
        </is>
      </c>
      <c r="B327" s="1" t="n">
        <v>44766</v>
      </c>
      <c r="C327" s="1" t="n">
        <v>45763</v>
      </c>
      <c r="D327" t="inlineStr">
        <is>
          <t>VÄSTRA GÖTALANDS LÄN</t>
        </is>
      </c>
      <c r="E327" t="inlineStr">
        <is>
          <t>MARIESTAD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31384-2022</t>
        </is>
      </c>
      <c r="B328" s="1" t="n">
        <v>44774</v>
      </c>
      <c r="C328" s="1" t="n">
        <v>45763</v>
      </c>
      <c r="D328" t="inlineStr">
        <is>
          <t>VÄSTRA GÖTALANDS LÄN</t>
        </is>
      </c>
      <c r="E328" t="inlineStr">
        <is>
          <t>MARIESTAD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35047-2022</t>
        </is>
      </c>
      <c r="B329" s="1" t="n">
        <v>44797</v>
      </c>
      <c r="C329" s="1" t="n">
        <v>45763</v>
      </c>
      <c r="D329" t="inlineStr">
        <is>
          <t>VÄSTRA GÖTALANDS LÄN</t>
        </is>
      </c>
      <c r="E329" t="inlineStr">
        <is>
          <t>MARIESTAD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38114-2022</t>
        </is>
      </c>
      <c r="B330" s="1" t="n">
        <v>44812</v>
      </c>
      <c r="C330" s="1" t="n">
        <v>45763</v>
      </c>
      <c r="D330" t="inlineStr">
        <is>
          <t>VÄSTRA GÖTALANDS LÄN</t>
        </is>
      </c>
      <c r="E330" t="inlineStr">
        <is>
          <t>MARIESTAD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38108-2022</t>
        </is>
      </c>
      <c r="B331" s="1" t="n">
        <v>44812</v>
      </c>
      <c r="C331" s="1" t="n">
        <v>45763</v>
      </c>
      <c r="D331" t="inlineStr">
        <is>
          <t>VÄSTRA GÖTALANDS LÄN</t>
        </is>
      </c>
      <c r="E331" t="inlineStr">
        <is>
          <t>MARIESTAD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38393-2022</t>
        </is>
      </c>
      <c r="B332" s="1" t="n">
        <v>44812</v>
      </c>
      <c r="C332" s="1" t="n">
        <v>45763</v>
      </c>
      <c r="D332" t="inlineStr">
        <is>
          <t>VÄSTRA GÖTALANDS LÄN</t>
        </is>
      </c>
      <c r="E332" t="inlineStr">
        <is>
          <t>MARIESTAD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38817-2022</t>
        </is>
      </c>
      <c r="B333" s="1" t="n">
        <v>44816</v>
      </c>
      <c r="C333" s="1" t="n">
        <v>45763</v>
      </c>
      <c r="D333" t="inlineStr">
        <is>
          <t>VÄSTRA GÖTALANDS LÄN</t>
        </is>
      </c>
      <c r="E333" t="inlineStr">
        <is>
          <t>MARIESTAD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40880-2022</t>
        </is>
      </c>
      <c r="B334" s="1" t="n">
        <v>44825</v>
      </c>
      <c r="C334" s="1" t="n">
        <v>45763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42000-2022</t>
        </is>
      </c>
      <c r="B335" s="1" t="n">
        <v>44830</v>
      </c>
      <c r="C335" s="1" t="n">
        <v>45763</v>
      </c>
      <c r="D335" t="inlineStr">
        <is>
          <t>VÄSTRA GÖTALANDS LÄN</t>
        </is>
      </c>
      <c r="E335" t="inlineStr">
        <is>
          <t>MARIESTAD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41993-2022</t>
        </is>
      </c>
      <c r="B336" s="1" t="n">
        <v>44830</v>
      </c>
      <c r="C336" s="1" t="n">
        <v>45763</v>
      </c>
      <c r="D336" t="inlineStr">
        <is>
          <t>VÄSTRA GÖTALANDS LÄN</t>
        </is>
      </c>
      <c r="E336" t="inlineStr">
        <is>
          <t>MARIESTAD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42341-2022</t>
        </is>
      </c>
      <c r="B337" s="1" t="n">
        <v>44831</v>
      </c>
      <c r="C337" s="1" t="n">
        <v>45763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42334-2022</t>
        </is>
      </c>
      <c r="B338" s="1" t="n">
        <v>44831</v>
      </c>
      <c r="C338" s="1" t="n">
        <v>45763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43299-2022</t>
        </is>
      </c>
      <c r="B339" s="1" t="n">
        <v>44833</v>
      </c>
      <c r="C339" s="1" t="n">
        <v>45763</v>
      </c>
      <c r="D339" t="inlineStr">
        <is>
          <t>VÄSTRA GÖTALANDS LÄN</t>
        </is>
      </c>
      <c r="E339" t="inlineStr">
        <is>
          <t>MARIESTAD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43468-2022</t>
        </is>
      </c>
      <c r="B340" s="1" t="n">
        <v>44836</v>
      </c>
      <c r="C340" s="1" t="n">
        <v>45763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43466-2022</t>
        </is>
      </c>
      <c r="B341" s="1" t="n">
        <v>44836</v>
      </c>
      <c r="C341" s="1" t="n">
        <v>45763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44464-2022</t>
        </is>
      </c>
      <c r="B342" s="1" t="n">
        <v>44840</v>
      </c>
      <c r="C342" s="1" t="n">
        <v>45763</v>
      </c>
      <c r="D342" t="inlineStr">
        <is>
          <t>VÄSTRA GÖTALANDS LÄN</t>
        </is>
      </c>
      <c r="E342" t="inlineStr">
        <is>
          <t>MARIESTAD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45110-2022</t>
        </is>
      </c>
      <c r="B343" s="1" t="n">
        <v>44843</v>
      </c>
      <c r="C343" s="1" t="n">
        <v>45763</v>
      </c>
      <c r="D343" t="inlineStr">
        <is>
          <t>VÄSTRA GÖTALANDS LÄN</t>
        </is>
      </c>
      <c r="E343" t="inlineStr">
        <is>
          <t>MARIESTAD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45636-2022</t>
        </is>
      </c>
      <c r="B344" s="1" t="n">
        <v>44843</v>
      </c>
      <c r="C344" s="1" t="n">
        <v>45763</v>
      </c>
      <c r="D344" t="inlineStr">
        <is>
          <t>VÄSTRA GÖTALANDS LÄN</t>
        </is>
      </c>
      <c r="E344" t="inlineStr">
        <is>
          <t>MARIESTAD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45138-2022</t>
        </is>
      </c>
      <c r="B345" s="1" t="n">
        <v>44844</v>
      </c>
      <c r="C345" s="1" t="n">
        <v>45763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45141-2022</t>
        </is>
      </c>
      <c r="B346" s="1" t="n">
        <v>44844</v>
      </c>
      <c r="C346" s="1" t="n">
        <v>45763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45139-2022</t>
        </is>
      </c>
      <c r="B347" s="1" t="n">
        <v>44844</v>
      </c>
      <c r="C347" s="1" t="n">
        <v>45763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46523-2022</t>
        </is>
      </c>
      <c r="B348" s="1" t="n">
        <v>44847</v>
      </c>
      <c r="C348" s="1" t="n">
        <v>45763</v>
      </c>
      <c r="D348" t="inlineStr">
        <is>
          <t>VÄSTRA GÖTALANDS LÄN</t>
        </is>
      </c>
      <c r="E348" t="inlineStr">
        <is>
          <t>MARIESTAD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46555-2022</t>
        </is>
      </c>
      <c r="B349" s="1" t="n">
        <v>44848</v>
      </c>
      <c r="C349" s="1" t="n">
        <v>45763</v>
      </c>
      <c r="D349" t="inlineStr">
        <is>
          <t>VÄSTRA GÖTALANDS LÄN</t>
        </is>
      </c>
      <c r="E349" t="inlineStr">
        <is>
          <t>MARIESTAD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46900-2022</t>
        </is>
      </c>
      <c r="B350" s="1" t="n">
        <v>44851</v>
      </c>
      <c r="C350" s="1" t="n">
        <v>45763</v>
      </c>
      <c r="D350" t="inlineStr">
        <is>
          <t>VÄSTRA GÖTALANDS LÄN</t>
        </is>
      </c>
      <c r="E350" t="inlineStr">
        <is>
          <t>MARIESTAD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47034-2022</t>
        </is>
      </c>
      <c r="B351" s="1" t="n">
        <v>44852</v>
      </c>
      <c r="C351" s="1" t="n">
        <v>45763</v>
      </c>
      <c r="D351" t="inlineStr">
        <is>
          <t>VÄSTRA GÖTALANDS LÄN</t>
        </is>
      </c>
      <c r="E351" t="inlineStr">
        <is>
          <t>MARIESTAD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48348-2022</t>
        </is>
      </c>
      <c r="B352" s="1" t="n">
        <v>44858</v>
      </c>
      <c r="C352" s="1" t="n">
        <v>45763</v>
      </c>
      <c r="D352" t="inlineStr">
        <is>
          <t>VÄSTRA GÖTALANDS LÄN</t>
        </is>
      </c>
      <c r="E352" t="inlineStr">
        <is>
          <t>MARIESTAD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49932-2022</t>
        </is>
      </c>
      <c r="B353" s="1" t="n">
        <v>44865</v>
      </c>
      <c r="C353" s="1" t="n">
        <v>45763</v>
      </c>
      <c r="D353" t="inlineStr">
        <is>
          <t>VÄSTRA GÖTALANDS LÄN</t>
        </is>
      </c>
      <c r="E353" t="inlineStr">
        <is>
          <t>MARIESTAD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51032-2022</t>
        </is>
      </c>
      <c r="B354" s="1" t="n">
        <v>44868</v>
      </c>
      <c r="C354" s="1" t="n">
        <v>45763</v>
      </c>
      <c r="D354" t="inlineStr">
        <is>
          <t>VÄSTRA GÖTALANDS LÄN</t>
        </is>
      </c>
      <c r="E354" t="inlineStr">
        <is>
          <t>MARIESTAD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51289-2022</t>
        </is>
      </c>
      <c r="B355" s="1" t="n">
        <v>44868</v>
      </c>
      <c r="C355" s="1" t="n">
        <v>45763</v>
      </c>
      <c r="D355" t="inlineStr">
        <is>
          <t>VÄSTRA GÖTALANDS LÄN</t>
        </is>
      </c>
      <c r="E355" t="inlineStr">
        <is>
          <t>MARIESTAD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53097-2022</t>
        </is>
      </c>
      <c r="B356" s="1" t="n">
        <v>44876</v>
      </c>
      <c r="C356" s="1" t="n">
        <v>45763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Kyrkan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53380-2022</t>
        </is>
      </c>
      <c r="B357" s="1" t="n">
        <v>44879</v>
      </c>
      <c r="C357" s="1" t="n">
        <v>45763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53375-2022</t>
        </is>
      </c>
      <c r="B358" s="1" t="n">
        <v>44879</v>
      </c>
      <c r="C358" s="1" t="n">
        <v>45763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53377-2022</t>
        </is>
      </c>
      <c r="B359" s="1" t="n">
        <v>44879</v>
      </c>
      <c r="C359" s="1" t="n">
        <v>45763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53579-2022</t>
        </is>
      </c>
      <c r="B360" s="1" t="n">
        <v>44879</v>
      </c>
      <c r="C360" s="1" t="n">
        <v>45763</v>
      </c>
      <c r="D360" t="inlineStr">
        <is>
          <t>VÄSTRA GÖTALANDS LÄN</t>
        </is>
      </c>
      <c r="E360" t="inlineStr">
        <is>
          <t>MARIESTAD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53758-2022</t>
        </is>
      </c>
      <c r="B361" s="1" t="n">
        <v>44880</v>
      </c>
      <c r="C361" s="1" t="n">
        <v>45763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53822-2022</t>
        </is>
      </c>
      <c r="B362" s="1" t="n">
        <v>44880</v>
      </c>
      <c r="C362" s="1" t="n">
        <v>45763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54235-2022</t>
        </is>
      </c>
      <c r="B363" s="1" t="n">
        <v>44881</v>
      </c>
      <c r="C363" s="1" t="n">
        <v>45763</v>
      </c>
      <c r="D363" t="inlineStr">
        <is>
          <t>VÄSTRA GÖTALANDS LÄN</t>
        </is>
      </c>
      <c r="E363" t="inlineStr">
        <is>
          <t>MARIESTAD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54225-2022</t>
        </is>
      </c>
      <c r="B364" s="1" t="n">
        <v>44881</v>
      </c>
      <c r="C364" s="1" t="n">
        <v>45763</v>
      </c>
      <c r="D364" t="inlineStr">
        <is>
          <t>VÄSTRA GÖTALANDS LÄN</t>
        </is>
      </c>
      <c r="E364" t="inlineStr">
        <is>
          <t>MARIESTAD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54719-2022</t>
        </is>
      </c>
      <c r="B365" s="1" t="n">
        <v>44883</v>
      </c>
      <c r="C365" s="1" t="n">
        <v>45763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54707-2022</t>
        </is>
      </c>
      <c r="B366" s="1" t="n">
        <v>44883</v>
      </c>
      <c r="C366" s="1" t="n">
        <v>45763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54717-2022</t>
        </is>
      </c>
      <c r="B367" s="1" t="n">
        <v>44883</v>
      </c>
      <c r="C367" s="1" t="n">
        <v>45763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54709-2022</t>
        </is>
      </c>
      <c r="B368" s="1" t="n">
        <v>44883</v>
      </c>
      <c r="C368" s="1" t="n">
        <v>45763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54626-2022</t>
        </is>
      </c>
      <c r="B369" s="1" t="n">
        <v>44883</v>
      </c>
      <c r="C369" s="1" t="n">
        <v>45763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54710-2022</t>
        </is>
      </c>
      <c r="B370" s="1" t="n">
        <v>44883</v>
      </c>
      <c r="C370" s="1" t="n">
        <v>45763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56344-2022</t>
        </is>
      </c>
      <c r="B371" s="1" t="n">
        <v>44890</v>
      </c>
      <c r="C371" s="1" t="n">
        <v>45763</v>
      </c>
      <c r="D371" t="inlineStr">
        <is>
          <t>VÄSTRA GÖTALANDS LÄN</t>
        </is>
      </c>
      <c r="E371" t="inlineStr">
        <is>
          <t>MARIESTAD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56793-2022</t>
        </is>
      </c>
      <c r="B372" s="1" t="n">
        <v>44894</v>
      </c>
      <c r="C372" s="1" t="n">
        <v>45763</v>
      </c>
      <c r="D372" t="inlineStr">
        <is>
          <t>VÄSTRA GÖTALANDS LÄN</t>
        </is>
      </c>
      <c r="E372" t="inlineStr">
        <is>
          <t>MARIESTAD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58077-2022</t>
        </is>
      </c>
      <c r="B373" s="1" t="n">
        <v>44900</v>
      </c>
      <c r="C373" s="1" t="n">
        <v>45763</v>
      </c>
      <c r="D373" t="inlineStr">
        <is>
          <t>VÄSTRA GÖTALANDS LÄN</t>
        </is>
      </c>
      <c r="E373" t="inlineStr">
        <is>
          <t>MARIESTAD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58286-2022</t>
        </is>
      </c>
      <c r="B374" s="1" t="n">
        <v>44901</v>
      </c>
      <c r="C374" s="1" t="n">
        <v>45763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58896-2022</t>
        </is>
      </c>
      <c r="B375" s="1" t="n">
        <v>44903</v>
      </c>
      <c r="C375" s="1" t="n">
        <v>45763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61716-2022</t>
        </is>
      </c>
      <c r="B376" s="1" t="n">
        <v>44917</v>
      </c>
      <c r="C376" s="1" t="n">
        <v>45763</v>
      </c>
      <c r="D376" t="inlineStr">
        <is>
          <t>VÄSTRA GÖTALANDS LÄN</t>
        </is>
      </c>
      <c r="E376" t="inlineStr">
        <is>
          <t>MARIESTAD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629-2023</t>
        </is>
      </c>
      <c r="B377" s="1" t="n">
        <v>44930</v>
      </c>
      <c r="C377" s="1" t="n">
        <v>45763</v>
      </c>
      <c r="D377" t="inlineStr">
        <is>
          <t>VÄSTRA GÖTALANDS LÄN</t>
        </is>
      </c>
      <c r="E377" t="inlineStr">
        <is>
          <t>MARIESTAD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983-2023</t>
        </is>
      </c>
      <c r="B378" s="1" t="n">
        <v>44935</v>
      </c>
      <c r="C378" s="1" t="n">
        <v>45763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1124-2023</t>
        </is>
      </c>
      <c r="B379" s="1" t="n">
        <v>44935</v>
      </c>
      <c r="C379" s="1" t="n">
        <v>45763</v>
      </c>
      <c r="D379" t="inlineStr">
        <is>
          <t>VÄSTRA GÖTALANDS LÄN</t>
        </is>
      </c>
      <c r="E379" t="inlineStr">
        <is>
          <t>MARIESTAD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1315-2023</t>
        </is>
      </c>
      <c r="B380" s="1" t="n">
        <v>44936</v>
      </c>
      <c r="C380" s="1" t="n">
        <v>45763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1283-2023</t>
        </is>
      </c>
      <c r="B381" s="1" t="n">
        <v>44936</v>
      </c>
      <c r="C381" s="1" t="n">
        <v>45763</v>
      </c>
      <c r="D381" t="inlineStr">
        <is>
          <t>VÄSTRA GÖTALANDS LÄN</t>
        </is>
      </c>
      <c r="E381" t="inlineStr">
        <is>
          <t>MARIESTAD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1544-2023</t>
        </is>
      </c>
      <c r="B382" s="1" t="n">
        <v>44937</v>
      </c>
      <c r="C382" s="1" t="n">
        <v>45763</v>
      </c>
      <c r="D382" t="inlineStr">
        <is>
          <t>VÄSTRA GÖTALANDS LÄN</t>
        </is>
      </c>
      <c r="E382" t="inlineStr">
        <is>
          <t>MARIESTAD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1545-2023</t>
        </is>
      </c>
      <c r="B383" s="1" t="n">
        <v>44937</v>
      </c>
      <c r="C383" s="1" t="n">
        <v>45763</v>
      </c>
      <c r="D383" t="inlineStr">
        <is>
          <t>VÄSTRA GÖTALANDS LÄN</t>
        </is>
      </c>
      <c r="E383" t="inlineStr">
        <is>
          <t>MARIESTAD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2390-2023</t>
        </is>
      </c>
      <c r="B384" s="1" t="n">
        <v>44942</v>
      </c>
      <c r="C384" s="1" t="n">
        <v>45763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2386-2023</t>
        </is>
      </c>
      <c r="B385" s="1" t="n">
        <v>44942</v>
      </c>
      <c r="C385" s="1" t="n">
        <v>45763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2551-2023</t>
        </is>
      </c>
      <c r="B386" s="1" t="n">
        <v>44943</v>
      </c>
      <c r="C386" s="1" t="n">
        <v>45763</v>
      </c>
      <c r="D386" t="inlineStr">
        <is>
          <t>VÄSTRA GÖTALANDS LÄN</t>
        </is>
      </c>
      <c r="E386" t="inlineStr">
        <is>
          <t>MARIESTAD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2583-2023</t>
        </is>
      </c>
      <c r="B387" s="1" t="n">
        <v>44943</v>
      </c>
      <c r="C387" s="1" t="n">
        <v>45763</v>
      </c>
      <c r="D387" t="inlineStr">
        <is>
          <t>VÄSTRA GÖTALANDS LÄN</t>
        </is>
      </c>
      <c r="E387" t="inlineStr">
        <is>
          <t>MARIESTAD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2577-2023</t>
        </is>
      </c>
      <c r="B388" s="1" t="n">
        <v>44943</v>
      </c>
      <c r="C388" s="1" t="n">
        <v>45763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2808-2023</t>
        </is>
      </c>
      <c r="B389" s="1" t="n">
        <v>44944</v>
      </c>
      <c r="C389" s="1" t="n">
        <v>45763</v>
      </c>
      <c r="D389" t="inlineStr">
        <is>
          <t>VÄSTRA GÖTALANDS LÄN</t>
        </is>
      </c>
      <c r="E389" t="inlineStr">
        <is>
          <t>MARIESTAD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2809-2023</t>
        </is>
      </c>
      <c r="B390" s="1" t="n">
        <v>44944</v>
      </c>
      <c r="C390" s="1" t="n">
        <v>45763</v>
      </c>
      <c r="D390" t="inlineStr">
        <is>
          <t>VÄSTRA GÖTALANDS LÄN</t>
        </is>
      </c>
      <c r="E390" t="inlineStr">
        <is>
          <t>MARIESTAD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4285-2023</t>
        </is>
      </c>
      <c r="B391" s="1" t="n">
        <v>44953</v>
      </c>
      <c r="C391" s="1" t="n">
        <v>45763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4358-2023</t>
        </is>
      </c>
      <c r="B392" s="1" t="n">
        <v>44954</v>
      </c>
      <c r="C392" s="1" t="n">
        <v>45763</v>
      </c>
      <c r="D392" t="inlineStr">
        <is>
          <t>VÄSTRA GÖTALANDS LÄN</t>
        </is>
      </c>
      <c r="E392" t="inlineStr">
        <is>
          <t>MARIESTAD</t>
        </is>
      </c>
      <c r="G392" t="n">
        <v>13.9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4685-2023</t>
        </is>
      </c>
      <c r="B393" s="1" t="n">
        <v>44957</v>
      </c>
      <c r="C393" s="1" t="n">
        <v>45763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5011-2023</t>
        </is>
      </c>
      <c r="B394" s="1" t="n">
        <v>44958</v>
      </c>
      <c r="C394" s="1" t="n">
        <v>45763</v>
      </c>
      <c r="D394" t="inlineStr">
        <is>
          <t>VÄSTRA GÖTALANDS LÄN</t>
        </is>
      </c>
      <c r="E394" t="inlineStr">
        <is>
          <t>MARIESTAD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6176-2023</t>
        </is>
      </c>
      <c r="B395" s="1" t="n">
        <v>44964</v>
      </c>
      <c r="C395" s="1" t="n">
        <v>45763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6387-2023</t>
        </is>
      </c>
      <c r="B396" s="1" t="n">
        <v>44965</v>
      </c>
      <c r="C396" s="1" t="n">
        <v>45763</v>
      </c>
      <c r="D396" t="inlineStr">
        <is>
          <t>VÄSTRA GÖTALANDS LÄN</t>
        </is>
      </c>
      <c r="E396" t="inlineStr">
        <is>
          <t>MARIESTAD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7168-2023</t>
        </is>
      </c>
      <c r="B397" s="1" t="n">
        <v>44965</v>
      </c>
      <c r="C397" s="1" t="n">
        <v>45763</v>
      </c>
      <c r="D397" t="inlineStr">
        <is>
          <t>VÄSTRA GÖTALANDS LÄN</t>
        </is>
      </c>
      <c r="E397" t="inlineStr">
        <is>
          <t>MARIESTAD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7419-2023</t>
        </is>
      </c>
      <c r="B398" s="1" t="n">
        <v>44971</v>
      </c>
      <c r="C398" s="1" t="n">
        <v>45763</v>
      </c>
      <c r="D398" t="inlineStr">
        <is>
          <t>VÄSTRA GÖTALANDS LÄN</t>
        </is>
      </c>
      <c r="E398" t="inlineStr">
        <is>
          <t>MARIESTAD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7418-2023</t>
        </is>
      </c>
      <c r="B399" s="1" t="n">
        <v>44971</v>
      </c>
      <c r="C399" s="1" t="n">
        <v>45763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7612-2023</t>
        </is>
      </c>
      <c r="B400" s="1" t="n">
        <v>44972</v>
      </c>
      <c r="C400" s="1" t="n">
        <v>45763</v>
      </c>
      <c r="D400" t="inlineStr">
        <is>
          <t>VÄSTRA GÖTALANDS LÄN</t>
        </is>
      </c>
      <c r="E400" t="inlineStr">
        <is>
          <t>MARIESTAD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8771-2023</t>
        </is>
      </c>
      <c r="B401" s="1" t="n">
        <v>44973</v>
      </c>
      <c r="C401" s="1" t="n">
        <v>45763</v>
      </c>
      <c r="D401" t="inlineStr">
        <is>
          <t>VÄSTRA GÖTALANDS LÄN</t>
        </is>
      </c>
      <c r="E401" t="inlineStr">
        <is>
          <t>MARIESTAD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8753-2023</t>
        </is>
      </c>
      <c r="B402" s="1" t="n">
        <v>44973</v>
      </c>
      <c r="C402" s="1" t="n">
        <v>45763</v>
      </c>
      <c r="D402" t="inlineStr">
        <is>
          <t>VÄSTRA GÖTALANDS LÄN</t>
        </is>
      </c>
      <c r="E402" t="inlineStr">
        <is>
          <t>MARIESTAD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8146-2023</t>
        </is>
      </c>
      <c r="B403" s="1" t="n">
        <v>44974</v>
      </c>
      <c r="C403" s="1" t="n">
        <v>45763</v>
      </c>
      <c r="D403" t="inlineStr">
        <is>
          <t>VÄSTRA GÖTALANDS LÄN</t>
        </is>
      </c>
      <c r="E403" t="inlineStr">
        <is>
          <t>MARIESTAD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10500-2023</t>
        </is>
      </c>
      <c r="B404" s="1" t="n">
        <v>44981</v>
      </c>
      <c r="C404" s="1" t="n">
        <v>45763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10182-2023</t>
        </is>
      </c>
      <c r="B405" s="1" t="n">
        <v>44986</v>
      </c>
      <c r="C405" s="1" t="n">
        <v>45763</v>
      </c>
      <c r="D405" t="inlineStr">
        <is>
          <t>VÄSTRA GÖTALANDS LÄN</t>
        </is>
      </c>
      <c r="E405" t="inlineStr">
        <is>
          <t>MARIESTAD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10205-2023</t>
        </is>
      </c>
      <c r="B406" s="1" t="n">
        <v>44986</v>
      </c>
      <c r="C406" s="1" t="n">
        <v>45763</v>
      </c>
      <c r="D406" t="inlineStr">
        <is>
          <t>VÄSTRA GÖTALANDS LÄN</t>
        </is>
      </c>
      <c r="E406" t="inlineStr">
        <is>
          <t>MARIESTAD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11089-2023</t>
        </is>
      </c>
      <c r="B407" s="1" t="n">
        <v>44986</v>
      </c>
      <c r="C407" s="1" t="n">
        <v>45763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11415-2023</t>
        </is>
      </c>
      <c r="B408" s="1" t="n">
        <v>44993</v>
      </c>
      <c r="C408" s="1" t="n">
        <v>45763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11345-2023</t>
        </is>
      </c>
      <c r="B409" s="1" t="n">
        <v>44993</v>
      </c>
      <c r="C409" s="1" t="n">
        <v>45763</v>
      </c>
      <c r="D409" t="inlineStr">
        <is>
          <t>VÄSTRA GÖTALANDS LÄN</t>
        </is>
      </c>
      <c r="E409" t="inlineStr">
        <is>
          <t>MARIESTAD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11414-2023</t>
        </is>
      </c>
      <c r="B410" s="1" t="n">
        <v>44993</v>
      </c>
      <c r="C410" s="1" t="n">
        <v>45763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11413-2023</t>
        </is>
      </c>
      <c r="B411" s="1" t="n">
        <v>44993</v>
      </c>
      <c r="C411" s="1" t="n">
        <v>45763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11815-2023</t>
        </is>
      </c>
      <c r="B412" s="1" t="n">
        <v>44994</v>
      </c>
      <c r="C412" s="1" t="n">
        <v>45763</v>
      </c>
      <c r="D412" t="inlineStr">
        <is>
          <t>VÄSTRA GÖTALANDS LÄN</t>
        </is>
      </c>
      <c r="E412" t="inlineStr">
        <is>
          <t>MARIESTAD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11814-2023</t>
        </is>
      </c>
      <c r="B413" s="1" t="n">
        <v>44994</v>
      </c>
      <c r="C413" s="1" t="n">
        <v>45763</v>
      </c>
      <c r="D413" t="inlineStr">
        <is>
          <t>VÄSTRA GÖTALANDS LÄN</t>
        </is>
      </c>
      <c r="E413" t="inlineStr">
        <is>
          <t>MARIESTAD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12361-2023</t>
        </is>
      </c>
      <c r="B414" s="1" t="n">
        <v>44999</v>
      </c>
      <c r="C414" s="1" t="n">
        <v>45763</v>
      </c>
      <c r="D414" t="inlineStr">
        <is>
          <t>VÄSTRA GÖTALANDS LÄN</t>
        </is>
      </c>
      <c r="E414" t="inlineStr">
        <is>
          <t>MARIESTAD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12882-2023</t>
        </is>
      </c>
      <c r="B415" s="1" t="n">
        <v>45001</v>
      </c>
      <c r="C415" s="1" t="n">
        <v>45763</v>
      </c>
      <c r="D415" t="inlineStr">
        <is>
          <t>VÄSTRA GÖTALANDS LÄN</t>
        </is>
      </c>
      <c r="E415" t="inlineStr">
        <is>
          <t>MARIESTAD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12884-2023</t>
        </is>
      </c>
      <c r="B416" s="1" t="n">
        <v>45001</v>
      </c>
      <c r="C416" s="1" t="n">
        <v>45763</v>
      </c>
      <c r="D416" t="inlineStr">
        <is>
          <t>VÄSTRA GÖTALANDS LÄN</t>
        </is>
      </c>
      <c r="E416" t="inlineStr">
        <is>
          <t>MARIESTAD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12883-2023</t>
        </is>
      </c>
      <c r="B417" s="1" t="n">
        <v>45001</v>
      </c>
      <c r="C417" s="1" t="n">
        <v>45763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12881-2023</t>
        </is>
      </c>
      <c r="B418" s="1" t="n">
        <v>45001</v>
      </c>
      <c r="C418" s="1" t="n">
        <v>45763</v>
      </c>
      <c r="D418" t="inlineStr">
        <is>
          <t>VÄSTRA GÖTALANDS LÄN</t>
        </is>
      </c>
      <c r="E418" t="inlineStr">
        <is>
          <t>MARIESTAD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13239-2023</t>
        </is>
      </c>
      <c r="B419" s="1" t="n">
        <v>45002</v>
      </c>
      <c r="C419" s="1" t="n">
        <v>45763</v>
      </c>
      <c r="D419" t="inlineStr">
        <is>
          <t>VÄSTRA GÖTALANDS LÄN</t>
        </is>
      </c>
      <c r="E419" t="inlineStr">
        <is>
          <t>MARIESTAD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13293-2023</t>
        </is>
      </c>
      <c r="B420" s="1" t="n">
        <v>45005</v>
      </c>
      <c r="C420" s="1" t="n">
        <v>45763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13582-2023</t>
        </is>
      </c>
      <c r="B421" s="1" t="n">
        <v>45006</v>
      </c>
      <c r="C421" s="1" t="n">
        <v>45763</v>
      </c>
      <c r="D421" t="inlineStr">
        <is>
          <t>VÄSTRA GÖTALANDS LÄN</t>
        </is>
      </c>
      <c r="E421" t="inlineStr">
        <is>
          <t>MARIESTAD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13655-2023</t>
        </is>
      </c>
      <c r="B422" s="1" t="n">
        <v>45006</v>
      </c>
      <c r="C422" s="1" t="n">
        <v>45763</v>
      </c>
      <c r="D422" t="inlineStr">
        <is>
          <t>VÄSTRA GÖTALANDS LÄN</t>
        </is>
      </c>
      <c r="E422" t="inlineStr">
        <is>
          <t>MARIESTAD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14115-2023</t>
        </is>
      </c>
      <c r="B423" s="1" t="n">
        <v>45009</v>
      </c>
      <c r="C423" s="1" t="n">
        <v>45763</v>
      </c>
      <c r="D423" t="inlineStr">
        <is>
          <t>VÄSTRA GÖTALANDS LÄN</t>
        </is>
      </c>
      <c r="E423" t="inlineStr">
        <is>
          <t>MARIESTAD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14977-2023</t>
        </is>
      </c>
      <c r="B424" s="1" t="n">
        <v>45015</v>
      </c>
      <c r="C424" s="1" t="n">
        <v>45763</v>
      </c>
      <c r="D424" t="inlineStr">
        <is>
          <t>VÄSTRA GÖTALANDS LÄN</t>
        </is>
      </c>
      <c r="E424" t="inlineStr">
        <is>
          <t>MARIESTAD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15052-2023</t>
        </is>
      </c>
      <c r="B425" s="1" t="n">
        <v>45015</v>
      </c>
      <c r="C425" s="1" t="n">
        <v>45763</v>
      </c>
      <c r="D425" t="inlineStr">
        <is>
          <t>VÄSTRA GÖTALANDS LÄN</t>
        </is>
      </c>
      <c r="E425" t="inlineStr">
        <is>
          <t>MARIESTAD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16867-2023</t>
        </is>
      </c>
      <c r="B426" s="1" t="n">
        <v>45033</v>
      </c>
      <c r="C426" s="1" t="n">
        <v>45763</v>
      </c>
      <c r="D426" t="inlineStr">
        <is>
          <t>VÄSTRA GÖTALANDS LÄN</t>
        </is>
      </c>
      <c r="E426" t="inlineStr">
        <is>
          <t>MARIESTAD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17270-2023</t>
        </is>
      </c>
      <c r="B427" s="1" t="n">
        <v>45035</v>
      </c>
      <c r="C427" s="1" t="n">
        <v>45763</v>
      </c>
      <c r="D427" t="inlineStr">
        <is>
          <t>VÄSTRA GÖTALANDS LÄN</t>
        </is>
      </c>
      <c r="E427" t="inlineStr">
        <is>
          <t>MARIESTAD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17268-2023</t>
        </is>
      </c>
      <c r="B428" s="1" t="n">
        <v>45035</v>
      </c>
      <c r="C428" s="1" t="n">
        <v>45763</v>
      </c>
      <c r="D428" t="inlineStr">
        <is>
          <t>VÄSTRA GÖTALANDS LÄN</t>
        </is>
      </c>
      <c r="E428" t="inlineStr">
        <is>
          <t>MARIESTAD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17894-2023</t>
        </is>
      </c>
      <c r="B429" s="1" t="n">
        <v>45039</v>
      </c>
      <c r="C429" s="1" t="n">
        <v>45763</v>
      </c>
      <c r="D429" t="inlineStr">
        <is>
          <t>VÄSTRA GÖTALANDS LÄN</t>
        </is>
      </c>
      <c r="E429" t="inlineStr">
        <is>
          <t>MARIESTAD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22237-2023</t>
        </is>
      </c>
      <c r="B430" s="1" t="n">
        <v>45070</v>
      </c>
      <c r="C430" s="1" t="n">
        <v>45763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22236-2023</t>
        </is>
      </c>
      <c r="B431" s="1" t="n">
        <v>45070</v>
      </c>
      <c r="C431" s="1" t="n">
        <v>45763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22240-2023</t>
        </is>
      </c>
      <c r="B432" s="1" t="n">
        <v>45070</v>
      </c>
      <c r="C432" s="1" t="n">
        <v>45763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22239-2023</t>
        </is>
      </c>
      <c r="B433" s="1" t="n">
        <v>45070</v>
      </c>
      <c r="C433" s="1" t="n">
        <v>45763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22360-2023</t>
        </is>
      </c>
      <c r="B434" s="1" t="n">
        <v>45070</v>
      </c>
      <c r="C434" s="1" t="n">
        <v>45763</v>
      </c>
      <c r="D434" t="inlineStr">
        <is>
          <t>VÄSTRA GÖTALANDS LÄN</t>
        </is>
      </c>
      <c r="E434" t="inlineStr">
        <is>
          <t>MARIESTAD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22800-2023</t>
        </is>
      </c>
      <c r="B435" s="1" t="n">
        <v>45072</v>
      </c>
      <c r="C435" s="1" t="n">
        <v>45763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24736-2023</t>
        </is>
      </c>
      <c r="B436" s="1" t="n">
        <v>45084</v>
      </c>
      <c r="C436" s="1" t="n">
        <v>45763</v>
      </c>
      <c r="D436" t="inlineStr">
        <is>
          <t>VÄSTRA GÖTALANDS LÄN</t>
        </is>
      </c>
      <c r="E436" t="inlineStr">
        <is>
          <t>MARIESTAD</t>
        </is>
      </c>
      <c r="G436" t="n">
        <v>31.7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26020-2023</t>
        </is>
      </c>
      <c r="B437" s="1" t="n">
        <v>45091</v>
      </c>
      <c r="C437" s="1" t="n">
        <v>45763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26123-2023</t>
        </is>
      </c>
      <c r="B438" s="1" t="n">
        <v>45091</v>
      </c>
      <c r="C438" s="1" t="n">
        <v>45763</v>
      </c>
      <c r="D438" t="inlineStr">
        <is>
          <t>VÄSTRA GÖTALANDS LÄN</t>
        </is>
      </c>
      <c r="E438" t="inlineStr">
        <is>
          <t>MARIESTAD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26124-2023</t>
        </is>
      </c>
      <c r="B439" s="1" t="n">
        <v>45091</v>
      </c>
      <c r="C439" s="1" t="n">
        <v>45763</v>
      </c>
      <c r="D439" t="inlineStr">
        <is>
          <t>VÄSTRA GÖTALANDS LÄN</t>
        </is>
      </c>
      <c r="E439" t="inlineStr">
        <is>
          <t>MARIESTAD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27444-2023</t>
        </is>
      </c>
      <c r="B440" s="1" t="n">
        <v>45097</v>
      </c>
      <c r="C440" s="1" t="n">
        <v>45763</v>
      </c>
      <c r="D440" t="inlineStr">
        <is>
          <t>VÄSTRA GÖTALANDS LÄN</t>
        </is>
      </c>
      <c r="E440" t="inlineStr">
        <is>
          <t>MARIESTAD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27452-2023</t>
        </is>
      </c>
      <c r="B441" s="1" t="n">
        <v>45097</v>
      </c>
      <c r="C441" s="1" t="n">
        <v>45763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27456-2023</t>
        </is>
      </c>
      <c r="B442" s="1" t="n">
        <v>45097</v>
      </c>
      <c r="C442" s="1" t="n">
        <v>45763</v>
      </c>
      <c r="D442" t="inlineStr">
        <is>
          <t>VÄSTRA GÖTALANDS LÄN</t>
        </is>
      </c>
      <c r="E442" t="inlineStr">
        <is>
          <t>MARIESTAD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27451-2023</t>
        </is>
      </c>
      <c r="B443" s="1" t="n">
        <v>45097</v>
      </c>
      <c r="C443" s="1" t="n">
        <v>45763</v>
      </c>
      <c r="D443" t="inlineStr">
        <is>
          <t>VÄSTRA GÖTALANDS LÄN</t>
        </is>
      </c>
      <c r="E443" t="inlineStr">
        <is>
          <t>MARIESTAD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27455-2023</t>
        </is>
      </c>
      <c r="B444" s="1" t="n">
        <v>45097</v>
      </c>
      <c r="C444" s="1" t="n">
        <v>45763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28969-2023</t>
        </is>
      </c>
      <c r="B445" s="1" t="n">
        <v>45104</v>
      </c>
      <c r="C445" s="1" t="n">
        <v>45763</v>
      </c>
      <c r="D445" t="inlineStr">
        <is>
          <t>VÄSTRA GÖTALANDS LÄN</t>
        </is>
      </c>
      <c r="E445" t="inlineStr">
        <is>
          <t>MARIESTAD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30652-2023</t>
        </is>
      </c>
      <c r="B446" s="1" t="n">
        <v>45112</v>
      </c>
      <c r="C446" s="1" t="n">
        <v>45763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Kommuner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31232-2023</t>
        </is>
      </c>
      <c r="B447" s="1" t="n">
        <v>45114</v>
      </c>
      <c r="C447" s="1" t="n">
        <v>45763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31230-2023</t>
        </is>
      </c>
      <c r="B448" s="1" t="n">
        <v>45114</v>
      </c>
      <c r="C448" s="1" t="n">
        <v>45763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33571-2023</t>
        </is>
      </c>
      <c r="B449" s="1" t="n">
        <v>45131</v>
      </c>
      <c r="C449" s="1" t="n">
        <v>45763</v>
      </c>
      <c r="D449" t="inlineStr">
        <is>
          <t>VÄSTRA GÖTALANDS LÄN</t>
        </is>
      </c>
      <c r="E449" t="inlineStr">
        <is>
          <t>MARIESTAD</t>
        </is>
      </c>
      <c r="G449" t="n">
        <v>16.1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35581-2023</t>
        </is>
      </c>
      <c r="B450" s="1" t="n">
        <v>45135</v>
      </c>
      <c r="C450" s="1" t="n">
        <v>45763</v>
      </c>
      <c r="D450" t="inlineStr">
        <is>
          <t>VÄSTRA GÖTALANDS LÄN</t>
        </is>
      </c>
      <c r="E450" t="inlineStr">
        <is>
          <t>MARIESTAD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35576-2023</t>
        </is>
      </c>
      <c r="B451" s="1" t="n">
        <v>45135</v>
      </c>
      <c r="C451" s="1" t="n">
        <v>45763</v>
      </c>
      <c r="D451" t="inlineStr">
        <is>
          <t>VÄSTRA GÖTALANDS LÄN</t>
        </is>
      </c>
      <c r="E451" t="inlineStr">
        <is>
          <t>MARIESTAD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35594-2023</t>
        </is>
      </c>
      <c r="B452" s="1" t="n">
        <v>45147</v>
      </c>
      <c r="C452" s="1" t="n">
        <v>45763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35591-2023</t>
        </is>
      </c>
      <c r="B453" s="1" t="n">
        <v>45147</v>
      </c>
      <c r="C453" s="1" t="n">
        <v>45763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37088-2023</t>
        </is>
      </c>
      <c r="B454" s="1" t="n">
        <v>45155</v>
      </c>
      <c r="C454" s="1" t="n">
        <v>45763</v>
      </c>
      <c r="D454" t="inlineStr">
        <is>
          <t>VÄSTRA GÖTALANDS LÄN</t>
        </is>
      </c>
      <c r="E454" t="inlineStr">
        <is>
          <t>MARIESTAD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37092-2023</t>
        </is>
      </c>
      <c r="B455" s="1" t="n">
        <v>45155</v>
      </c>
      <c r="C455" s="1" t="n">
        <v>45763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37331-2023</t>
        </is>
      </c>
      <c r="B456" s="1" t="n">
        <v>45156</v>
      </c>
      <c r="C456" s="1" t="n">
        <v>45763</v>
      </c>
      <c r="D456" t="inlineStr">
        <is>
          <t>VÄSTRA GÖTALANDS LÄN</t>
        </is>
      </c>
      <c r="E456" t="inlineStr">
        <is>
          <t>MARIESTAD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37574-2023</t>
        </is>
      </c>
      <c r="B457" s="1" t="n">
        <v>45159</v>
      </c>
      <c r="C457" s="1" t="n">
        <v>45763</v>
      </c>
      <c r="D457" t="inlineStr">
        <is>
          <t>VÄSTRA GÖTALANDS LÄN</t>
        </is>
      </c>
      <c r="E457" t="inlineStr">
        <is>
          <t>MARIESTAD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38580-2023</t>
        </is>
      </c>
      <c r="B458" s="1" t="n">
        <v>45162</v>
      </c>
      <c r="C458" s="1" t="n">
        <v>45763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Kommuner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38800-2023</t>
        </is>
      </c>
      <c r="B459" s="1" t="n">
        <v>45163</v>
      </c>
      <c r="C459" s="1" t="n">
        <v>45763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38797-2023</t>
        </is>
      </c>
      <c r="B460" s="1" t="n">
        <v>45163</v>
      </c>
      <c r="C460" s="1" t="n">
        <v>45763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39516-2023</t>
        </is>
      </c>
      <c r="B461" s="1" t="n">
        <v>45167</v>
      </c>
      <c r="C461" s="1" t="n">
        <v>45763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39515-2023</t>
        </is>
      </c>
      <c r="B462" s="1" t="n">
        <v>45167</v>
      </c>
      <c r="C462" s="1" t="n">
        <v>45763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39766-2023</t>
        </is>
      </c>
      <c r="B463" s="1" t="n">
        <v>45167</v>
      </c>
      <c r="C463" s="1" t="n">
        <v>45763</v>
      </c>
      <c r="D463" t="inlineStr">
        <is>
          <t>VÄSTRA GÖTALANDS LÄN</t>
        </is>
      </c>
      <c r="E463" t="inlineStr">
        <is>
          <t>MARIESTAD</t>
        </is>
      </c>
      <c r="G463" t="n">
        <v>26.5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41679-2023</t>
        </is>
      </c>
      <c r="B464" s="1" t="n">
        <v>45176</v>
      </c>
      <c r="C464" s="1" t="n">
        <v>45763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41675-2023</t>
        </is>
      </c>
      <c r="B465" s="1" t="n">
        <v>45176</v>
      </c>
      <c r="C465" s="1" t="n">
        <v>45763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41678-2023</t>
        </is>
      </c>
      <c r="B466" s="1" t="n">
        <v>45176</v>
      </c>
      <c r="C466" s="1" t="n">
        <v>45763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42647-2023</t>
        </is>
      </c>
      <c r="B467" s="1" t="n">
        <v>45181</v>
      </c>
      <c r="C467" s="1" t="n">
        <v>45763</v>
      </c>
      <c r="D467" t="inlineStr">
        <is>
          <t>VÄSTRA GÖTALANDS LÄN</t>
        </is>
      </c>
      <c r="E467" t="inlineStr">
        <is>
          <t>MARIESTAD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44219-2023</t>
        </is>
      </c>
      <c r="B468" s="1" t="n">
        <v>45188</v>
      </c>
      <c r="C468" s="1" t="n">
        <v>45763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44235-2023</t>
        </is>
      </c>
      <c r="B469" s="1" t="n">
        <v>45188</v>
      </c>
      <c r="C469" s="1" t="n">
        <v>45763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45125-2023</t>
        </is>
      </c>
      <c r="B470" s="1" t="n">
        <v>45191</v>
      </c>
      <c r="C470" s="1" t="n">
        <v>45763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48187-2023</t>
        </is>
      </c>
      <c r="B471" s="1" t="n">
        <v>45199</v>
      </c>
      <c r="C471" s="1" t="n">
        <v>45763</v>
      </c>
      <c r="D471" t="inlineStr">
        <is>
          <t>VÄSTRA GÖTALANDS LÄN</t>
        </is>
      </c>
      <c r="E471" t="inlineStr">
        <is>
          <t>MARIESTAD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46873-2023</t>
        </is>
      </c>
      <c r="B472" s="1" t="n">
        <v>45200</v>
      </c>
      <c r="C472" s="1" t="n">
        <v>45763</v>
      </c>
      <c r="D472" t="inlineStr">
        <is>
          <t>VÄSTRA GÖTALANDS LÄN</t>
        </is>
      </c>
      <c r="E472" t="inlineStr">
        <is>
          <t>MARIESTAD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46875-2023</t>
        </is>
      </c>
      <c r="B473" s="1" t="n">
        <v>45200</v>
      </c>
      <c r="C473" s="1" t="n">
        <v>45763</v>
      </c>
      <c r="D473" t="inlineStr">
        <is>
          <t>VÄSTRA GÖTALANDS LÄN</t>
        </is>
      </c>
      <c r="E473" t="inlineStr">
        <is>
          <t>MARIESTAD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46878-2023</t>
        </is>
      </c>
      <c r="B474" s="1" t="n">
        <v>45201</v>
      </c>
      <c r="C474" s="1" t="n">
        <v>45763</v>
      </c>
      <c r="D474" t="inlineStr">
        <is>
          <t>VÄSTRA GÖTALANDS LÄN</t>
        </is>
      </c>
      <c r="E474" t="inlineStr">
        <is>
          <t>MARIESTAD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46893-2023</t>
        </is>
      </c>
      <c r="B475" s="1" t="n">
        <v>45201</v>
      </c>
      <c r="C475" s="1" t="n">
        <v>45763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46945-2023</t>
        </is>
      </c>
      <c r="B476" s="1" t="n">
        <v>45201</v>
      </c>
      <c r="C476" s="1" t="n">
        <v>45763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47766-2023</t>
        </is>
      </c>
      <c r="B477" s="1" t="n">
        <v>45203</v>
      </c>
      <c r="C477" s="1" t="n">
        <v>45763</v>
      </c>
      <c r="D477" t="inlineStr">
        <is>
          <t>VÄSTRA GÖTALANDS LÄN</t>
        </is>
      </c>
      <c r="E477" t="inlineStr">
        <is>
          <t>MARIESTAD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47777-2023</t>
        </is>
      </c>
      <c r="B478" s="1" t="n">
        <v>45203</v>
      </c>
      <c r="C478" s="1" t="n">
        <v>45763</v>
      </c>
      <c r="D478" t="inlineStr">
        <is>
          <t>VÄSTRA GÖTALANDS LÄN</t>
        </is>
      </c>
      <c r="E478" t="inlineStr">
        <is>
          <t>MARIESTAD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47785-2023</t>
        </is>
      </c>
      <c r="B479" s="1" t="n">
        <v>45204</v>
      </c>
      <c r="C479" s="1" t="n">
        <v>45763</v>
      </c>
      <c r="D479" t="inlineStr">
        <is>
          <t>VÄSTRA GÖTALANDS LÄN</t>
        </is>
      </c>
      <c r="E479" t="inlineStr">
        <is>
          <t>MARIESTAD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47849-2023</t>
        </is>
      </c>
      <c r="B480" s="1" t="n">
        <v>45204</v>
      </c>
      <c r="C480" s="1" t="n">
        <v>45763</v>
      </c>
      <c r="D480" t="inlineStr">
        <is>
          <t>VÄSTRA GÖTALANDS LÄN</t>
        </is>
      </c>
      <c r="E480" t="inlineStr">
        <is>
          <t>MARIESTAD</t>
        </is>
      </c>
      <c r="F480" t="inlineStr">
        <is>
          <t>Sveaskog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49156-2023</t>
        </is>
      </c>
      <c r="B481" s="1" t="n">
        <v>45210</v>
      </c>
      <c r="C481" s="1" t="n">
        <v>45763</v>
      </c>
      <c r="D481" t="inlineStr">
        <is>
          <t>VÄSTRA GÖTALANDS LÄN</t>
        </is>
      </c>
      <c r="E481" t="inlineStr">
        <is>
          <t>MARIESTAD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49193-2023</t>
        </is>
      </c>
      <c r="B482" s="1" t="n">
        <v>45210</v>
      </c>
      <c r="C482" s="1" t="n">
        <v>45763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49163-2023</t>
        </is>
      </c>
      <c r="B483" s="1" t="n">
        <v>45210</v>
      </c>
      <c r="C483" s="1" t="n">
        <v>45763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49200-2023</t>
        </is>
      </c>
      <c r="B484" s="1" t="n">
        <v>45210</v>
      </c>
      <c r="C484" s="1" t="n">
        <v>45763</v>
      </c>
      <c r="D484" t="inlineStr">
        <is>
          <t>VÄSTRA GÖTALANDS LÄN</t>
        </is>
      </c>
      <c r="E484" t="inlineStr">
        <is>
          <t>MARIESTAD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49188-2023</t>
        </is>
      </c>
      <c r="B485" s="1" t="n">
        <v>45210</v>
      </c>
      <c r="C485" s="1" t="n">
        <v>45763</v>
      </c>
      <c r="D485" t="inlineStr">
        <is>
          <t>VÄSTRA GÖTALANDS LÄN</t>
        </is>
      </c>
      <c r="E485" t="inlineStr">
        <is>
          <t>MARIESTAD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49205-2023</t>
        </is>
      </c>
      <c r="B486" s="1" t="n">
        <v>45210</v>
      </c>
      <c r="C486" s="1" t="n">
        <v>45763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49258-2023</t>
        </is>
      </c>
      <c r="B487" s="1" t="n">
        <v>45210</v>
      </c>
      <c r="C487" s="1" t="n">
        <v>45763</v>
      </c>
      <c r="D487" t="inlineStr">
        <is>
          <t>VÄSTRA GÖTALANDS LÄN</t>
        </is>
      </c>
      <c r="E487" t="inlineStr">
        <is>
          <t>MARIESTAD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49166-2023</t>
        </is>
      </c>
      <c r="B488" s="1" t="n">
        <v>45210</v>
      </c>
      <c r="C488" s="1" t="n">
        <v>45763</v>
      </c>
      <c r="D488" t="inlineStr">
        <is>
          <t>VÄSTRA GÖTALANDS LÄN</t>
        </is>
      </c>
      <c r="E488" t="inlineStr">
        <is>
          <t>MARIESTAD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49184-2023</t>
        </is>
      </c>
      <c r="B489" s="1" t="n">
        <v>45210</v>
      </c>
      <c r="C489" s="1" t="n">
        <v>45763</v>
      </c>
      <c r="D489" t="inlineStr">
        <is>
          <t>VÄSTRA GÖTALANDS LÄN</t>
        </is>
      </c>
      <c r="E489" t="inlineStr">
        <is>
          <t>MARIESTAD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49385-2023</t>
        </is>
      </c>
      <c r="B490" s="1" t="n">
        <v>45211</v>
      </c>
      <c r="C490" s="1" t="n">
        <v>45763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49389-2023</t>
        </is>
      </c>
      <c r="B491" s="1" t="n">
        <v>45211</v>
      </c>
      <c r="C491" s="1" t="n">
        <v>45763</v>
      </c>
      <c r="D491" t="inlineStr">
        <is>
          <t>VÄSTRA GÖTALANDS LÄN</t>
        </is>
      </c>
      <c r="E491" t="inlineStr">
        <is>
          <t>MARIESTAD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49397-2023</t>
        </is>
      </c>
      <c r="B492" s="1" t="n">
        <v>45211</v>
      </c>
      <c r="C492" s="1" t="n">
        <v>45763</v>
      </c>
      <c r="D492" t="inlineStr">
        <is>
          <t>VÄSTRA GÖTALANDS LÄN</t>
        </is>
      </c>
      <c r="E492" t="inlineStr">
        <is>
          <t>MARIESTAD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49371-2023</t>
        </is>
      </c>
      <c r="B493" s="1" t="n">
        <v>45211</v>
      </c>
      <c r="C493" s="1" t="n">
        <v>45763</v>
      </c>
      <c r="D493" t="inlineStr">
        <is>
          <t>VÄSTRA GÖTALANDS LÄN</t>
        </is>
      </c>
      <c r="E493" t="inlineStr">
        <is>
          <t>MARIESTAD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49566-2023</t>
        </is>
      </c>
      <c r="B494" s="1" t="n">
        <v>45211</v>
      </c>
      <c r="C494" s="1" t="n">
        <v>45763</v>
      </c>
      <c r="D494" t="inlineStr">
        <is>
          <t>VÄSTRA GÖTALANDS LÄN</t>
        </is>
      </c>
      <c r="E494" t="inlineStr">
        <is>
          <t>MARIESTAD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49563-2023</t>
        </is>
      </c>
      <c r="B495" s="1" t="n">
        <v>45211</v>
      </c>
      <c r="C495" s="1" t="n">
        <v>45763</v>
      </c>
      <c r="D495" t="inlineStr">
        <is>
          <t>VÄSTRA GÖTALANDS LÄN</t>
        </is>
      </c>
      <c r="E495" t="inlineStr">
        <is>
          <t>MARIESTAD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49582-2023</t>
        </is>
      </c>
      <c r="B496" s="1" t="n">
        <v>45211</v>
      </c>
      <c r="C496" s="1" t="n">
        <v>45763</v>
      </c>
      <c r="D496" t="inlineStr">
        <is>
          <t>VÄSTRA GÖTALANDS LÄN</t>
        </is>
      </c>
      <c r="E496" t="inlineStr">
        <is>
          <t>MARIESTAD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50053-2023</t>
        </is>
      </c>
      <c r="B497" s="1" t="n">
        <v>45215</v>
      </c>
      <c r="C497" s="1" t="n">
        <v>45763</v>
      </c>
      <c r="D497" t="inlineStr">
        <is>
          <t>VÄSTRA GÖTALANDS LÄN</t>
        </is>
      </c>
      <c r="E497" t="inlineStr">
        <is>
          <t>MARIESTAD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HYPERLINK("https://klasma.github.io/Logging_1493/knärot/A 50053-2023 karta knärot.png", "A 50053-2023")</f>
        <v/>
      </c>
      <c r="V497">
        <f>HYPERLINK("https://klasma.github.io/Logging_1493/klagomål/A 50053-2023 FSC-klagomål.docx", "A 50053-2023")</f>
        <v/>
      </c>
      <c r="W497">
        <f>HYPERLINK("https://klasma.github.io/Logging_1493/klagomålsmail/A 50053-2023 FSC-klagomål mail.docx", "A 50053-2023")</f>
        <v/>
      </c>
      <c r="X497">
        <f>HYPERLINK("https://klasma.github.io/Logging_1493/tillsyn/A 50053-2023 tillsynsbegäran.docx", "A 50053-2023")</f>
        <v/>
      </c>
      <c r="Y497">
        <f>HYPERLINK("https://klasma.github.io/Logging_1493/tillsynsmail/A 50053-2023 tillsynsbegäran mail.docx", "A 50053-2023")</f>
        <v/>
      </c>
    </row>
    <row r="498" ht="15" customHeight="1">
      <c r="A498" t="inlineStr">
        <is>
          <t>A 50581-2023</t>
        </is>
      </c>
      <c r="B498" s="1" t="n">
        <v>45217</v>
      </c>
      <c r="C498" s="1" t="n">
        <v>45763</v>
      </c>
      <c r="D498" t="inlineStr">
        <is>
          <t>VÄSTRA GÖTALANDS LÄN</t>
        </is>
      </c>
      <c r="E498" t="inlineStr">
        <is>
          <t>MARIESTAD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50579-2023</t>
        </is>
      </c>
      <c r="B499" s="1" t="n">
        <v>45217</v>
      </c>
      <c r="C499" s="1" t="n">
        <v>45763</v>
      </c>
      <c r="D499" t="inlineStr">
        <is>
          <t>VÄSTRA GÖTALANDS LÄN</t>
        </is>
      </c>
      <c r="E499" t="inlineStr">
        <is>
          <t>MARIESTAD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50890-2023</t>
        </is>
      </c>
      <c r="B500" s="1" t="n">
        <v>45218</v>
      </c>
      <c r="C500" s="1" t="n">
        <v>45763</v>
      </c>
      <c r="D500" t="inlineStr">
        <is>
          <t>VÄSTRA GÖTALANDS LÄN</t>
        </is>
      </c>
      <c r="E500" t="inlineStr">
        <is>
          <t>MARIESTAD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51776-2023</t>
        </is>
      </c>
      <c r="B501" s="1" t="n">
        <v>45222</v>
      </c>
      <c r="C501" s="1" t="n">
        <v>45763</v>
      </c>
      <c r="D501" t="inlineStr">
        <is>
          <t>VÄSTRA GÖTALANDS LÄN</t>
        </is>
      </c>
      <c r="E501" t="inlineStr">
        <is>
          <t>MARIESTAD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51774-2023</t>
        </is>
      </c>
      <c r="B502" s="1" t="n">
        <v>45222</v>
      </c>
      <c r="C502" s="1" t="n">
        <v>45763</v>
      </c>
      <c r="D502" t="inlineStr">
        <is>
          <t>VÄSTRA GÖTALANDS LÄN</t>
        </is>
      </c>
      <c r="E502" t="inlineStr">
        <is>
          <t>MARIESTAD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45763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45763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45763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45763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45763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45763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45763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45763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45763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45763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45763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45763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45763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45763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45763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45763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45763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45763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45763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45763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45763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45763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45763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45763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45763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45763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45763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45763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45763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45763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45763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45763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45763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45763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45763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45763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45763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45763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45763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45763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45763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45763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45763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45763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45763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45763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45763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45763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45763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45763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45763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45763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45763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45763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45763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45763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45763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45763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45763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45763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45763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45763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45763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45763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45763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45763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45763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45763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45763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45763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45763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45763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45763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45763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45763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45763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45763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45763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45763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45763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45763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45763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45763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45763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45763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45763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45763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45763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45763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45763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45763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45763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45763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45763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45763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45763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45763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45763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45763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45763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45763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45763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45763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45763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45763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45763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45763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45763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45763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45763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45763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45763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45763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45763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45763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45763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45763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45763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45763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45763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45763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45763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45763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45763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45763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45763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45763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45763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45763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45763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45763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45763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45763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45763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45763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45763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45763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45763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45763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45763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45763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45763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45763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45763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45763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45763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45763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45763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45763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45763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45763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45763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45763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45763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45763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45763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45763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45763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45763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45763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45763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45763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45763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45763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45763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45763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45763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45763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45763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45763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45763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45763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45763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45763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45763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45763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45763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45763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45763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45763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45763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45763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45763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45763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45763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45763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45763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45763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45763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45763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45763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45763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45763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45763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45763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45763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45763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45763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45763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45763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45763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45763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45763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45763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45763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45763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45763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45763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45763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45763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45763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45763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45763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45763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45763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45763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45763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45763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45763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45763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45763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45763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45763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45763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45763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45763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45763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45763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45763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45763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45763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45763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45763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45763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45763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45763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45763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45763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45763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45763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45763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45763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45763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45763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45763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45763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45763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18244-2025</t>
        </is>
      </c>
      <c r="B750" s="1" t="n">
        <v>45762</v>
      </c>
      <c r="C750" s="1" t="n">
        <v>45763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45763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18243-2025</t>
        </is>
      </c>
      <c r="B752" s="1" t="n">
        <v>45762</v>
      </c>
      <c r="C752" s="1" t="n">
        <v>45763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2025-04-16T16:47:25Z</dcterms:created>
  <dcterms:modified xmlns:dcterms="http://purl.org/dc/terms/" xmlns:xsi="http://www.w3.org/2001/XMLSchema-instance" xsi:type="dcterms:W3CDTF">2025-04-16T16:47:26Z</dcterms:modified>
</cp:coreProperties>
</file>