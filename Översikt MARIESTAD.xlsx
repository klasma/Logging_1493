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45258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45258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45258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45258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45258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45258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45258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45258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37323-2020</t>
        </is>
      </c>
      <c r="B10" s="1" t="n">
        <v>44055</v>
      </c>
      <c r="C10" s="1" t="n">
        <v>45258</v>
      </c>
      <c r="D10" t="inlineStr">
        <is>
          <t>VÄSTRA GÖTALANDS LÄN</t>
        </is>
      </c>
      <c r="E10" t="inlineStr">
        <is>
          <t>MARIESTAD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HYPERLINK("https://klasma.github.io/Logging_1493/artfynd/A 37323-2020 artfynd.xlsx", "A 37323-2020")</f>
        <v/>
      </c>
      <c r="T10">
        <f>HYPERLINK("https://klasma.github.io/Logging_1493/kartor/A 37323-2020 karta.png", "A 37323-2020")</f>
        <v/>
      </c>
      <c r="V10">
        <f>HYPERLINK("https://klasma.github.io/Logging_1493/klagomål/A 37323-2020 FSC-klagomål.docx", "A 37323-2020")</f>
        <v/>
      </c>
      <c r="W10">
        <f>HYPERLINK("https://klasma.github.io/Logging_1493/klagomålsmail/A 37323-2020 FSC-klagomål mail.docx", "A 37323-2020")</f>
        <v/>
      </c>
      <c r="X10">
        <f>HYPERLINK("https://klasma.github.io/Logging_1493/tillsyn/A 37323-2020 tillsynsbegäran.docx", "A 37323-2020")</f>
        <v/>
      </c>
      <c r="Y10">
        <f>HYPERLINK("https://klasma.github.io/Logging_1493/tillsynsmail/A 37323-2020 tillsynsbegäran mail.docx", "A 37323-2020")</f>
        <v/>
      </c>
    </row>
    <row r="11" ht="15" customHeight="1">
      <c r="A11" t="inlineStr">
        <is>
          <t>A 50811-2020</t>
        </is>
      </c>
      <c r="B11" s="1" t="n">
        <v>44111</v>
      </c>
      <c r="C11" s="1" t="n">
        <v>45258</v>
      </c>
      <c r="D11" t="inlineStr">
        <is>
          <t>VÄSTRA GÖTALANDS LÄN</t>
        </is>
      </c>
      <c r="E11" t="inlineStr">
        <is>
          <t>MARIESTAD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50811-2020 artfynd.xlsx", "A 50811-2020")</f>
        <v/>
      </c>
      <c r="T11">
        <f>HYPERLINK("https://klasma.github.io/Logging_1493/kartor/A 50811-2020 karta.png", "A 50811-2020")</f>
        <v/>
      </c>
      <c r="V11">
        <f>HYPERLINK("https://klasma.github.io/Logging_1493/klagomål/A 50811-2020 FSC-klagomål.docx", "A 50811-2020")</f>
        <v/>
      </c>
      <c r="W11">
        <f>HYPERLINK("https://klasma.github.io/Logging_1493/klagomålsmail/A 50811-2020 FSC-klagomål mail.docx", "A 50811-2020")</f>
        <v/>
      </c>
      <c r="X11">
        <f>HYPERLINK("https://klasma.github.io/Logging_1493/tillsyn/A 50811-2020 tillsynsbegäran.docx", "A 50811-2020")</f>
        <v/>
      </c>
      <c r="Y11">
        <f>HYPERLINK("https://klasma.github.io/Logging_1493/tillsynsmail/A 50811-2020 tillsynsbegäran mail.docx", "A 50811-2020")</f>
        <v/>
      </c>
    </row>
    <row r="12" ht="15" customHeight="1">
      <c r="A12" t="inlineStr">
        <is>
          <t>A 56400-2020</t>
        </is>
      </c>
      <c r="B12" s="1" t="n">
        <v>44137</v>
      </c>
      <c r="C12" s="1" t="n">
        <v>45258</v>
      </c>
      <c r="D12" t="inlineStr">
        <is>
          <t>VÄSTRA GÖTALANDS LÄN</t>
        </is>
      </c>
      <c r="E12" t="inlineStr">
        <is>
          <t>MARIESTAD</t>
        </is>
      </c>
      <c r="G12" t="n">
        <v>3.9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HYPERLINK("https://klasma.github.io/Logging_1493/artfynd/A 56400-2020 artfynd.xlsx", "A 56400-2020")</f>
        <v/>
      </c>
      <c r="T12">
        <f>HYPERLINK("https://klasma.github.io/Logging_1493/kartor/A 56400-2020 karta.png", "A 56400-2020")</f>
        <v/>
      </c>
      <c r="V12">
        <f>HYPERLINK("https://klasma.github.io/Logging_1493/klagomål/A 56400-2020 FSC-klagomål.docx", "A 56400-2020")</f>
        <v/>
      </c>
      <c r="W12">
        <f>HYPERLINK("https://klasma.github.io/Logging_1493/klagomålsmail/A 56400-2020 FSC-klagomål mail.docx", "A 56400-2020")</f>
        <v/>
      </c>
      <c r="X12">
        <f>HYPERLINK("https://klasma.github.io/Logging_1493/tillsyn/A 56400-2020 tillsynsbegäran.docx", "A 56400-2020")</f>
        <v/>
      </c>
      <c r="Y12">
        <f>HYPERLINK("https://klasma.github.io/Logging_1493/tillsynsmail/A 56400-2020 tillsynsbegäran mail.docx", "A 56400-2020")</f>
        <v/>
      </c>
    </row>
    <row r="13" ht="15" customHeight="1">
      <c r="A13" t="inlineStr">
        <is>
          <t>A 64046-2020</t>
        </is>
      </c>
      <c r="B13" s="1" t="n">
        <v>44167</v>
      </c>
      <c r="C13" s="1" t="n">
        <v>45258</v>
      </c>
      <c r="D13" t="inlineStr">
        <is>
          <t>VÄSTRA GÖTALANDS LÄN</t>
        </is>
      </c>
      <c r="E13" t="inlineStr">
        <is>
          <t>MARIESTAD</t>
        </is>
      </c>
      <c r="G13" t="n">
        <v>12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HYPERLINK("https://klasma.github.io/Logging_1493/artfynd/A 64046-2020 artfynd.xlsx", "A 64046-2020")</f>
        <v/>
      </c>
      <c r="T13">
        <f>HYPERLINK("https://klasma.github.io/Logging_1493/kartor/A 64046-2020 karta.png", "A 64046-2020")</f>
        <v/>
      </c>
      <c r="V13">
        <f>HYPERLINK("https://klasma.github.io/Logging_1493/klagomål/A 64046-2020 FSC-klagomål.docx", "A 64046-2020")</f>
        <v/>
      </c>
      <c r="W13">
        <f>HYPERLINK("https://klasma.github.io/Logging_1493/klagomålsmail/A 64046-2020 FSC-klagomål mail.docx", "A 64046-2020")</f>
        <v/>
      </c>
      <c r="X13">
        <f>HYPERLINK("https://klasma.github.io/Logging_1493/tillsyn/A 64046-2020 tillsynsbegäran.docx", "A 64046-2020")</f>
        <v/>
      </c>
      <c r="Y13">
        <f>HYPERLINK("https://klasma.github.io/Logging_1493/tillsynsmail/A 64046-2020 tillsynsbegäran mail.docx", "A 64046-2020")</f>
        <v/>
      </c>
    </row>
    <row r="14" ht="15" customHeight="1">
      <c r="A14" t="inlineStr">
        <is>
          <t>A 13606-2022</t>
        </is>
      </c>
      <c r="B14" s="1" t="n">
        <v>44648</v>
      </c>
      <c r="C14" s="1" t="n">
        <v>45258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HYPERLINK("https://klasma.github.io/Logging_1493/artfynd/A 13606-2022 artfynd.xlsx", "A 13606-2022")</f>
        <v/>
      </c>
      <c r="T14">
        <f>HYPERLINK("https://klasma.github.io/Logging_1493/kartor/A 13606-2022 karta.png", "A 13606-2022")</f>
        <v/>
      </c>
      <c r="V14">
        <f>HYPERLINK("https://klasma.github.io/Logging_1493/klagomål/A 13606-2022 FSC-klagomål.docx", "A 13606-2022")</f>
        <v/>
      </c>
      <c r="W14">
        <f>HYPERLINK("https://klasma.github.io/Logging_1493/klagomålsmail/A 13606-2022 FSC-klagomål mail.docx", "A 13606-2022")</f>
        <v/>
      </c>
      <c r="X14">
        <f>HYPERLINK("https://klasma.github.io/Logging_1493/tillsyn/A 13606-2022 tillsynsbegäran.docx", "A 13606-2022")</f>
        <v/>
      </c>
      <c r="Y14">
        <f>HYPERLINK("https://klasma.github.io/Logging_1493/tillsynsmail/A 13606-2022 tillsynsbegäran mail.docx", "A 13606-2022")</f>
        <v/>
      </c>
    </row>
    <row r="15" ht="15" customHeight="1">
      <c r="A15" t="inlineStr">
        <is>
          <t>A 53880-2022</t>
        </is>
      </c>
      <c r="B15" s="1" t="n">
        <v>44880</v>
      </c>
      <c r="C15" s="1" t="n">
        <v>45258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8144-2023</t>
        </is>
      </c>
      <c r="B16" s="1" t="n">
        <v>44974</v>
      </c>
      <c r="C16" s="1" t="n">
        <v>45258</v>
      </c>
      <c r="D16" t="inlineStr">
        <is>
          <t>VÄSTRA GÖTALANDS LÄN</t>
        </is>
      </c>
      <c r="E16" t="inlineStr">
        <is>
          <t>MARIESTAD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Tornseglare</t>
        </is>
      </c>
      <c r="S16">
        <f>HYPERLINK("https://klasma.github.io/Logging_1493/artfynd/A 8144-2023 artfynd.xlsx", "A 8144-2023")</f>
        <v/>
      </c>
      <c r="T16">
        <f>HYPERLINK("https://klasma.github.io/Logging_1493/kartor/A 8144-2023 karta.png", "A 8144-2023")</f>
        <v/>
      </c>
      <c r="V16">
        <f>HYPERLINK("https://klasma.github.io/Logging_1493/klagomål/A 8144-2023 FSC-klagomål.docx", "A 8144-2023")</f>
        <v/>
      </c>
      <c r="W16">
        <f>HYPERLINK("https://klasma.github.io/Logging_1493/klagomålsmail/A 8144-2023 FSC-klagomål mail.docx", "A 8144-2023")</f>
        <v/>
      </c>
      <c r="X16">
        <f>HYPERLINK("https://klasma.github.io/Logging_1493/tillsyn/A 8144-2023 tillsynsbegäran.docx", "A 8144-2023")</f>
        <v/>
      </c>
      <c r="Y16">
        <f>HYPERLINK("https://klasma.github.io/Logging_1493/tillsynsmail/A 8144-2023 tillsynsbegäran mail.docx", "A 8144-2023")</f>
        <v/>
      </c>
    </row>
    <row r="17" ht="15" customHeight="1">
      <c r="A17" t="inlineStr">
        <is>
          <t>A 49233-2023</t>
        </is>
      </c>
      <c r="B17" s="1" t="n">
        <v>45210</v>
      </c>
      <c r="C17" s="1" t="n">
        <v>45258</v>
      </c>
      <c r="D17" t="inlineStr">
        <is>
          <t>VÄSTRA GÖTALANDS LÄN</t>
        </is>
      </c>
      <c r="E17" t="inlineStr">
        <is>
          <t>MARIESTAD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Lönnlav</t>
        </is>
      </c>
      <c r="S17">
        <f>HYPERLINK("https://klasma.github.io/Logging_1493/artfynd/A 49233-2023 artfynd.xlsx", "A 49233-2023")</f>
        <v/>
      </c>
      <c r="T17">
        <f>HYPERLINK("https://klasma.github.io/Logging_1493/kartor/A 49233-2023 karta.png", "A 49233-2023")</f>
        <v/>
      </c>
      <c r="V17">
        <f>HYPERLINK("https://klasma.github.io/Logging_1493/klagomål/A 49233-2023 FSC-klagomål.docx", "A 49233-2023")</f>
        <v/>
      </c>
      <c r="W17">
        <f>HYPERLINK("https://klasma.github.io/Logging_1493/klagomålsmail/A 49233-2023 FSC-klagomål mail.docx", "A 49233-2023")</f>
        <v/>
      </c>
      <c r="X17">
        <f>HYPERLINK("https://klasma.github.io/Logging_1493/tillsyn/A 49233-2023 tillsynsbegäran.docx", "A 49233-2023")</f>
        <v/>
      </c>
      <c r="Y17">
        <f>HYPERLINK("https://klasma.github.io/Logging_1493/tillsynsmail/A 49233-2023 tillsynsbegäran mail.docx", "A 49233-2023")</f>
        <v/>
      </c>
    </row>
    <row r="18" ht="15" customHeight="1">
      <c r="A18" t="inlineStr">
        <is>
          <t>A 37175-2018</t>
        </is>
      </c>
      <c r="B18" s="1" t="n">
        <v>43333</v>
      </c>
      <c r="C18" s="1" t="n">
        <v>45258</v>
      </c>
      <c r="D18" t="inlineStr">
        <is>
          <t>VÄSTRA GÖTALANDS LÄN</t>
        </is>
      </c>
      <c r="E18" t="inlineStr">
        <is>
          <t>MARIESTAD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51709-2018</t>
        </is>
      </c>
      <c r="B19" s="1" t="n">
        <v>43384</v>
      </c>
      <c r="C19" s="1" t="n">
        <v>45258</v>
      </c>
      <c r="D19" t="inlineStr">
        <is>
          <t>VÄSTRA GÖTALANDS LÄN</t>
        </is>
      </c>
      <c r="E19" t="inlineStr">
        <is>
          <t>MARIESTAD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59774-2018</t>
        </is>
      </c>
      <c r="B20" s="1" t="n">
        <v>43411</v>
      </c>
      <c r="C20" s="1" t="n">
        <v>45258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60080-2018</t>
        </is>
      </c>
      <c r="B21" s="1" t="n">
        <v>43412</v>
      </c>
      <c r="C21" s="1" t="n">
        <v>45258</v>
      </c>
      <c r="D21" t="inlineStr">
        <is>
          <t>VÄSTRA GÖTALANDS LÄN</t>
        </is>
      </c>
      <c r="E21" t="inlineStr">
        <is>
          <t>MARIESTAD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60083-2018</t>
        </is>
      </c>
      <c r="B22" s="1" t="n">
        <v>43412</v>
      </c>
      <c r="C22" s="1" t="n">
        <v>45258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60269-2018</t>
        </is>
      </c>
      <c r="B23" s="1" t="n">
        <v>43413</v>
      </c>
      <c r="C23" s="1" t="n">
        <v>45258</v>
      </c>
      <c r="D23" t="inlineStr">
        <is>
          <t>VÄSTRA GÖTALANDS LÄN</t>
        </is>
      </c>
      <c r="E23" t="inlineStr">
        <is>
          <t>MARIESTAD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65553-2018</t>
        </is>
      </c>
      <c r="B24" s="1" t="n">
        <v>43433</v>
      </c>
      <c r="C24" s="1" t="n">
        <v>45258</v>
      </c>
      <c r="D24" t="inlineStr">
        <is>
          <t>VÄSTRA GÖTALANDS LÄN</t>
        </is>
      </c>
      <c r="E24" t="inlineStr">
        <is>
          <t>MARIESTAD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65578-2018</t>
        </is>
      </c>
      <c r="B25" s="1" t="n">
        <v>43433</v>
      </c>
      <c r="C25" s="1" t="n">
        <v>45258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67231-2018</t>
        </is>
      </c>
      <c r="B26" s="1" t="n">
        <v>43439</v>
      </c>
      <c r="C26" s="1" t="n">
        <v>45258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68651-2018</t>
        </is>
      </c>
      <c r="B27" s="1" t="n">
        <v>43444</v>
      </c>
      <c r="C27" s="1" t="n">
        <v>45258</v>
      </c>
      <c r="D27" t="inlineStr">
        <is>
          <t>VÄSTRA GÖTALANDS LÄN</t>
        </is>
      </c>
      <c r="E27" t="inlineStr">
        <is>
          <t>MARIESTAD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70690-2018</t>
        </is>
      </c>
      <c r="B28" s="1" t="n">
        <v>43447</v>
      </c>
      <c r="C28" s="1" t="n">
        <v>45258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70496-2018</t>
        </is>
      </c>
      <c r="B29" s="1" t="n">
        <v>43451</v>
      </c>
      <c r="C29" s="1" t="n">
        <v>45258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71767-2018</t>
        </is>
      </c>
      <c r="B30" s="1" t="n">
        <v>43454</v>
      </c>
      <c r="C30" s="1" t="n">
        <v>45258</v>
      </c>
      <c r="D30" t="inlineStr">
        <is>
          <t>VÄSTRA GÖTALANDS LÄN</t>
        </is>
      </c>
      <c r="E30" t="inlineStr">
        <is>
          <t>MARIESTAD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72093-2018</t>
        </is>
      </c>
      <c r="B31" s="1" t="n">
        <v>43455</v>
      </c>
      <c r="C31" s="1" t="n">
        <v>45258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218-2019</t>
        </is>
      </c>
      <c r="B32" s="1" t="n">
        <v>43467</v>
      </c>
      <c r="C32" s="1" t="n">
        <v>45258</v>
      </c>
      <c r="D32" t="inlineStr">
        <is>
          <t>VÄSTRA GÖTALANDS LÄN</t>
        </is>
      </c>
      <c r="E32" t="inlineStr">
        <is>
          <t>MARIESTAD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1760-2019</t>
        </is>
      </c>
      <c r="B33" s="1" t="n">
        <v>43474</v>
      </c>
      <c r="C33" s="1" t="n">
        <v>45258</v>
      </c>
      <c r="D33" t="inlineStr">
        <is>
          <t>VÄSTRA GÖTALANDS LÄN</t>
        </is>
      </c>
      <c r="E33" t="inlineStr">
        <is>
          <t>MARIESTAD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1766-2019</t>
        </is>
      </c>
      <c r="B34" s="1" t="n">
        <v>43474</v>
      </c>
      <c r="C34" s="1" t="n">
        <v>45258</v>
      </c>
      <c r="D34" t="inlineStr">
        <is>
          <t>VÄSTRA GÖTALANDS LÄN</t>
        </is>
      </c>
      <c r="E34" t="inlineStr">
        <is>
          <t>MARIESTAD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2327-2019</t>
        </is>
      </c>
      <c r="B35" s="1" t="n">
        <v>43476</v>
      </c>
      <c r="C35" s="1" t="n">
        <v>45258</v>
      </c>
      <c r="D35" t="inlineStr">
        <is>
          <t>VÄSTRA GÖTALANDS LÄN</t>
        </is>
      </c>
      <c r="E35" t="inlineStr">
        <is>
          <t>MARIESTAD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3759-2019</t>
        </is>
      </c>
      <c r="B36" s="1" t="n">
        <v>43481</v>
      </c>
      <c r="C36" s="1" t="n">
        <v>45258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4970-2019</t>
        </is>
      </c>
      <c r="B37" s="1" t="n">
        <v>43487</v>
      </c>
      <c r="C37" s="1" t="n">
        <v>45258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5554-2019</t>
        </is>
      </c>
      <c r="B38" s="1" t="n">
        <v>43489</v>
      </c>
      <c r="C38" s="1" t="n">
        <v>45258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5545-2019</t>
        </is>
      </c>
      <c r="B39" s="1" t="n">
        <v>43489</v>
      </c>
      <c r="C39" s="1" t="n">
        <v>45258</v>
      </c>
      <c r="D39" t="inlineStr">
        <is>
          <t>VÄSTRA GÖTALANDS LÄN</t>
        </is>
      </c>
      <c r="E39" t="inlineStr">
        <is>
          <t>MARIESTAD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6642-2019</t>
        </is>
      </c>
      <c r="B40" s="1" t="n">
        <v>43494</v>
      </c>
      <c r="C40" s="1" t="n">
        <v>45258</v>
      </c>
      <c r="D40" t="inlineStr">
        <is>
          <t>VÄSTRA GÖTALANDS LÄN</t>
        </is>
      </c>
      <c r="E40" t="inlineStr">
        <is>
          <t>MARIESTAD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6636-2019</t>
        </is>
      </c>
      <c r="B41" s="1" t="n">
        <v>43494</v>
      </c>
      <c r="C41" s="1" t="n">
        <v>45258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6708-2019</t>
        </is>
      </c>
      <c r="B42" s="1" t="n">
        <v>43494</v>
      </c>
      <c r="C42" s="1" t="n">
        <v>45258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8789-2019</t>
        </is>
      </c>
      <c r="B43" s="1" t="n">
        <v>43503</v>
      </c>
      <c r="C43" s="1" t="n">
        <v>45258</v>
      </c>
      <c r="D43" t="inlineStr">
        <is>
          <t>VÄSTRA GÖTALANDS LÄN</t>
        </is>
      </c>
      <c r="E43" t="inlineStr">
        <is>
          <t>MARIESTAD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9321-2019</t>
        </is>
      </c>
      <c r="B44" s="1" t="n">
        <v>43507</v>
      </c>
      <c r="C44" s="1" t="n">
        <v>45258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9900-2019</t>
        </is>
      </c>
      <c r="B45" s="1" t="n">
        <v>43509</v>
      </c>
      <c r="C45" s="1" t="n">
        <v>45258</v>
      </c>
      <c r="D45" t="inlineStr">
        <is>
          <t>VÄSTRA GÖTALANDS LÄN</t>
        </is>
      </c>
      <c r="E45" t="inlineStr">
        <is>
          <t>MARIESTAD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9770-2019</t>
        </is>
      </c>
      <c r="B46" s="1" t="n">
        <v>43509</v>
      </c>
      <c r="C46" s="1" t="n">
        <v>45258</v>
      </c>
      <c r="D46" t="inlineStr">
        <is>
          <t>VÄSTRA GÖTALANDS LÄN</t>
        </is>
      </c>
      <c r="E46" t="inlineStr">
        <is>
          <t>MARIESTAD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10303-2019</t>
        </is>
      </c>
      <c r="B47" s="1" t="n">
        <v>43511</v>
      </c>
      <c r="C47" s="1" t="n">
        <v>45258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10299-2019</t>
        </is>
      </c>
      <c r="B48" s="1" t="n">
        <v>43511</v>
      </c>
      <c r="C48" s="1" t="n">
        <v>45258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10515-2019</t>
        </is>
      </c>
      <c r="B49" s="1" t="n">
        <v>43514</v>
      </c>
      <c r="C49" s="1" t="n">
        <v>45258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10516-2019</t>
        </is>
      </c>
      <c r="B50" s="1" t="n">
        <v>43514</v>
      </c>
      <c r="C50" s="1" t="n">
        <v>45258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11531-2019</t>
        </is>
      </c>
      <c r="B51" s="1" t="n">
        <v>43517</v>
      </c>
      <c r="C51" s="1" t="n">
        <v>45258</v>
      </c>
      <c r="D51" t="inlineStr">
        <is>
          <t>VÄSTRA GÖTALANDS LÄN</t>
        </is>
      </c>
      <c r="E51" t="inlineStr">
        <is>
          <t>MARIESTAD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11390-2019</t>
        </is>
      </c>
      <c r="B52" s="1" t="n">
        <v>43517</v>
      </c>
      <c r="C52" s="1" t="n">
        <v>45258</v>
      </c>
      <c r="D52" t="inlineStr">
        <is>
          <t>VÄSTRA GÖTALANDS LÄN</t>
        </is>
      </c>
      <c r="E52" t="inlineStr">
        <is>
          <t>MARIESTAD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12186-2019</t>
        </is>
      </c>
      <c r="B53" s="1" t="n">
        <v>43522</v>
      </c>
      <c r="C53" s="1" t="n">
        <v>45258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12375-2019</t>
        </is>
      </c>
      <c r="B54" s="1" t="n">
        <v>43523</v>
      </c>
      <c r="C54" s="1" t="n">
        <v>45258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12730-2019</t>
        </is>
      </c>
      <c r="B55" s="1" t="n">
        <v>43524</v>
      </c>
      <c r="C55" s="1" t="n">
        <v>45258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13419-2019</t>
        </is>
      </c>
      <c r="B56" s="1" t="n">
        <v>43529</v>
      </c>
      <c r="C56" s="1" t="n">
        <v>45258</v>
      </c>
      <c r="D56" t="inlineStr">
        <is>
          <t>VÄSTRA GÖTALANDS LÄN</t>
        </is>
      </c>
      <c r="E56" t="inlineStr">
        <is>
          <t>MARIESTAD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13424-2019</t>
        </is>
      </c>
      <c r="B57" s="1" t="n">
        <v>43529</v>
      </c>
      <c r="C57" s="1" t="n">
        <v>45258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13705-2019</t>
        </is>
      </c>
      <c r="B58" s="1" t="n">
        <v>43531</v>
      </c>
      <c r="C58" s="1" t="n">
        <v>45258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13702-2019</t>
        </is>
      </c>
      <c r="B59" s="1" t="n">
        <v>43531</v>
      </c>
      <c r="C59" s="1" t="n">
        <v>45258</v>
      </c>
      <c r="D59" t="inlineStr">
        <is>
          <t>VÄSTRA GÖTALANDS LÄN</t>
        </is>
      </c>
      <c r="E59" t="inlineStr">
        <is>
          <t>MARIESTAD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13704-2019</t>
        </is>
      </c>
      <c r="B60" s="1" t="n">
        <v>43531</v>
      </c>
      <c r="C60" s="1" t="n">
        <v>45258</v>
      </c>
      <c r="D60" t="inlineStr">
        <is>
          <t>VÄSTRA GÖTALANDS LÄN</t>
        </is>
      </c>
      <c r="E60" t="inlineStr">
        <is>
          <t>MARIESTAD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15929-2019</t>
        </is>
      </c>
      <c r="B61" s="1" t="n">
        <v>43544</v>
      </c>
      <c r="C61" s="1" t="n">
        <v>45258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16020-2019</t>
        </is>
      </c>
      <c r="B62" s="1" t="n">
        <v>43544</v>
      </c>
      <c r="C62" s="1" t="n">
        <v>45258</v>
      </c>
      <c r="D62" t="inlineStr">
        <is>
          <t>VÄSTRA GÖTALANDS LÄN</t>
        </is>
      </c>
      <c r="E62" t="inlineStr">
        <is>
          <t>MARIESTAD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16316-2019</t>
        </is>
      </c>
      <c r="B63" s="1" t="n">
        <v>43545</v>
      </c>
      <c r="C63" s="1" t="n">
        <v>45258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17687-2019</t>
        </is>
      </c>
      <c r="B64" s="1" t="n">
        <v>43556</v>
      </c>
      <c r="C64" s="1" t="n">
        <v>45258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20108-2019</t>
        </is>
      </c>
      <c r="B65" s="1" t="n">
        <v>43570</v>
      </c>
      <c r="C65" s="1" t="n">
        <v>45258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Kyrkan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20160-2019</t>
        </is>
      </c>
      <c r="B66" s="1" t="n">
        <v>43570</v>
      </c>
      <c r="C66" s="1" t="n">
        <v>45258</v>
      </c>
      <c r="D66" t="inlineStr">
        <is>
          <t>VÄSTRA GÖTALANDS LÄN</t>
        </is>
      </c>
      <c r="E66" t="inlineStr">
        <is>
          <t>MARIESTAD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20552-2019</t>
        </is>
      </c>
      <c r="B67" s="1" t="n">
        <v>43572</v>
      </c>
      <c r="C67" s="1" t="n">
        <v>45258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22225-2019</t>
        </is>
      </c>
      <c r="B68" s="1" t="n">
        <v>43585</v>
      </c>
      <c r="C68" s="1" t="n">
        <v>45258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22981-2019</t>
        </is>
      </c>
      <c r="B69" s="1" t="n">
        <v>43591</v>
      </c>
      <c r="C69" s="1" t="n">
        <v>45258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23190-2019</t>
        </is>
      </c>
      <c r="B70" s="1" t="n">
        <v>43592</v>
      </c>
      <c r="C70" s="1" t="n">
        <v>45258</v>
      </c>
      <c r="D70" t="inlineStr">
        <is>
          <t>VÄSTRA GÖTALANDS LÄN</t>
        </is>
      </c>
      <c r="E70" t="inlineStr">
        <is>
          <t>MARIESTAD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23401-2019</t>
        </is>
      </c>
      <c r="B71" s="1" t="n">
        <v>43593</v>
      </c>
      <c r="C71" s="1" t="n">
        <v>45258</v>
      </c>
      <c r="D71" t="inlineStr">
        <is>
          <t>VÄSTRA GÖTALANDS LÄN</t>
        </is>
      </c>
      <c r="E71" t="inlineStr">
        <is>
          <t>MARIESTAD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23413-2019</t>
        </is>
      </c>
      <c r="B72" s="1" t="n">
        <v>43593</v>
      </c>
      <c r="C72" s="1" t="n">
        <v>45258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23404-2019</t>
        </is>
      </c>
      <c r="B73" s="1" t="n">
        <v>43593</v>
      </c>
      <c r="C73" s="1" t="n">
        <v>45258</v>
      </c>
      <c r="D73" t="inlineStr">
        <is>
          <t>VÄSTRA GÖTALANDS LÄN</t>
        </is>
      </c>
      <c r="E73" t="inlineStr">
        <is>
          <t>MARIESTAD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24121-2019</t>
        </is>
      </c>
      <c r="B74" s="1" t="n">
        <v>43598</v>
      </c>
      <c r="C74" s="1" t="n">
        <v>45258</v>
      </c>
      <c r="D74" t="inlineStr">
        <is>
          <t>VÄSTRA GÖTALANDS LÄN</t>
        </is>
      </c>
      <c r="E74" t="inlineStr">
        <is>
          <t>MARIESTAD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25161-2019</t>
        </is>
      </c>
      <c r="B75" s="1" t="n">
        <v>43605</v>
      </c>
      <c r="C75" s="1" t="n">
        <v>45258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26801-2019</t>
        </is>
      </c>
      <c r="B76" s="1" t="n">
        <v>43613</v>
      </c>
      <c r="C76" s="1" t="n">
        <v>45258</v>
      </c>
      <c r="D76" t="inlineStr">
        <is>
          <t>VÄSTRA GÖTALANDS LÄN</t>
        </is>
      </c>
      <c r="E76" t="inlineStr">
        <is>
          <t>MARIESTAD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26803-2019</t>
        </is>
      </c>
      <c r="B77" s="1" t="n">
        <v>43613</v>
      </c>
      <c r="C77" s="1" t="n">
        <v>45258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26799-2019</t>
        </is>
      </c>
      <c r="B78" s="1" t="n">
        <v>43613</v>
      </c>
      <c r="C78" s="1" t="n">
        <v>45258</v>
      </c>
      <c r="D78" t="inlineStr">
        <is>
          <t>VÄSTRA GÖTALANDS LÄN</t>
        </is>
      </c>
      <c r="E78" t="inlineStr">
        <is>
          <t>MARIESTAD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28847-2019</t>
        </is>
      </c>
      <c r="B79" s="1" t="n">
        <v>43627</v>
      </c>
      <c r="C79" s="1" t="n">
        <v>45258</v>
      </c>
      <c r="D79" t="inlineStr">
        <is>
          <t>VÄSTRA GÖTALANDS LÄN</t>
        </is>
      </c>
      <c r="E79" t="inlineStr">
        <is>
          <t>MARIESTAD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31065-2019</t>
        </is>
      </c>
      <c r="B80" s="1" t="n">
        <v>43640</v>
      </c>
      <c r="C80" s="1" t="n">
        <v>45258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31073-2019</t>
        </is>
      </c>
      <c r="B81" s="1" t="n">
        <v>43640</v>
      </c>
      <c r="C81" s="1" t="n">
        <v>45258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31682-2019</t>
        </is>
      </c>
      <c r="B82" s="1" t="n">
        <v>43642</v>
      </c>
      <c r="C82" s="1" t="n">
        <v>45258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32333-2019</t>
        </is>
      </c>
      <c r="B83" s="1" t="n">
        <v>43644</v>
      </c>
      <c r="C83" s="1" t="n">
        <v>45258</v>
      </c>
      <c r="D83" t="inlineStr">
        <is>
          <t>VÄSTRA GÖTALANDS LÄN</t>
        </is>
      </c>
      <c r="E83" t="inlineStr">
        <is>
          <t>MARIESTAD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32334-2019</t>
        </is>
      </c>
      <c r="B84" s="1" t="n">
        <v>43644</v>
      </c>
      <c r="C84" s="1" t="n">
        <v>45258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32462-2019</t>
        </is>
      </c>
      <c r="B85" s="1" t="n">
        <v>43644</v>
      </c>
      <c r="C85" s="1" t="n">
        <v>45258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32377-2019</t>
        </is>
      </c>
      <c r="B86" s="1" t="n">
        <v>43644</v>
      </c>
      <c r="C86" s="1" t="n">
        <v>45258</v>
      </c>
      <c r="D86" t="inlineStr">
        <is>
          <t>VÄSTRA GÖTALANDS LÄN</t>
        </is>
      </c>
      <c r="E86" t="inlineStr">
        <is>
          <t>MARIESTAD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32464-2019</t>
        </is>
      </c>
      <c r="B87" s="1" t="n">
        <v>43644</v>
      </c>
      <c r="C87" s="1" t="n">
        <v>45258</v>
      </c>
      <c r="D87" t="inlineStr">
        <is>
          <t>VÄSTRA GÖTALANDS LÄN</t>
        </is>
      </c>
      <c r="E87" t="inlineStr">
        <is>
          <t>MARIESTAD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32332-2019</t>
        </is>
      </c>
      <c r="B88" s="1" t="n">
        <v>43644</v>
      </c>
      <c r="C88" s="1" t="n">
        <v>45258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32601-2019</t>
        </is>
      </c>
      <c r="B89" s="1" t="n">
        <v>43647</v>
      </c>
      <c r="C89" s="1" t="n">
        <v>45258</v>
      </c>
      <c r="D89" t="inlineStr">
        <is>
          <t>VÄSTRA GÖTALANDS LÄN</t>
        </is>
      </c>
      <c r="E89" t="inlineStr">
        <is>
          <t>MARIESTAD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32649-2019</t>
        </is>
      </c>
      <c r="B90" s="1" t="n">
        <v>43647</v>
      </c>
      <c r="C90" s="1" t="n">
        <v>45258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33030-2019</t>
        </is>
      </c>
      <c r="B91" s="1" t="n">
        <v>43649</v>
      </c>
      <c r="C91" s="1" t="n">
        <v>45258</v>
      </c>
      <c r="D91" t="inlineStr">
        <is>
          <t>VÄSTRA GÖTALANDS LÄN</t>
        </is>
      </c>
      <c r="E91" t="inlineStr">
        <is>
          <t>MARIESTAD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33027-2019</t>
        </is>
      </c>
      <c r="B92" s="1" t="n">
        <v>43649</v>
      </c>
      <c r="C92" s="1" t="n">
        <v>45258</v>
      </c>
      <c r="D92" t="inlineStr">
        <is>
          <t>VÄSTRA GÖTALANDS LÄN</t>
        </is>
      </c>
      <c r="E92" t="inlineStr">
        <is>
          <t>MARIESTAD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33713-2019</t>
        </is>
      </c>
      <c r="B93" s="1" t="n">
        <v>43651</v>
      </c>
      <c r="C93" s="1" t="n">
        <v>45258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33716-2019</t>
        </is>
      </c>
      <c r="B94" s="1" t="n">
        <v>43651</v>
      </c>
      <c r="C94" s="1" t="n">
        <v>45258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45258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45258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45258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45258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45258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45258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45258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45258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45258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45258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45258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45258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45258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45258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45258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45258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45258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45258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45258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45258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45258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45258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45258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45258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45258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45258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45258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45258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45258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45258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45258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45258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45258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45258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45258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45258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45258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45258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45258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45258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45258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45258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45258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45258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45258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45258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45258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45258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45258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45258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45258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45258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45258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45258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45258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45258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45258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45258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45258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45258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45258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45258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45258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45258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45258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45258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45258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45258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45258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45258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45258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45258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45258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45258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45258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45258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45258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45258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45258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45258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45258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45258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45258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45258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45258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45258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45258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45258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45258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45258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45258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45258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45258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45258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45258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45258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45258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45258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45258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45258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45258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45258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45258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45258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45258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45258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45258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45258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45258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45258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45258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45258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45258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45258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45258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45258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45258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45258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45258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45258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45258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45258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45258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45258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45258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45258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45258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45258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45258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45258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45258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45258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45258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45258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45258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45258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45258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45258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45258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45258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45258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45258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45258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45258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45258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45258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45258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45258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45258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45258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45258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45258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45258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45258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45258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45258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45258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45258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45258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45258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45258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45258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45258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45258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45258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45258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45258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45258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45258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45258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45258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45258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45258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45258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45258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45258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45258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45258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45258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45258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45258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45258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45258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45258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45258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45258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45258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45258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45258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45258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45258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45258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45258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45258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45258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45258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45258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45258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45258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45258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45258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45258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45258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45258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45258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45258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45258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45258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45258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45258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45258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45258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45258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45258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45258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45258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45258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45258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45258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45258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45258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45258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45258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45258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45258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45258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45258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45258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45258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45258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45258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45258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45258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45258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45258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45258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45258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45258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45258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45258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45258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45258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45258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45258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45258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45258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45258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45258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45258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45258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45258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45258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45258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45258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45258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45258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45258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45258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45258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45258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45258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45258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45258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45258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45258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45258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45258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45258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45258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45258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45258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45258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45258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45258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45258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45258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45258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45258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45258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45258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45258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45258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45258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45258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45258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45258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45258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45258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45258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45258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45258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45258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45258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45258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45258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45258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45258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45258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45258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45258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45258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45258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45258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45258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45258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45258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45258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45258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45258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45258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45258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45258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45258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45258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45258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45258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45258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45258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45258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45258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45258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45258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45258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45258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45258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45258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45258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45258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45258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45258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45258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45258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45258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45258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45258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45258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45258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45258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45258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45258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45258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45258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45258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45258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45258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45258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45258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45258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45258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45258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45258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45258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45258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45258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45258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45258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45258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45258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45258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45258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45258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45258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45258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45258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45258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45258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45258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45258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45258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45258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45258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45258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45258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45258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45258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45258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45258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45258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45258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45258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45258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45258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45258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45258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45258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45258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45258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45258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45258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45258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45258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45258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45258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45258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45258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45258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45258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45258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45258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45258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45258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45258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45258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45258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45258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45258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45258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45258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45258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45258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45258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45258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45258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45258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45258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45258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45258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45258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45258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45258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45258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45258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45258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45258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45258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45258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45258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45258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45258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45258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45258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45258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45258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45258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45258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45258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45258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45258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45258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45258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45258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45258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45258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45258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45258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45258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45258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45258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45258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45258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55777-2023</t>
        </is>
      </c>
      <c r="B545" s="1" t="n">
        <v>45239</v>
      </c>
      <c r="C545" s="1" t="n">
        <v>45258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45258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55776-2023</t>
        </is>
      </c>
      <c r="B547" s="1" t="n">
        <v>45239</v>
      </c>
      <c r="C547" s="1" t="n">
        <v>45258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45258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45258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57692-2023</t>
        </is>
      </c>
      <c r="B550" s="1" t="n">
        <v>45243</v>
      </c>
      <c r="C550" s="1" t="n">
        <v>45258</v>
      </c>
      <c r="D550" t="inlineStr">
        <is>
          <t>VÄSTRA GÖTALANDS LÄN</t>
        </is>
      </c>
      <c r="E550" t="inlineStr">
        <is>
          <t>MARIESTAD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45258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45258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45258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45258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45258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45258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59745-2023</t>
        </is>
      </c>
      <c r="B557" s="1" t="n">
        <v>45257</v>
      </c>
      <c r="C557" s="1" t="n">
        <v>45258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2023-11-28T17:18:34Z</dcterms:created>
  <dcterms:modified xmlns:dcterms="http://purl.org/dc/terms/" xmlns:xsi="http://www.w3.org/2001/XMLSchema-instance" xsi:type="dcterms:W3CDTF">2023-11-28T17:18:35Z</dcterms:modified>
</cp:coreProperties>
</file>