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45743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45743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45743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45743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45743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45743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45743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45743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45743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45743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45743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14947-2023</t>
        </is>
      </c>
      <c r="B13" s="1" t="n">
        <v>45015</v>
      </c>
      <c r="C13" s="1" t="n">
        <v>45743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</v>
      </c>
      <c r="C14" s="1" t="n">
        <v>45743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47764-2023</t>
        </is>
      </c>
      <c r="B15" s="1" t="n">
        <v>45203</v>
      </c>
      <c r="C15" s="1" t="n">
        <v>45743</v>
      </c>
      <c r="D15" t="inlineStr">
        <is>
          <t>VÄSTRA GÖTALANDS LÄN</t>
        </is>
      </c>
      <c r="E15" t="inlineStr">
        <is>
          <t>MARIESTAD</t>
        </is>
      </c>
      <c r="G15" t="n">
        <v>0.7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HYPERLINK("https://klasma.github.io/Logging_1493/artfynd/A 47764-2023 artfynd.xlsx", "A 47764-2023")</f>
        <v/>
      </c>
      <c r="T15">
        <f>HYPERLINK("https://klasma.github.io/Logging_1493/kartor/A 47764-2023 karta.png", "A 47764-2023")</f>
        <v/>
      </c>
      <c r="V15">
        <f>HYPERLINK("https://klasma.github.io/Logging_1493/klagomål/A 47764-2023 FSC-klagomål.docx", "A 47764-2023")</f>
        <v/>
      </c>
      <c r="W15">
        <f>HYPERLINK("https://klasma.github.io/Logging_1493/klagomålsmail/A 47764-2023 FSC-klagomål mail.docx", "A 47764-2023")</f>
        <v/>
      </c>
      <c r="X15">
        <f>HYPERLINK("https://klasma.github.io/Logging_1493/tillsyn/A 47764-2023 tillsynsbegäran.docx", "A 47764-2023")</f>
        <v/>
      </c>
      <c r="Y15">
        <f>HYPERLINK("https://klasma.github.io/Logging_1493/tillsynsmail/A 47764-2023 tillsynsbegäran mail.docx", "A 47764-2023")</f>
        <v/>
      </c>
    </row>
    <row r="16" ht="15" customHeight="1">
      <c r="A16" t="inlineStr">
        <is>
          <t>A 8030-2024</t>
        </is>
      </c>
      <c r="B16" s="1" t="n">
        <v>45350</v>
      </c>
      <c r="C16" s="1" t="n">
        <v>45743</v>
      </c>
      <c r="D16" t="inlineStr">
        <is>
          <t>VÄSTRA GÖTALANDS LÄN</t>
        </is>
      </c>
      <c r="E16" t="inlineStr">
        <is>
          <t>MARIESTAD</t>
        </is>
      </c>
      <c r="G16" t="n">
        <v>4.1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HYPERLINK("https://klasma.github.io/Logging_1493/artfynd/A 8030-2024 artfynd.xlsx", "A 8030-2024")</f>
        <v/>
      </c>
      <c r="T16">
        <f>HYPERLINK("https://klasma.github.io/Logging_1493/kartor/A 8030-2024 karta.png", "A 8030-2024")</f>
        <v/>
      </c>
      <c r="V16">
        <f>HYPERLINK("https://klasma.github.io/Logging_1493/klagomål/A 8030-2024 FSC-klagomål.docx", "A 8030-2024")</f>
        <v/>
      </c>
      <c r="W16">
        <f>HYPERLINK("https://klasma.github.io/Logging_1493/klagomålsmail/A 8030-2024 FSC-klagomål mail.docx", "A 8030-2024")</f>
        <v/>
      </c>
      <c r="X16">
        <f>HYPERLINK("https://klasma.github.io/Logging_1493/tillsyn/A 8030-2024 tillsynsbegäran.docx", "A 8030-2024")</f>
        <v/>
      </c>
      <c r="Y16">
        <f>HYPERLINK("https://klasma.github.io/Logging_1493/tillsynsmail/A 8030-2024 tillsynsbegäran mail.docx", "A 8030-2024")</f>
        <v/>
      </c>
    </row>
    <row r="17" ht="15" customHeight="1">
      <c r="A17" t="inlineStr">
        <is>
          <t>A 18498-2019</t>
        </is>
      </c>
      <c r="B17" s="1" t="n">
        <v>43559</v>
      </c>
      <c r="C17" s="1" t="n">
        <v>45743</v>
      </c>
      <c r="D17" t="inlineStr">
        <is>
          <t>VÄSTRA GÖTALANDS LÄN</t>
        </is>
      </c>
      <c r="E17" t="inlineStr">
        <is>
          <t>MARIESTAD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Backmåra</t>
        </is>
      </c>
      <c r="S17">
        <f>HYPERLINK("https://klasma.github.io/Logging_1493/artfynd/A 18498-2019 artfynd.xlsx", "A 18498-2019")</f>
        <v/>
      </c>
      <c r="T17">
        <f>HYPERLINK("https://klasma.github.io/Logging_1493/kartor/A 18498-2019 karta.png", "A 18498-2019")</f>
        <v/>
      </c>
      <c r="V17">
        <f>HYPERLINK("https://klasma.github.io/Logging_1493/klagomål/A 18498-2019 FSC-klagomål.docx", "A 18498-2019")</f>
        <v/>
      </c>
      <c r="W17">
        <f>HYPERLINK("https://klasma.github.io/Logging_1493/klagomålsmail/A 18498-2019 FSC-klagomål mail.docx", "A 18498-2019")</f>
        <v/>
      </c>
      <c r="X17">
        <f>HYPERLINK("https://klasma.github.io/Logging_1493/tillsyn/A 18498-2019 tillsynsbegäran.docx", "A 18498-2019")</f>
        <v/>
      </c>
      <c r="Y17">
        <f>HYPERLINK("https://klasma.github.io/Logging_1493/tillsynsmail/A 18498-2019 tillsynsbegäran mail.docx", "A 18498-2019")</f>
        <v/>
      </c>
    </row>
    <row r="18" ht="15" customHeight="1">
      <c r="A18" t="inlineStr">
        <is>
          <t>A 33716-2019</t>
        </is>
      </c>
      <c r="B18" s="1" t="n">
        <v>43651</v>
      </c>
      <c r="C18" s="1" t="n">
        <v>45743</v>
      </c>
      <c r="D18" t="inlineStr">
        <is>
          <t>VÄSTRA GÖTALANDS LÄN</t>
        </is>
      </c>
      <c r="E18" t="inlineStr">
        <is>
          <t>MARIESTAD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33716-2019 artfynd.xlsx", "A 33716-2019")</f>
        <v/>
      </c>
      <c r="T18">
        <f>HYPERLINK("https://klasma.github.io/Logging_1493/kartor/A 33716-2019 karta.png", "A 33716-2019")</f>
        <v/>
      </c>
      <c r="V18">
        <f>HYPERLINK("https://klasma.github.io/Logging_1493/klagomål/A 33716-2019 FSC-klagomål.docx", "A 33716-2019")</f>
        <v/>
      </c>
      <c r="W18">
        <f>HYPERLINK("https://klasma.github.io/Logging_1493/klagomålsmail/A 33716-2019 FSC-klagomål mail.docx", "A 33716-2019")</f>
        <v/>
      </c>
      <c r="X18">
        <f>HYPERLINK("https://klasma.github.io/Logging_1493/tillsyn/A 33716-2019 tillsynsbegäran.docx", "A 33716-2019")</f>
        <v/>
      </c>
      <c r="Y18">
        <f>HYPERLINK("https://klasma.github.io/Logging_1493/tillsynsmail/A 33716-2019 tillsynsbegäran mail.docx", "A 33716-2019")</f>
        <v/>
      </c>
    </row>
    <row r="19" ht="15" customHeight="1">
      <c r="A19" t="inlineStr">
        <is>
          <t>A 63818-2019</t>
        </is>
      </c>
      <c r="B19" s="1" t="n">
        <v>43795</v>
      </c>
      <c r="C19" s="1" t="n">
        <v>45743</v>
      </c>
      <c r="D19" t="inlineStr">
        <is>
          <t>VÄSTRA GÖTALANDS LÄN</t>
        </is>
      </c>
      <c r="E19" t="inlineStr">
        <is>
          <t>MARIESTAD</t>
        </is>
      </c>
      <c r="G19" t="n">
        <v>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63818-2019 artfynd.xlsx", "A 63818-2019")</f>
        <v/>
      </c>
      <c r="T19">
        <f>HYPERLINK("https://klasma.github.io/Logging_1493/kartor/A 63818-2019 karta.png", "A 63818-2019")</f>
        <v/>
      </c>
      <c r="V19">
        <f>HYPERLINK("https://klasma.github.io/Logging_1493/klagomål/A 63818-2019 FSC-klagomål.docx", "A 63818-2019")</f>
        <v/>
      </c>
      <c r="W19">
        <f>HYPERLINK("https://klasma.github.io/Logging_1493/klagomålsmail/A 63818-2019 FSC-klagomål mail.docx", "A 63818-2019")</f>
        <v/>
      </c>
      <c r="X19">
        <f>HYPERLINK("https://klasma.github.io/Logging_1493/tillsyn/A 63818-2019 tillsynsbegäran.docx", "A 63818-2019")</f>
        <v/>
      </c>
      <c r="Y19">
        <f>HYPERLINK("https://klasma.github.io/Logging_1493/tillsynsmail/A 63818-2019 tillsynsbegäran mail.docx", "A 63818-2019")</f>
        <v/>
      </c>
    </row>
    <row r="20" ht="15" customHeight="1">
      <c r="A20" t="inlineStr">
        <is>
          <t>A 37323-2020</t>
        </is>
      </c>
      <c r="B20" s="1" t="n">
        <v>44055</v>
      </c>
      <c r="C20" s="1" t="n">
        <v>45743</v>
      </c>
      <c r="D20" t="inlineStr">
        <is>
          <t>VÄSTRA GÖTALANDS LÄN</t>
        </is>
      </c>
      <c r="E20" t="inlineStr">
        <is>
          <t>MARIESTAD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HYPERLINK("https://klasma.github.io/Logging_1493/artfynd/A 37323-2020 artfynd.xlsx", "A 37323-2020")</f>
        <v/>
      </c>
      <c r="T20">
        <f>HYPERLINK("https://klasma.github.io/Logging_1493/kartor/A 37323-2020 karta.png", "A 37323-2020")</f>
        <v/>
      </c>
      <c r="V20">
        <f>HYPERLINK("https://klasma.github.io/Logging_1493/klagomål/A 37323-2020 FSC-klagomål.docx", "A 37323-2020")</f>
        <v/>
      </c>
      <c r="W20">
        <f>HYPERLINK("https://klasma.github.io/Logging_1493/klagomålsmail/A 37323-2020 FSC-klagomål mail.docx", "A 37323-2020")</f>
        <v/>
      </c>
      <c r="X20">
        <f>HYPERLINK("https://klasma.github.io/Logging_1493/tillsyn/A 37323-2020 tillsynsbegäran.docx", "A 37323-2020")</f>
        <v/>
      </c>
      <c r="Y20">
        <f>HYPERLINK("https://klasma.github.io/Logging_1493/tillsynsmail/A 37323-2020 tillsynsbegäran mail.docx", "A 37323-2020")</f>
        <v/>
      </c>
    </row>
    <row r="21" ht="15" customHeight="1">
      <c r="A21" t="inlineStr">
        <is>
          <t>A 50811-2020</t>
        </is>
      </c>
      <c r="B21" s="1" t="n">
        <v>44111</v>
      </c>
      <c r="C21" s="1" t="n">
        <v>45743</v>
      </c>
      <c r="D21" t="inlineStr">
        <is>
          <t>VÄSTRA GÖTALANDS LÄN</t>
        </is>
      </c>
      <c r="E21" t="inlineStr">
        <is>
          <t>MARIESTAD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HYPERLINK("https://klasma.github.io/Logging_1493/artfynd/A 50811-2020 artfynd.xlsx", "A 50811-2020")</f>
        <v/>
      </c>
      <c r="T21">
        <f>HYPERLINK("https://klasma.github.io/Logging_1493/kartor/A 50811-2020 karta.png", "A 50811-2020")</f>
        <v/>
      </c>
      <c r="V21">
        <f>HYPERLINK("https://klasma.github.io/Logging_1493/klagomål/A 50811-2020 FSC-klagomål.docx", "A 50811-2020")</f>
        <v/>
      </c>
      <c r="W21">
        <f>HYPERLINK("https://klasma.github.io/Logging_1493/klagomålsmail/A 50811-2020 FSC-klagomål mail.docx", "A 50811-2020")</f>
        <v/>
      </c>
      <c r="X21">
        <f>HYPERLINK("https://klasma.github.io/Logging_1493/tillsyn/A 50811-2020 tillsynsbegäran.docx", "A 50811-2020")</f>
        <v/>
      </c>
      <c r="Y21">
        <f>HYPERLINK("https://klasma.github.io/Logging_1493/tillsynsmail/A 50811-2020 tillsynsbegäran mail.docx", "A 50811-2020")</f>
        <v/>
      </c>
    </row>
    <row r="22" ht="15" customHeight="1">
      <c r="A22" t="inlineStr">
        <is>
          <t>A 56400-2020</t>
        </is>
      </c>
      <c r="B22" s="1" t="n">
        <v>44137</v>
      </c>
      <c r="C22" s="1" t="n">
        <v>45743</v>
      </c>
      <c r="D22" t="inlineStr">
        <is>
          <t>VÄSTRA GÖTALANDS LÄN</t>
        </is>
      </c>
      <c r="E22" t="inlineStr">
        <is>
          <t>MARIESTAD</t>
        </is>
      </c>
      <c r="G22" t="n">
        <v>3.9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Färgginst</t>
        </is>
      </c>
      <c r="S22">
        <f>HYPERLINK("https://klasma.github.io/Logging_1493/artfynd/A 56400-2020 artfynd.xlsx", "A 56400-2020")</f>
        <v/>
      </c>
      <c r="T22">
        <f>HYPERLINK("https://klasma.github.io/Logging_1493/kartor/A 56400-2020 karta.png", "A 56400-2020")</f>
        <v/>
      </c>
      <c r="V22">
        <f>HYPERLINK("https://klasma.github.io/Logging_1493/klagomål/A 56400-2020 FSC-klagomål.docx", "A 56400-2020")</f>
        <v/>
      </c>
      <c r="W22">
        <f>HYPERLINK("https://klasma.github.io/Logging_1493/klagomålsmail/A 56400-2020 FSC-klagomål mail.docx", "A 56400-2020")</f>
        <v/>
      </c>
      <c r="X22">
        <f>HYPERLINK("https://klasma.github.io/Logging_1493/tillsyn/A 56400-2020 tillsynsbegäran.docx", "A 56400-2020")</f>
        <v/>
      </c>
      <c r="Y22">
        <f>HYPERLINK("https://klasma.github.io/Logging_1493/tillsynsmail/A 56400-2020 tillsynsbegäran mail.docx", "A 56400-2020")</f>
        <v/>
      </c>
    </row>
    <row r="23" ht="15" customHeight="1">
      <c r="A23" t="inlineStr">
        <is>
          <t>A 64046-2020</t>
        </is>
      </c>
      <c r="B23" s="1" t="n">
        <v>44167</v>
      </c>
      <c r="C23" s="1" t="n">
        <v>45743</v>
      </c>
      <c r="D23" t="inlineStr">
        <is>
          <t>VÄSTRA GÖTALANDS LÄN</t>
        </is>
      </c>
      <c r="E23" t="inlineStr">
        <is>
          <t>MARIESTAD</t>
        </is>
      </c>
      <c r="G23" t="n">
        <v>12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HYPERLINK("https://klasma.github.io/Logging_1493/artfynd/A 64046-2020 artfynd.xlsx", "A 64046-2020")</f>
        <v/>
      </c>
      <c r="T23">
        <f>HYPERLINK("https://klasma.github.io/Logging_1493/kartor/A 64046-2020 karta.png", "A 64046-2020")</f>
        <v/>
      </c>
      <c r="V23">
        <f>HYPERLINK("https://klasma.github.io/Logging_1493/klagomål/A 64046-2020 FSC-klagomål.docx", "A 64046-2020")</f>
        <v/>
      </c>
      <c r="W23">
        <f>HYPERLINK("https://klasma.github.io/Logging_1493/klagomålsmail/A 64046-2020 FSC-klagomål mail.docx", "A 64046-2020")</f>
        <v/>
      </c>
      <c r="X23">
        <f>HYPERLINK("https://klasma.github.io/Logging_1493/tillsyn/A 64046-2020 tillsynsbegäran.docx", "A 64046-2020")</f>
        <v/>
      </c>
      <c r="Y23">
        <f>HYPERLINK("https://klasma.github.io/Logging_1493/tillsynsmail/A 64046-2020 tillsynsbegäran mail.docx", "A 64046-2020")</f>
        <v/>
      </c>
    </row>
    <row r="24" ht="15" customHeight="1">
      <c r="A24" t="inlineStr">
        <is>
          <t>A 51265-2021</t>
        </is>
      </c>
      <c r="B24" s="1" t="n">
        <v>44461</v>
      </c>
      <c r="C24" s="1" t="n">
        <v>45743</v>
      </c>
      <c r="D24" t="inlineStr">
        <is>
          <t>VÄSTRA GÖTALANDS LÄN</t>
        </is>
      </c>
      <c r="E24" t="inlineStr">
        <is>
          <t>MARIESTAD</t>
        </is>
      </c>
      <c r="G24" t="n">
        <v>30.9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HYPERLINK("https://klasma.github.io/Logging_1493/artfynd/A 51265-2021 artfynd.xlsx", "A 51265-2021")</f>
        <v/>
      </c>
      <c r="T24">
        <f>HYPERLINK("https://klasma.github.io/Logging_1493/kartor/A 51265-2021 karta.png", "A 51265-2021")</f>
        <v/>
      </c>
      <c r="V24">
        <f>HYPERLINK("https://klasma.github.io/Logging_1493/klagomål/A 51265-2021 FSC-klagomål.docx", "A 51265-2021")</f>
        <v/>
      </c>
      <c r="W24">
        <f>HYPERLINK("https://klasma.github.io/Logging_1493/klagomålsmail/A 51265-2021 FSC-klagomål mail.docx", "A 51265-2021")</f>
        <v/>
      </c>
      <c r="X24">
        <f>HYPERLINK("https://klasma.github.io/Logging_1493/tillsyn/A 51265-2021 tillsynsbegäran.docx", "A 51265-2021")</f>
        <v/>
      </c>
      <c r="Y24">
        <f>HYPERLINK("https://klasma.github.io/Logging_1493/tillsynsmail/A 51265-2021 tillsynsbegäran mail.docx", "A 51265-2021")</f>
        <v/>
      </c>
      <c r="Z24">
        <f>HYPERLINK("https://klasma.github.io/Logging_1493/fåglar/A 51265-2021 prioriterade fågelarter.docx", "A 51265-2021")</f>
        <v/>
      </c>
    </row>
    <row r="25" ht="15" customHeight="1">
      <c r="A25" t="inlineStr">
        <is>
          <t>A 8262-2022</t>
        </is>
      </c>
      <c r="B25" s="1" t="n">
        <v>44610</v>
      </c>
      <c r="C25" s="1" t="n">
        <v>45743</v>
      </c>
      <c r="D25" t="inlineStr">
        <is>
          <t>VÄSTRA GÖTALANDS LÄN</t>
        </is>
      </c>
      <c r="E25" t="inlineStr">
        <is>
          <t>MARIESTAD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HYPERLINK("https://klasma.github.io/Logging_1493/artfynd/A 8262-2022 artfynd.xlsx", "A 8262-2022")</f>
        <v/>
      </c>
      <c r="T25">
        <f>HYPERLINK("https://klasma.github.io/Logging_1493/kartor/A 8262-2022 karta.png", "A 8262-2022")</f>
        <v/>
      </c>
      <c r="V25">
        <f>HYPERLINK("https://klasma.github.io/Logging_1493/klagomål/A 8262-2022 FSC-klagomål.docx", "A 8262-2022")</f>
        <v/>
      </c>
      <c r="W25">
        <f>HYPERLINK("https://klasma.github.io/Logging_1493/klagomålsmail/A 8262-2022 FSC-klagomål mail.docx", "A 8262-2022")</f>
        <v/>
      </c>
      <c r="X25">
        <f>HYPERLINK("https://klasma.github.io/Logging_1493/tillsyn/A 8262-2022 tillsynsbegäran.docx", "A 8262-2022")</f>
        <v/>
      </c>
      <c r="Y25">
        <f>HYPERLINK("https://klasma.github.io/Logging_1493/tillsynsmail/A 8262-2022 tillsynsbegäran mail.docx", "A 8262-2022")</f>
        <v/>
      </c>
      <c r="Z25">
        <f>HYPERLINK("https://klasma.github.io/Logging_1493/fåglar/A 8262-2022 prioriterade fågelarter.docx", "A 8262-2022")</f>
        <v/>
      </c>
    </row>
    <row r="26" ht="15" customHeight="1">
      <c r="A26" t="inlineStr">
        <is>
          <t>A 28160-2022</t>
        </is>
      </c>
      <c r="B26" s="1" t="n">
        <v>44746</v>
      </c>
      <c r="C26" s="1" t="n">
        <v>45743</v>
      </c>
      <c r="D26" t="inlineStr">
        <is>
          <t>VÄSTRA GÖTALANDS LÄN</t>
        </is>
      </c>
      <c r="E26" t="inlineStr">
        <is>
          <t>MARIESTAD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HYPERLINK("https://klasma.github.io/Logging_1493/artfynd/A 28160-2022 artfynd.xlsx", "A 28160-2022")</f>
        <v/>
      </c>
      <c r="T26">
        <f>HYPERLINK("https://klasma.github.io/Logging_1493/kartor/A 28160-2022 karta.png", "A 28160-2022")</f>
        <v/>
      </c>
      <c r="V26">
        <f>HYPERLINK("https://klasma.github.io/Logging_1493/klagomål/A 28160-2022 FSC-klagomål.docx", "A 28160-2022")</f>
        <v/>
      </c>
      <c r="W26">
        <f>HYPERLINK("https://klasma.github.io/Logging_1493/klagomålsmail/A 28160-2022 FSC-klagomål mail.docx", "A 28160-2022")</f>
        <v/>
      </c>
      <c r="X26">
        <f>HYPERLINK("https://klasma.github.io/Logging_1493/tillsyn/A 28160-2022 tillsynsbegäran.docx", "A 28160-2022")</f>
        <v/>
      </c>
      <c r="Y26">
        <f>HYPERLINK("https://klasma.github.io/Logging_1493/tillsynsmail/A 28160-2022 tillsynsbegäran mail.docx", "A 28160-2022")</f>
        <v/>
      </c>
    </row>
    <row r="27" ht="15" customHeight="1">
      <c r="A27" t="inlineStr">
        <is>
          <t>A 53880-2022</t>
        </is>
      </c>
      <c r="B27" s="1" t="n">
        <v>44880</v>
      </c>
      <c r="C27" s="1" t="n">
        <v>45743</v>
      </c>
      <c r="D27" t="inlineStr">
        <is>
          <t>VÄSTRA GÖTALANDS LÄN</t>
        </is>
      </c>
      <c r="E27" t="inlineStr">
        <is>
          <t>MARIESTAD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HYPERLINK("https://klasma.github.io/Logging_1493/artfynd/A 53880-2022 artfynd.xlsx", "A 53880-2022")</f>
        <v/>
      </c>
      <c r="T27">
        <f>HYPERLINK("https://klasma.github.io/Logging_1493/kartor/A 53880-2022 karta.png", "A 53880-2022")</f>
        <v/>
      </c>
      <c r="V27">
        <f>HYPERLINK("https://klasma.github.io/Logging_1493/klagomål/A 53880-2022 FSC-klagomål.docx", "A 53880-2022")</f>
        <v/>
      </c>
      <c r="W27">
        <f>HYPERLINK("https://klasma.github.io/Logging_1493/klagomålsmail/A 53880-2022 FSC-klagomål mail.docx", "A 53880-2022")</f>
        <v/>
      </c>
      <c r="X27">
        <f>HYPERLINK("https://klasma.github.io/Logging_1493/tillsyn/A 53880-2022 tillsynsbegäran.docx", "A 53880-2022")</f>
        <v/>
      </c>
      <c r="Y27">
        <f>HYPERLINK("https://klasma.github.io/Logging_1493/tillsynsmail/A 53880-2022 tillsynsbegäran mail.docx", "A 53880-2022")</f>
        <v/>
      </c>
    </row>
    <row r="28" ht="15" customHeight="1">
      <c r="A28" t="inlineStr">
        <is>
          <t>A 8144-2023</t>
        </is>
      </c>
      <c r="B28" s="1" t="n">
        <v>44974</v>
      </c>
      <c r="C28" s="1" t="n">
        <v>45743</v>
      </c>
      <c r="D28" t="inlineStr">
        <is>
          <t>VÄSTRA GÖTALANDS LÄN</t>
        </is>
      </c>
      <c r="E28" t="inlineStr">
        <is>
          <t>MARIESTAD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Tornseglare</t>
        </is>
      </c>
      <c r="S28">
        <f>HYPERLINK("https://klasma.github.io/Logging_1493/artfynd/A 8144-2023 artfynd.xlsx", "A 8144-2023")</f>
        <v/>
      </c>
      <c r="T28">
        <f>HYPERLINK("https://klasma.github.io/Logging_1493/kartor/A 8144-2023 karta.png", "A 8144-2023")</f>
        <v/>
      </c>
      <c r="V28">
        <f>HYPERLINK("https://klasma.github.io/Logging_1493/klagomål/A 8144-2023 FSC-klagomål.docx", "A 8144-2023")</f>
        <v/>
      </c>
      <c r="W28">
        <f>HYPERLINK("https://klasma.github.io/Logging_1493/klagomålsmail/A 8144-2023 FSC-klagomål mail.docx", "A 8144-2023")</f>
        <v/>
      </c>
      <c r="X28">
        <f>HYPERLINK("https://klasma.github.io/Logging_1493/tillsyn/A 8144-2023 tillsynsbegäran.docx", "A 8144-2023")</f>
        <v/>
      </c>
      <c r="Y28">
        <f>HYPERLINK("https://klasma.github.io/Logging_1493/tillsynsmail/A 8144-2023 tillsynsbegäran mail.docx", "A 8144-2023")</f>
        <v/>
      </c>
      <c r="Z28">
        <f>HYPERLINK("https://klasma.github.io/Logging_1493/fåglar/A 8144-2023 prioriterade fågelarter.docx", "A 8144-2023")</f>
        <v/>
      </c>
    </row>
    <row r="29" ht="15" customHeight="1">
      <c r="A29" t="inlineStr">
        <is>
          <t>A 17272-2023</t>
        </is>
      </c>
      <c r="B29" s="1" t="n">
        <v>45035</v>
      </c>
      <c r="C29" s="1" t="n">
        <v>45743</v>
      </c>
      <c r="D29" t="inlineStr">
        <is>
          <t>VÄSTRA GÖTALANDS LÄN</t>
        </is>
      </c>
      <c r="E29" t="inlineStr">
        <is>
          <t>MARIESTAD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HYPERLINK("https://klasma.github.io/Logging_1493/artfynd/A 17272-2023 artfynd.xlsx", "A 17272-2023")</f>
        <v/>
      </c>
      <c r="T29">
        <f>HYPERLINK("https://klasma.github.io/Logging_1493/kartor/A 17272-2023 karta.png", "A 17272-2023")</f>
        <v/>
      </c>
      <c r="V29">
        <f>HYPERLINK("https://klasma.github.io/Logging_1493/klagomål/A 17272-2023 FSC-klagomål.docx", "A 17272-2023")</f>
        <v/>
      </c>
      <c r="W29">
        <f>HYPERLINK("https://klasma.github.io/Logging_1493/klagomålsmail/A 17272-2023 FSC-klagomål mail.docx", "A 17272-2023")</f>
        <v/>
      </c>
      <c r="X29">
        <f>HYPERLINK("https://klasma.github.io/Logging_1493/tillsyn/A 17272-2023 tillsynsbegäran.docx", "A 17272-2023")</f>
        <v/>
      </c>
      <c r="Y29">
        <f>HYPERLINK("https://klasma.github.io/Logging_1493/tillsynsmail/A 17272-2023 tillsynsbegäran mail.docx", "A 17272-2023")</f>
        <v/>
      </c>
    </row>
    <row r="30" ht="15" customHeight="1">
      <c r="A30" t="inlineStr">
        <is>
          <t>A 49233-2023</t>
        </is>
      </c>
      <c r="B30" s="1" t="n">
        <v>45210</v>
      </c>
      <c r="C30" s="1" t="n">
        <v>45743</v>
      </c>
      <c r="D30" t="inlineStr">
        <is>
          <t>VÄSTRA GÖTALANDS LÄN</t>
        </is>
      </c>
      <c r="E30" t="inlineStr">
        <is>
          <t>MARIESTAD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HYPERLINK("https://klasma.github.io/Logging_1493/artfynd/A 49233-2023 artfynd.xlsx", "A 49233-2023")</f>
        <v/>
      </c>
      <c r="T30">
        <f>HYPERLINK("https://klasma.github.io/Logging_1493/kartor/A 49233-2023 karta.png", "A 49233-2023")</f>
        <v/>
      </c>
      <c r="V30">
        <f>HYPERLINK("https://klasma.github.io/Logging_1493/klagomål/A 49233-2023 FSC-klagomål.docx", "A 49233-2023")</f>
        <v/>
      </c>
      <c r="W30">
        <f>HYPERLINK("https://klasma.github.io/Logging_1493/klagomålsmail/A 49233-2023 FSC-klagomål mail.docx", "A 49233-2023")</f>
        <v/>
      </c>
      <c r="X30">
        <f>HYPERLINK("https://klasma.github.io/Logging_1493/tillsyn/A 49233-2023 tillsynsbegäran.docx", "A 49233-2023")</f>
        <v/>
      </c>
      <c r="Y30">
        <f>HYPERLINK("https://klasma.github.io/Logging_1493/tillsynsmail/A 49233-2023 tillsynsbegäran mail.docx", "A 49233-2023")</f>
        <v/>
      </c>
    </row>
    <row r="31" ht="15" customHeight="1">
      <c r="A31" t="inlineStr">
        <is>
          <t>A 5162-2024</t>
        </is>
      </c>
      <c r="B31" s="1" t="n">
        <v>45330</v>
      </c>
      <c r="C31" s="1" t="n">
        <v>45743</v>
      </c>
      <c r="D31" t="inlineStr">
        <is>
          <t>VÄSTRA GÖTALANDS LÄN</t>
        </is>
      </c>
      <c r="E31" t="inlineStr">
        <is>
          <t>MARIESTAD</t>
        </is>
      </c>
      <c r="G31" t="n">
        <v>0.5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brunfladdermus</t>
        </is>
      </c>
      <c r="S31">
        <f>HYPERLINK("https://klasma.github.io/Logging_1493/artfynd/A 5162-2024 artfynd.xlsx", "A 5162-2024")</f>
        <v/>
      </c>
      <c r="T31">
        <f>HYPERLINK("https://klasma.github.io/Logging_1493/kartor/A 5162-2024 karta.png", "A 5162-2024")</f>
        <v/>
      </c>
      <c r="V31">
        <f>HYPERLINK("https://klasma.github.io/Logging_1493/klagomål/A 5162-2024 FSC-klagomål.docx", "A 5162-2024")</f>
        <v/>
      </c>
      <c r="W31">
        <f>HYPERLINK("https://klasma.github.io/Logging_1493/klagomålsmail/A 5162-2024 FSC-klagomål mail.docx", "A 5162-2024")</f>
        <v/>
      </c>
      <c r="X31">
        <f>HYPERLINK("https://klasma.github.io/Logging_1493/tillsyn/A 5162-2024 tillsynsbegäran.docx", "A 5162-2024")</f>
        <v/>
      </c>
      <c r="Y31">
        <f>HYPERLINK("https://klasma.github.io/Logging_1493/tillsynsmail/A 5162-2024 tillsynsbegäran mail.docx", "A 5162-2024")</f>
        <v/>
      </c>
    </row>
    <row r="32" ht="15" customHeight="1">
      <c r="A32" t="inlineStr">
        <is>
          <t>A 9650-2025</t>
        </is>
      </c>
      <c r="B32" s="1" t="n">
        <v>45716</v>
      </c>
      <c r="C32" s="1" t="n">
        <v>45743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Sveaskog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HYPERLINK("https://klasma.github.io/Logging_1493/artfynd/A 9650-2025 artfynd.xlsx", "A 9650-2025")</f>
        <v/>
      </c>
      <c r="T32">
        <f>HYPERLINK("https://klasma.github.io/Logging_1493/kartor/A 9650-2025 karta.png", "A 9650-2025")</f>
        <v/>
      </c>
      <c r="V32">
        <f>HYPERLINK("https://klasma.github.io/Logging_1493/klagomål/A 9650-2025 FSC-klagomål.docx", "A 9650-2025")</f>
        <v/>
      </c>
      <c r="W32">
        <f>HYPERLINK("https://klasma.github.io/Logging_1493/klagomålsmail/A 9650-2025 FSC-klagomål mail.docx", "A 9650-2025")</f>
        <v/>
      </c>
      <c r="X32">
        <f>HYPERLINK("https://klasma.github.io/Logging_1493/tillsyn/A 9650-2025 tillsynsbegäran.docx", "A 9650-2025")</f>
        <v/>
      </c>
      <c r="Y32">
        <f>HYPERLINK("https://klasma.github.io/Logging_1493/tillsynsmail/A 9650-2025 tillsynsbegäran mail.docx", "A 9650-2025")</f>
        <v/>
      </c>
    </row>
    <row r="33" ht="15" customHeight="1">
      <c r="A33" t="inlineStr">
        <is>
          <t>A 17687-2019</t>
        </is>
      </c>
      <c r="B33" s="1" t="n">
        <v>43556</v>
      </c>
      <c r="C33" s="1" t="n">
        <v>45743</v>
      </c>
      <c r="D33" t="inlineStr">
        <is>
          <t>VÄSTRA GÖTALANDS LÄN</t>
        </is>
      </c>
      <c r="E33" t="inlineStr">
        <is>
          <t>MARIESTAD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20108-2019</t>
        </is>
      </c>
      <c r="B34" s="1" t="n">
        <v>43570</v>
      </c>
      <c r="C34" s="1" t="n">
        <v>45743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20160-2019</t>
        </is>
      </c>
      <c r="B35" s="1" t="n">
        <v>43570</v>
      </c>
      <c r="C35" s="1" t="n">
        <v>45743</v>
      </c>
      <c r="D35" t="inlineStr">
        <is>
          <t>VÄSTRA GÖTALANDS LÄN</t>
        </is>
      </c>
      <c r="E35" t="inlineStr">
        <is>
          <t>MARIESTAD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20552-2019</t>
        </is>
      </c>
      <c r="B36" s="1" t="n">
        <v>43572</v>
      </c>
      <c r="C36" s="1" t="n">
        <v>45743</v>
      </c>
      <c r="D36" t="inlineStr">
        <is>
          <t>VÄSTRA GÖTALANDS LÄN</t>
        </is>
      </c>
      <c r="E36" t="inlineStr">
        <is>
          <t>MARIESTAD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22225-2019</t>
        </is>
      </c>
      <c r="B37" s="1" t="n">
        <v>43585</v>
      </c>
      <c r="C37" s="1" t="n">
        <v>45743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22981-2019</t>
        </is>
      </c>
      <c r="B38" s="1" t="n">
        <v>43591</v>
      </c>
      <c r="C38" s="1" t="n">
        <v>45743</v>
      </c>
      <c r="D38" t="inlineStr">
        <is>
          <t>VÄSTRA GÖTALANDS LÄN</t>
        </is>
      </c>
      <c r="E38" t="inlineStr">
        <is>
          <t>MARIESTAD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23190-2019</t>
        </is>
      </c>
      <c r="B39" s="1" t="n">
        <v>43592</v>
      </c>
      <c r="C39" s="1" t="n">
        <v>45743</v>
      </c>
      <c r="D39" t="inlineStr">
        <is>
          <t>VÄSTRA GÖTALANDS LÄN</t>
        </is>
      </c>
      <c r="E39" t="inlineStr">
        <is>
          <t>MARIESTAD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23401-2019</t>
        </is>
      </c>
      <c r="B40" s="1" t="n">
        <v>43593</v>
      </c>
      <c r="C40" s="1" t="n">
        <v>45743</v>
      </c>
      <c r="D40" t="inlineStr">
        <is>
          <t>VÄSTRA GÖTALANDS LÄN</t>
        </is>
      </c>
      <c r="E40" t="inlineStr">
        <is>
          <t>MARIESTAD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23413-2019</t>
        </is>
      </c>
      <c r="B41" s="1" t="n">
        <v>43593</v>
      </c>
      <c r="C41" s="1" t="n">
        <v>45743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23404-2019</t>
        </is>
      </c>
      <c r="B42" s="1" t="n">
        <v>43593</v>
      </c>
      <c r="C42" s="1" t="n">
        <v>45743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24121-2019</t>
        </is>
      </c>
      <c r="B43" s="1" t="n">
        <v>43598</v>
      </c>
      <c r="C43" s="1" t="n">
        <v>45743</v>
      </c>
      <c r="D43" t="inlineStr">
        <is>
          <t>VÄSTRA GÖTALANDS LÄN</t>
        </is>
      </c>
      <c r="E43" t="inlineStr">
        <is>
          <t>MARIESTAD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25161-2019</t>
        </is>
      </c>
      <c r="B44" s="1" t="n">
        <v>43605</v>
      </c>
      <c r="C44" s="1" t="n">
        <v>45743</v>
      </c>
      <c r="D44" t="inlineStr">
        <is>
          <t>VÄSTRA GÖTALANDS LÄN</t>
        </is>
      </c>
      <c r="E44" t="inlineStr">
        <is>
          <t>MARIESTAD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26801-2019</t>
        </is>
      </c>
      <c r="B45" s="1" t="n">
        <v>43613</v>
      </c>
      <c r="C45" s="1" t="n">
        <v>45743</v>
      </c>
      <c r="D45" t="inlineStr">
        <is>
          <t>VÄSTRA GÖTALANDS LÄN</t>
        </is>
      </c>
      <c r="E45" t="inlineStr">
        <is>
          <t>MARIESTAD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26803-2019</t>
        </is>
      </c>
      <c r="B46" s="1" t="n">
        <v>43613</v>
      </c>
      <c r="C46" s="1" t="n">
        <v>45743</v>
      </c>
      <c r="D46" t="inlineStr">
        <is>
          <t>VÄSTRA GÖTALANDS LÄN</t>
        </is>
      </c>
      <c r="E46" t="inlineStr">
        <is>
          <t>MARIESTAD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26799-2019</t>
        </is>
      </c>
      <c r="B47" s="1" t="n">
        <v>43613</v>
      </c>
      <c r="C47" s="1" t="n">
        <v>45743</v>
      </c>
      <c r="D47" t="inlineStr">
        <is>
          <t>VÄSTRA GÖTALANDS LÄN</t>
        </is>
      </c>
      <c r="E47" t="inlineStr">
        <is>
          <t>MARIESTAD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28847-2019</t>
        </is>
      </c>
      <c r="B48" s="1" t="n">
        <v>43627</v>
      </c>
      <c r="C48" s="1" t="n">
        <v>45743</v>
      </c>
      <c r="D48" t="inlineStr">
        <is>
          <t>VÄSTRA GÖTALANDS LÄN</t>
        </is>
      </c>
      <c r="E48" t="inlineStr">
        <is>
          <t>MARIESTAD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31065-2019</t>
        </is>
      </c>
      <c r="B49" s="1" t="n">
        <v>43640</v>
      </c>
      <c r="C49" s="1" t="n">
        <v>45743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31073-2019</t>
        </is>
      </c>
      <c r="B50" s="1" t="n">
        <v>43640</v>
      </c>
      <c r="C50" s="1" t="n">
        <v>45743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31682-2019</t>
        </is>
      </c>
      <c r="B51" s="1" t="n">
        <v>43642</v>
      </c>
      <c r="C51" s="1" t="n">
        <v>45743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32333-2019</t>
        </is>
      </c>
      <c r="B52" s="1" t="n">
        <v>43644</v>
      </c>
      <c r="C52" s="1" t="n">
        <v>45743</v>
      </c>
      <c r="D52" t="inlineStr">
        <is>
          <t>VÄSTRA GÖTALANDS LÄN</t>
        </is>
      </c>
      <c r="E52" t="inlineStr">
        <is>
          <t>MARIESTAD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32334-2019</t>
        </is>
      </c>
      <c r="B53" s="1" t="n">
        <v>43644</v>
      </c>
      <c r="C53" s="1" t="n">
        <v>45743</v>
      </c>
      <c r="D53" t="inlineStr">
        <is>
          <t>VÄSTRA GÖTALANDS LÄN</t>
        </is>
      </c>
      <c r="E53" t="inlineStr">
        <is>
          <t>MARIESTAD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32462-2019</t>
        </is>
      </c>
      <c r="B54" s="1" t="n">
        <v>43644</v>
      </c>
      <c r="C54" s="1" t="n">
        <v>45743</v>
      </c>
      <c r="D54" t="inlineStr">
        <is>
          <t>VÄSTRA GÖTALANDS LÄN</t>
        </is>
      </c>
      <c r="E54" t="inlineStr">
        <is>
          <t>MARIESTAD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32377-2019</t>
        </is>
      </c>
      <c r="B55" s="1" t="n">
        <v>43644</v>
      </c>
      <c r="C55" s="1" t="n">
        <v>45743</v>
      </c>
      <c r="D55" t="inlineStr">
        <is>
          <t>VÄSTRA GÖTALANDS LÄN</t>
        </is>
      </c>
      <c r="E55" t="inlineStr">
        <is>
          <t>MARIESTAD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32464-2019</t>
        </is>
      </c>
      <c r="B56" s="1" t="n">
        <v>43644</v>
      </c>
      <c r="C56" s="1" t="n">
        <v>45743</v>
      </c>
      <c r="D56" t="inlineStr">
        <is>
          <t>VÄSTRA GÖTALANDS LÄN</t>
        </is>
      </c>
      <c r="E56" t="inlineStr">
        <is>
          <t>MARIESTAD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32332-2019</t>
        </is>
      </c>
      <c r="B57" s="1" t="n">
        <v>43644</v>
      </c>
      <c r="C57" s="1" t="n">
        <v>45743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32601-2019</t>
        </is>
      </c>
      <c r="B58" s="1" t="n">
        <v>43647</v>
      </c>
      <c r="C58" s="1" t="n">
        <v>45743</v>
      </c>
      <c r="D58" t="inlineStr">
        <is>
          <t>VÄSTRA GÖTALANDS LÄN</t>
        </is>
      </c>
      <c r="E58" t="inlineStr">
        <is>
          <t>MARIESTAD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32649-2019</t>
        </is>
      </c>
      <c r="B59" s="1" t="n">
        <v>43647</v>
      </c>
      <c r="C59" s="1" t="n">
        <v>45743</v>
      </c>
      <c r="D59" t="inlineStr">
        <is>
          <t>VÄSTRA GÖTALANDS LÄN</t>
        </is>
      </c>
      <c r="E59" t="inlineStr">
        <is>
          <t>MARIESTAD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33030-2019</t>
        </is>
      </c>
      <c r="B60" s="1" t="n">
        <v>43649</v>
      </c>
      <c r="C60" s="1" t="n">
        <v>45743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33027-2019</t>
        </is>
      </c>
      <c r="B61" s="1" t="n">
        <v>43649</v>
      </c>
      <c r="C61" s="1" t="n">
        <v>45743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33713-2019</t>
        </is>
      </c>
      <c r="B62" s="1" t="n">
        <v>43651</v>
      </c>
      <c r="C62" s="1" t="n">
        <v>45743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34342-2019</t>
        </is>
      </c>
      <c r="B63" s="1" t="n">
        <v>43656</v>
      </c>
      <c r="C63" s="1" t="n">
        <v>45743</v>
      </c>
      <c r="D63" t="inlineStr">
        <is>
          <t>VÄSTRA GÖTALANDS LÄN</t>
        </is>
      </c>
      <c r="E63" t="inlineStr">
        <is>
          <t>MARIESTAD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36764-2019</t>
        </is>
      </c>
      <c r="B64" s="1" t="n">
        <v>43672</v>
      </c>
      <c r="C64" s="1" t="n">
        <v>45743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36762-2019</t>
        </is>
      </c>
      <c r="B65" s="1" t="n">
        <v>43672</v>
      </c>
      <c r="C65" s="1" t="n">
        <v>45743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36769-2019</t>
        </is>
      </c>
      <c r="B66" s="1" t="n">
        <v>43672</v>
      </c>
      <c r="C66" s="1" t="n">
        <v>45743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36768-2019</t>
        </is>
      </c>
      <c r="B67" s="1" t="n">
        <v>43672</v>
      </c>
      <c r="C67" s="1" t="n">
        <v>45743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37217-2019</t>
        </is>
      </c>
      <c r="B68" s="1" t="n">
        <v>43677</v>
      </c>
      <c r="C68" s="1" t="n">
        <v>45743</v>
      </c>
      <c r="D68" t="inlineStr">
        <is>
          <t>VÄSTRA GÖTALANDS LÄN</t>
        </is>
      </c>
      <c r="E68" t="inlineStr">
        <is>
          <t>MARIESTAD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37238-2019</t>
        </is>
      </c>
      <c r="B69" s="1" t="n">
        <v>43677</v>
      </c>
      <c r="C69" s="1" t="n">
        <v>45743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37242-2019</t>
        </is>
      </c>
      <c r="B70" s="1" t="n">
        <v>43677</v>
      </c>
      <c r="C70" s="1" t="n">
        <v>45743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37336-2019</t>
        </is>
      </c>
      <c r="B71" s="1" t="n">
        <v>43678</v>
      </c>
      <c r="C71" s="1" t="n">
        <v>45743</v>
      </c>
      <c r="D71" t="inlineStr">
        <is>
          <t>VÄSTRA GÖTALANDS LÄN</t>
        </is>
      </c>
      <c r="E71" t="inlineStr">
        <is>
          <t>MARIESTAD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39041-2019</t>
        </is>
      </c>
      <c r="B72" s="1" t="n">
        <v>43689</v>
      </c>
      <c r="C72" s="1" t="n">
        <v>45743</v>
      </c>
      <c r="D72" t="inlineStr">
        <is>
          <t>VÄSTRA GÖTALANDS LÄN</t>
        </is>
      </c>
      <c r="E72" t="inlineStr">
        <is>
          <t>MARIESTAD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43437-2019</t>
        </is>
      </c>
      <c r="B73" s="1" t="n">
        <v>43704</v>
      </c>
      <c r="C73" s="1" t="n">
        <v>45743</v>
      </c>
      <c r="D73" t="inlineStr">
        <is>
          <t>VÄSTRA GÖTALANDS LÄN</t>
        </is>
      </c>
      <c r="E73" t="inlineStr">
        <is>
          <t>MARIESTAD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43278-2019</t>
        </is>
      </c>
      <c r="B74" s="1" t="n">
        <v>43706</v>
      </c>
      <c r="C74" s="1" t="n">
        <v>45743</v>
      </c>
      <c r="D74" t="inlineStr">
        <is>
          <t>VÄSTRA GÖTALANDS LÄN</t>
        </is>
      </c>
      <c r="E74" t="inlineStr">
        <is>
          <t>MARIESTAD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43341-2019</t>
        </is>
      </c>
      <c r="B75" s="1" t="n">
        <v>43706</v>
      </c>
      <c r="C75" s="1" t="n">
        <v>45743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Kyrkan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HYPERLINK("https://klasma.github.io/Logging_1493/knärot/A 43341-2019 karta knärot.png", "A 43341-2019")</f>
        <v/>
      </c>
      <c r="V75">
        <f>HYPERLINK("https://klasma.github.io/Logging_1493/klagomål/A 43341-2019 FSC-klagomål.docx", "A 43341-2019")</f>
        <v/>
      </c>
      <c r="W75">
        <f>HYPERLINK("https://klasma.github.io/Logging_1493/klagomålsmail/A 43341-2019 FSC-klagomål mail.docx", "A 43341-2019")</f>
        <v/>
      </c>
      <c r="X75">
        <f>HYPERLINK("https://klasma.github.io/Logging_1493/tillsyn/A 43341-2019 tillsynsbegäran.docx", "A 43341-2019")</f>
        <v/>
      </c>
      <c r="Y75">
        <f>HYPERLINK("https://klasma.github.io/Logging_1493/tillsynsmail/A 43341-2019 tillsynsbegäran mail.docx", "A 43341-2019")</f>
        <v/>
      </c>
    </row>
    <row r="76" ht="15" customHeight="1">
      <c r="A76" t="inlineStr">
        <is>
          <t>A 44748-2019</t>
        </is>
      </c>
      <c r="B76" s="1" t="n">
        <v>43712</v>
      </c>
      <c r="C76" s="1" t="n">
        <v>45743</v>
      </c>
      <c r="D76" t="inlineStr">
        <is>
          <t>VÄSTRA GÖTALANDS LÄN</t>
        </is>
      </c>
      <c r="E76" t="inlineStr">
        <is>
          <t>MARIESTAD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45177-2019</t>
        </is>
      </c>
      <c r="B77" s="1" t="n">
        <v>43713</v>
      </c>
      <c r="C77" s="1" t="n">
        <v>45743</v>
      </c>
      <c r="D77" t="inlineStr">
        <is>
          <t>VÄSTRA GÖTALANDS LÄN</t>
        </is>
      </c>
      <c r="E77" t="inlineStr">
        <is>
          <t>MARIESTAD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45710-2019</t>
        </is>
      </c>
      <c r="B78" s="1" t="n">
        <v>43717</v>
      </c>
      <c r="C78" s="1" t="n">
        <v>45743</v>
      </c>
      <c r="D78" t="inlineStr">
        <is>
          <t>VÄSTRA GÖTALANDS LÄN</t>
        </is>
      </c>
      <c r="E78" t="inlineStr">
        <is>
          <t>MARIESTAD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47231-2019</t>
        </is>
      </c>
      <c r="B79" s="1" t="n">
        <v>43721</v>
      </c>
      <c r="C79" s="1" t="n">
        <v>45743</v>
      </c>
      <c r="D79" t="inlineStr">
        <is>
          <t>VÄSTRA GÖTALANDS LÄN</t>
        </is>
      </c>
      <c r="E79" t="inlineStr">
        <is>
          <t>MARIESTAD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49176-2019</t>
        </is>
      </c>
      <c r="B80" s="1" t="n">
        <v>43727</v>
      </c>
      <c r="C80" s="1" t="n">
        <v>45743</v>
      </c>
      <c r="D80" t="inlineStr">
        <is>
          <t>VÄSTRA GÖTALANDS LÄN</t>
        </is>
      </c>
      <c r="E80" t="inlineStr">
        <is>
          <t>MARIESTAD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48870-2019</t>
        </is>
      </c>
      <c r="B81" s="1" t="n">
        <v>43728</v>
      </c>
      <c r="C81" s="1" t="n">
        <v>45743</v>
      </c>
      <c r="D81" t="inlineStr">
        <is>
          <t>VÄSTRA GÖTALANDS LÄN</t>
        </is>
      </c>
      <c r="E81" t="inlineStr">
        <is>
          <t>MARIESTAD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49544-2019</t>
        </is>
      </c>
      <c r="B82" s="1" t="n">
        <v>43732</v>
      </c>
      <c r="C82" s="1" t="n">
        <v>45743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Kyrkan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51063-2019</t>
        </is>
      </c>
      <c r="B83" s="1" t="n">
        <v>43739</v>
      </c>
      <c r="C83" s="1" t="n">
        <v>45743</v>
      </c>
      <c r="D83" t="inlineStr">
        <is>
          <t>VÄSTRA GÖTALANDS LÄN</t>
        </is>
      </c>
      <c r="E83" t="inlineStr">
        <is>
          <t>MARIESTAD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51462-2019</t>
        </is>
      </c>
      <c r="B84" s="1" t="n">
        <v>43740</v>
      </c>
      <c r="C84" s="1" t="n">
        <v>45743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51477-2019</t>
        </is>
      </c>
      <c r="B85" s="1" t="n">
        <v>43740</v>
      </c>
      <c r="C85" s="1" t="n">
        <v>45743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51418-2019</t>
        </is>
      </c>
      <c r="B86" s="1" t="n">
        <v>43740</v>
      </c>
      <c r="C86" s="1" t="n">
        <v>45743</v>
      </c>
      <c r="D86" t="inlineStr">
        <is>
          <t>VÄSTRA GÖTALANDS LÄN</t>
        </is>
      </c>
      <c r="E86" t="inlineStr">
        <is>
          <t>MARIESTAD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51472-2019</t>
        </is>
      </c>
      <c r="B87" s="1" t="n">
        <v>43740</v>
      </c>
      <c r="C87" s="1" t="n">
        <v>45743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51920-2019</t>
        </is>
      </c>
      <c r="B88" s="1" t="n">
        <v>43741</v>
      </c>
      <c r="C88" s="1" t="n">
        <v>45743</v>
      </c>
      <c r="D88" t="inlineStr">
        <is>
          <t>VÄSTRA GÖTALANDS LÄN</t>
        </is>
      </c>
      <c r="E88" t="inlineStr">
        <is>
          <t>MARIESTAD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51919-2019</t>
        </is>
      </c>
      <c r="B89" s="1" t="n">
        <v>43741</v>
      </c>
      <c r="C89" s="1" t="n">
        <v>45743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58207-2019</t>
        </is>
      </c>
      <c r="B90" s="1" t="n">
        <v>43770</v>
      </c>
      <c r="C90" s="1" t="n">
        <v>45743</v>
      </c>
      <c r="D90" t="inlineStr">
        <is>
          <t>VÄSTRA GÖTALANDS LÄN</t>
        </is>
      </c>
      <c r="E90" t="inlineStr">
        <is>
          <t>MARIESTAD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58223-2019</t>
        </is>
      </c>
      <c r="B91" s="1" t="n">
        <v>43770</v>
      </c>
      <c r="C91" s="1" t="n">
        <v>45743</v>
      </c>
      <c r="D91" t="inlineStr">
        <is>
          <t>VÄSTRA GÖTALANDS LÄN</t>
        </is>
      </c>
      <c r="E91" t="inlineStr">
        <is>
          <t>MARIESTAD</t>
        </is>
      </c>
      <c r="G91" t="n">
        <v>21.2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58213-2019</t>
        </is>
      </c>
      <c r="B92" s="1" t="n">
        <v>43770</v>
      </c>
      <c r="C92" s="1" t="n">
        <v>45743</v>
      </c>
      <c r="D92" t="inlineStr">
        <is>
          <t>VÄSTRA GÖTALANDS LÄN</t>
        </is>
      </c>
      <c r="E92" t="inlineStr">
        <is>
          <t>MARIESTAD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58211-2019</t>
        </is>
      </c>
      <c r="B93" s="1" t="n">
        <v>43770</v>
      </c>
      <c r="C93" s="1" t="n">
        <v>45743</v>
      </c>
      <c r="D93" t="inlineStr">
        <is>
          <t>VÄSTRA GÖTALANDS LÄN</t>
        </is>
      </c>
      <c r="E93" t="inlineStr">
        <is>
          <t>MARIESTAD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59802-2019</t>
        </is>
      </c>
      <c r="B94" s="1" t="n">
        <v>43777</v>
      </c>
      <c r="C94" s="1" t="n">
        <v>45743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63598-2019</t>
        </is>
      </c>
      <c r="B95" s="1" t="n">
        <v>43789</v>
      </c>
      <c r="C95" s="1" t="n">
        <v>45743</v>
      </c>
      <c r="D95" t="inlineStr">
        <is>
          <t>VÄSTRA GÖTALANDS LÄN</t>
        </is>
      </c>
      <c r="E95" t="inlineStr">
        <is>
          <t>MARIESTAD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63694-2019</t>
        </is>
      </c>
      <c r="B96" s="1" t="n">
        <v>43789</v>
      </c>
      <c r="C96" s="1" t="n">
        <v>45743</v>
      </c>
      <c r="D96" t="inlineStr">
        <is>
          <t>VÄSTRA GÖTALANDS LÄN</t>
        </is>
      </c>
      <c r="E96" t="inlineStr">
        <is>
          <t>MARIESTAD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65115-2019</t>
        </is>
      </c>
      <c r="B97" s="1" t="n">
        <v>43802</v>
      </c>
      <c r="C97" s="1" t="n">
        <v>45743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881-2020</t>
        </is>
      </c>
      <c r="B98" s="1" t="n">
        <v>43839</v>
      </c>
      <c r="C98" s="1" t="n">
        <v>45743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1029-2020</t>
        </is>
      </c>
      <c r="B99" s="1" t="n">
        <v>43839</v>
      </c>
      <c r="C99" s="1" t="n">
        <v>45743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865-2020</t>
        </is>
      </c>
      <c r="B100" s="1" t="n">
        <v>43839</v>
      </c>
      <c r="C100" s="1" t="n">
        <v>45743</v>
      </c>
      <c r="D100" t="inlineStr">
        <is>
          <t>VÄSTRA GÖTALANDS LÄN</t>
        </is>
      </c>
      <c r="E100" t="inlineStr">
        <is>
          <t>MARIESTAD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1472-2020</t>
        </is>
      </c>
      <c r="B101" s="1" t="n">
        <v>43843</v>
      </c>
      <c r="C101" s="1" t="n">
        <v>45743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2242-2020</t>
        </is>
      </c>
      <c r="B102" s="1" t="n">
        <v>43846</v>
      </c>
      <c r="C102" s="1" t="n">
        <v>45743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2252-2020</t>
        </is>
      </c>
      <c r="B103" s="1" t="n">
        <v>43846</v>
      </c>
      <c r="C103" s="1" t="n">
        <v>45743</v>
      </c>
      <c r="D103" t="inlineStr">
        <is>
          <t>VÄSTRA GÖTALANDS LÄN</t>
        </is>
      </c>
      <c r="E103" t="inlineStr">
        <is>
          <t>MARIESTAD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2249-2020</t>
        </is>
      </c>
      <c r="B104" s="1" t="n">
        <v>43846</v>
      </c>
      <c r="C104" s="1" t="n">
        <v>45743</v>
      </c>
      <c r="D104" t="inlineStr">
        <is>
          <t>VÄSTRA GÖTALANDS LÄN</t>
        </is>
      </c>
      <c r="E104" t="inlineStr">
        <is>
          <t>MARIESTAD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2322-2020</t>
        </is>
      </c>
      <c r="B105" s="1" t="n">
        <v>43846</v>
      </c>
      <c r="C105" s="1" t="n">
        <v>45743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3275-2020</t>
        </is>
      </c>
      <c r="B106" s="1" t="n">
        <v>43852</v>
      </c>
      <c r="C106" s="1" t="n">
        <v>45743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3823-2020</t>
        </is>
      </c>
      <c r="B107" s="1" t="n">
        <v>43854</v>
      </c>
      <c r="C107" s="1" t="n">
        <v>45743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4571-2020</t>
        </is>
      </c>
      <c r="B108" s="1" t="n">
        <v>43858</v>
      </c>
      <c r="C108" s="1" t="n">
        <v>45743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5978-2020</t>
        </is>
      </c>
      <c r="B109" s="1" t="n">
        <v>43865</v>
      </c>
      <c r="C109" s="1" t="n">
        <v>45743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6070-2020</t>
        </is>
      </c>
      <c r="B110" s="1" t="n">
        <v>43865</v>
      </c>
      <c r="C110" s="1" t="n">
        <v>45743</v>
      </c>
      <c r="D110" t="inlineStr">
        <is>
          <t>VÄSTRA GÖTALANDS LÄN</t>
        </is>
      </c>
      <c r="E110" t="inlineStr">
        <is>
          <t>MARIESTAD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6382-2020</t>
        </is>
      </c>
      <c r="B111" s="1" t="n">
        <v>43866</v>
      </c>
      <c r="C111" s="1" t="n">
        <v>45743</v>
      </c>
      <c r="D111" t="inlineStr">
        <is>
          <t>VÄSTRA GÖTALANDS LÄN</t>
        </is>
      </c>
      <c r="E111" t="inlineStr">
        <is>
          <t>MARIESTAD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6352-2020</t>
        </is>
      </c>
      <c r="B112" s="1" t="n">
        <v>43866</v>
      </c>
      <c r="C112" s="1" t="n">
        <v>45743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7043-2020</t>
        </is>
      </c>
      <c r="B113" s="1" t="n">
        <v>43868</v>
      </c>
      <c r="C113" s="1" t="n">
        <v>45743</v>
      </c>
      <c r="D113" t="inlineStr">
        <is>
          <t>VÄSTRA GÖTALANDS LÄN</t>
        </is>
      </c>
      <c r="E113" t="inlineStr">
        <is>
          <t>MARIESTAD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7381-2020</t>
        </is>
      </c>
      <c r="B114" s="1" t="n">
        <v>43871</v>
      </c>
      <c r="C114" s="1" t="n">
        <v>45743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7665-2020</t>
        </is>
      </c>
      <c r="B115" s="1" t="n">
        <v>43872</v>
      </c>
      <c r="C115" s="1" t="n">
        <v>45743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12966-2020</t>
        </is>
      </c>
      <c r="B116" s="1" t="n">
        <v>43900</v>
      </c>
      <c r="C116" s="1" t="n">
        <v>45743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13343-2020</t>
        </is>
      </c>
      <c r="B117" s="1" t="n">
        <v>43902</v>
      </c>
      <c r="C117" s="1" t="n">
        <v>45743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13873-2020</t>
        </is>
      </c>
      <c r="B118" s="1" t="n">
        <v>43906</v>
      </c>
      <c r="C118" s="1" t="n">
        <v>45743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14412-2020</t>
        </is>
      </c>
      <c r="B119" s="1" t="n">
        <v>43908</v>
      </c>
      <c r="C119" s="1" t="n">
        <v>45743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14435-2020</t>
        </is>
      </c>
      <c r="B120" s="1" t="n">
        <v>43908</v>
      </c>
      <c r="C120" s="1" t="n">
        <v>45743</v>
      </c>
      <c r="D120" t="inlineStr">
        <is>
          <t>VÄSTRA GÖTALANDS LÄN</t>
        </is>
      </c>
      <c r="E120" t="inlineStr">
        <is>
          <t>MARIESTAD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16551-2020</t>
        </is>
      </c>
      <c r="B121" s="1" t="n">
        <v>43909</v>
      </c>
      <c r="C121" s="1" t="n">
        <v>45743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15614-2020</t>
        </is>
      </c>
      <c r="B122" s="1" t="n">
        <v>43914</v>
      </c>
      <c r="C122" s="1" t="n">
        <v>45743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15619-2020</t>
        </is>
      </c>
      <c r="B123" s="1" t="n">
        <v>43914</v>
      </c>
      <c r="C123" s="1" t="n">
        <v>45743</v>
      </c>
      <c r="D123" t="inlineStr">
        <is>
          <t>VÄSTRA GÖTALANDS LÄN</t>
        </is>
      </c>
      <c r="E123" t="inlineStr">
        <is>
          <t>MARIESTAD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15621-2020</t>
        </is>
      </c>
      <c r="B124" s="1" t="n">
        <v>43914</v>
      </c>
      <c r="C124" s="1" t="n">
        <v>45743</v>
      </c>
      <c r="D124" t="inlineStr">
        <is>
          <t>VÄSTRA GÖTALANDS LÄN</t>
        </is>
      </c>
      <c r="E124" t="inlineStr">
        <is>
          <t>MARIESTAD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15623-2020</t>
        </is>
      </c>
      <c r="B125" s="1" t="n">
        <v>43914</v>
      </c>
      <c r="C125" s="1" t="n">
        <v>45743</v>
      </c>
      <c r="D125" t="inlineStr">
        <is>
          <t>VÄSTRA GÖTALANDS LÄN</t>
        </is>
      </c>
      <c r="E125" t="inlineStr">
        <is>
          <t>MARIESTAD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16626-2020</t>
        </is>
      </c>
      <c r="B126" s="1" t="n">
        <v>43920</v>
      </c>
      <c r="C126" s="1" t="n">
        <v>45743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16837-2020</t>
        </is>
      </c>
      <c r="B127" s="1" t="n">
        <v>43921</v>
      </c>
      <c r="C127" s="1" t="n">
        <v>45743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18951-2020</t>
        </is>
      </c>
      <c r="B128" s="1" t="n">
        <v>43935</v>
      </c>
      <c r="C128" s="1" t="n">
        <v>45743</v>
      </c>
      <c r="D128" t="inlineStr">
        <is>
          <t>VÄSTRA GÖTALANDS LÄN</t>
        </is>
      </c>
      <c r="E128" t="inlineStr">
        <is>
          <t>MARIESTAD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19800-2020</t>
        </is>
      </c>
      <c r="B129" s="1" t="n">
        <v>43942</v>
      </c>
      <c r="C129" s="1" t="n">
        <v>45743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21445-2020</t>
        </is>
      </c>
      <c r="B130" s="1" t="n">
        <v>43956</v>
      </c>
      <c r="C130" s="1" t="n">
        <v>45743</v>
      </c>
      <c r="D130" t="inlineStr">
        <is>
          <t>VÄSTRA GÖTALANDS LÄN</t>
        </is>
      </c>
      <c r="E130" t="inlineStr">
        <is>
          <t>MARIESTAD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22146-2020</t>
        </is>
      </c>
      <c r="B131" s="1" t="n">
        <v>43961</v>
      </c>
      <c r="C131" s="1" t="n">
        <v>45743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22744-2020</t>
        </is>
      </c>
      <c r="B132" s="1" t="n">
        <v>43964</v>
      </c>
      <c r="C132" s="1" t="n">
        <v>45743</v>
      </c>
      <c r="D132" t="inlineStr">
        <is>
          <t>VÄSTRA GÖTALANDS LÄN</t>
        </is>
      </c>
      <c r="E132" t="inlineStr">
        <is>
          <t>MARIESTAD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23139-2020</t>
        </is>
      </c>
      <c r="B133" s="1" t="n">
        <v>43966</v>
      </c>
      <c r="C133" s="1" t="n">
        <v>45743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23739-2020</t>
        </is>
      </c>
      <c r="B134" s="1" t="n">
        <v>43970</v>
      </c>
      <c r="C134" s="1" t="n">
        <v>45743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24111-2020</t>
        </is>
      </c>
      <c r="B135" s="1" t="n">
        <v>43973</v>
      </c>
      <c r="C135" s="1" t="n">
        <v>45743</v>
      </c>
      <c r="D135" t="inlineStr">
        <is>
          <t>VÄSTRA GÖTALANDS LÄN</t>
        </is>
      </c>
      <c r="E135" t="inlineStr">
        <is>
          <t>MARIESTAD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24768-2020</t>
        </is>
      </c>
      <c r="B136" s="1" t="n">
        <v>43978</v>
      </c>
      <c r="C136" s="1" t="n">
        <v>45743</v>
      </c>
      <c r="D136" t="inlineStr">
        <is>
          <t>VÄSTRA GÖTALANDS LÄN</t>
        </is>
      </c>
      <c r="E136" t="inlineStr">
        <is>
          <t>MARIESTAD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24938-2020</t>
        </is>
      </c>
      <c r="B137" s="1" t="n">
        <v>43979</v>
      </c>
      <c r="C137" s="1" t="n">
        <v>45743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24895-2020</t>
        </is>
      </c>
      <c r="B138" s="1" t="n">
        <v>43979</v>
      </c>
      <c r="C138" s="1" t="n">
        <v>45743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26481-2020</t>
        </is>
      </c>
      <c r="B139" s="1" t="n">
        <v>43987</v>
      </c>
      <c r="C139" s="1" t="n">
        <v>45743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27089-2020</t>
        </is>
      </c>
      <c r="B140" s="1" t="n">
        <v>43990</v>
      </c>
      <c r="C140" s="1" t="n">
        <v>45743</v>
      </c>
      <c r="D140" t="inlineStr">
        <is>
          <t>VÄSTRA GÖTALANDS LÄN</t>
        </is>
      </c>
      <c r="E140" t="inlineStr">
        <is>
          <t>MARIESTAD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27482-2020</t>
        </is>
      </c>
      <c r="B141" s="1" t="n">
        <v>43993</v>
      </c>
      <c r="C141" s="1" t="n">
        <v>45743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28605-2020</t>
        </is>
      </c>
      <c r="B142" s="1" t="n">
        <v>43999</v>
      </c>
      <c r="C142" s="1" t="n">
        <v>45743</v>
      </c>
      <c r="D142" t="inlineStr">
        <is>
          <t>VÄSTRA GÖTALANDS LÄN</t>
        </is>
      </c>
      <c r="E142" t="inlineStr">
        <is>
          <t>MARIESTAD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28608-2020</t>
        </is>
      </c>
      <c r="B143" s="1" t="n">
        <v>43999</v>
      </c>
      <c r="C143" s="1" t="n">
        <v>45743</v>
      </c>
      <c r="D143" t="inlineStr">
        <is>
          <t>VÄSTRA GÖTALANDS LÄN</t>
        </is>
      </c>
      <c r="E143" t="inlineStr">
        <is>
          <t>MARIESTAD</t>
        </is>
      </c>
      <c r="G143" t="n">
        <v>8.4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32021-2020</t>
        </is>
      </c>
      <c r="B144" s="1" t="n">
        <v>44015</v>
      </c>
      <c r="C144" s="1" t="n">
        <v>45743</v>
      </c>
      <c r="D144" t="inlineStr">
        <is>
          <t>VÄSTRA GÖTALANDS LÄN</t>
        </is>
      </c>
      <c r="E144" t="inlineStr">
        <is>
          <t>MARIESTAD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33483-2020</t>
        </is>
      </c>
      <c r="B145" s="1" t="n">
        <v>44024</v>
      </c>
      <c r="C145" s="1" t="n">
        <v>45743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34222-2020</t>
        </is>
      </c>
      <c r="B146" s="1" t="n">
        <v>44029</v>
      </c>
      <c r="C146" s="1" t="n">
        <v>45743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35108-2020</t>
        </is>
      </c>
      <c r="B147" s="1" t="n">
        <v>44040</v>
      </c>
      <c r="C147" s="1" t="n">
        <v>45743</v>
      </c>
      <c r="D147" t="inlineStr">
        <is>
          <t>VÄSTRA GÖTALANDS LÄN</t>
        </is>
      </c>
      <c r="E147" t="inlineStr">
        <is>
          <t>MARIESTAD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36714-2020</t>
        </is>
      </c>
      <c r="B148" s="1" t="n">
        <v>44052</v>
      </c>
      <c r="C148" s="1" t="n">
        <v>45743</v>
      </c>
      <c r="D148" t="inlineStr">
        <is>
          <t>VÄSTRA GÖTALANDS LÄN</t>
        </is>
      </c>
      <c r="E148" t="inlineStr">
        <is>
          <t>MARIESTAD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37550-2020</t>
        </is>
      </c>
      <c r="B149" s="1" t="n">
        <v>44056</v>
      </c>
      <c r="C149" s="1" t="n">
        <v>45743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39211-2020</t>
        </is>
      </c>
      <c r="B150" s="1" t="n">
        <v>44063</v>
      </c>
      <c r="C150" s="1" t="n">
        <v>45743</v>
      </c>
      <c r="D150" t="inlineStr">
        <is>
          <t>VÄSTRA GÖTALANDS LÄN</t>
        </is>
      </c>
      <c r="E150" t="inlineStr">
        <is>
          <t>MARIESTAD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39179-2020</t>
        </is>
      </c>
      <c r="B151" s="1" t="n">
        <v>44063</v>
      </c>
      <c r="C151" s="1" t="n">
        <v>45743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39276-2020</t>
        </is>
      </c>
      <c r="B152" s="1" t="n">
        <v>44063</v>
      </c>
      <c r="C152" s="1" t="n">
        <v>45743</v>
      </c>
      <c r="D152" t="inlineStr">
        <is>
          <t>VÄSTRA GÖTALANDS LÄN</t>
        </is>
      </c>
      <c r="E152" t="inlineStr">
        <is>
          <t>MARIESTAD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39182-2020</t>
        </is>
      </c>
      <c r="B153" s="1" t="n">
        <v>44063</v>
      </c>
      <c r="C153" s="1" t="n">
        <v>45743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39457-2020</t>
        </is>
      </c>
      <c r="B154" s="1" t="n">
        <v>44064</v>
      </c>
      <c r="C154" s="1" t="n">
        <v>45743</v>
      </c>
      <c r="D154" t="inlineStr">
        <is>
          <t>VÄSTRA GÖTALANDS LÄN</t>
        </is>
      </c>
      <c r="E154" t="inlineStr">
        <is>
          <t>MARIESTAD</t>
        </is>
      </c>
      <c r="G154" t="n">
        <v>14.5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39722-2020</t>
        </is>
      </c>
      <c r="B155" s="1" t="n">
        <v>44067</v>
      </c>
      <c r="C155" s="1" t="n">
        <v>45743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40232-2020</t>
        </is>
      </c>
      <c r="B156" s="1" t="n">
        <v>44068</v>
      </c>
      <c r="C156" s="1" t="n">
        <v>45743</v>
      </c>
      <c r="D156" t="inlineStr">
        <is>
          <t>VÄSTRA GÖTALANDS LÄN</t>
        </is>
      </c>
      <c r="E156" t="inlineStr">
        <is>
          <t>MARIESTAD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40236-2020</t>
        </is>
      </c>
      <c r="B157" s="1" t="n">
        <v>44068</v>
      </c>
      <c r="C157" s="1" t="n">
        <v>45743</v>
      </c>
      <c r="D157" t="inlineStr">
        <is>
          <t>VÄSTRA GÖTALANDS LÄN</t>
        </is>
      </c>
      <c r="E157" t="inlineStr">
        <is>
          <t>MARIESTAD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43293-2020</t>
        </is>
      </c>
      <c r="B158" s="1" t="n">
        <v>44081</v>
      </c>
      <c r="C158" s="1" t="n">
        <v>45743</v>
      </c>
      <c r="D158" t="inlineStr">
        <is>
          <t>VÄSTRA GÖTALANDS LÄN</t>
        </is>
      </c>
      <c r="E158" t="inlineStr">
        <is>
          <t>MARIESTAD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45072-2020</t>
        </is>
      </c>
      <c r="B159" s="1" t="n">
        <v>44088</v>
      </c>
      <c r="C159" s="1" t="n">
        <v>45743</v>
      </c>
      <c r="D159" t="inlineStr">
        <is>
          <t>VÄSTRA GÖTALANDS LÄN</t>
        </is>
      </c>
      <c r="E159" t="inlineStr">
        <is>
          <t>MARIESTAD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45039-2020</t>
        </is>
      </c>
      <c r="B160" s="1" t="n">
        <v>44088</v>
      </c>
      <c r="C160" s="1" t="n">
        <v>45743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45679-2020</t>
        </is>
      </c>
      <c r="B161" s="1" t="n">
        <v>44090</v>
      </c>
      <c r="C161" s="1" t="n">
        <v>45743</v>
      </c>
      <c r="D161" t="inlineStr">
        <is>
          <t>VÄSTRA GÖTALANDS LÄN</t>
        </is>
      </c>
      <c r="E161" t="inlineStr">
        <is>
          <t>MARIESTAD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45743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45743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45743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45743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45743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45743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45743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45743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45743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45743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45743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45743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45743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45743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45743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45743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45743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45743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45743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45743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45743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45743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45743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45743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45743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45743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45743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45743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45743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45743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45743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45743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45743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45743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45743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45743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45743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45743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45743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45743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45743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45743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45743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45743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45743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45743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45743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45743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45743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45743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45743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45743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45743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45743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45743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45743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45743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45743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45743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45743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45743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45743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45743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45743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45743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45743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45743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45743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45743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45743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45743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45743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45743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45743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45743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45743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45743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45743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45743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45743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45743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45743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45743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45743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45743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45743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45743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45743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45743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45743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45743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45743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45743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45743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45743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45743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45743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45743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45743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45743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45743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45743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45743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45743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45743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45743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45743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45743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45743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45743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45743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45743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45743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45743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45743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45743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45743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45743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45743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45743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45743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45743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45743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45743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45743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45743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45743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45743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45743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45743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45743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45743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45743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45743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45743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45743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45743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45743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45743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45743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45743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45743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45743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45743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45743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45743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45743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45743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45743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45743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45743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45743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45743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45743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45743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45743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45743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45743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45743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45743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45743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45743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45743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45743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45743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45743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45743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45743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45743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45743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45743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45743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45743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45743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45743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45743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45743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45743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45743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45743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45743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45743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45743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45743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45743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45743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45743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45743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45743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45743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45743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45743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45743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45743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45743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45743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45743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45743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45743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45743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45743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45743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45743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45743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45743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45743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45743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45743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45743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45743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45743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45743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45743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45743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45743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45743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45743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45743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45743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45743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45743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45743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45743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45743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45743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45743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45743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45743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45743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45743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45743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45743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45743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45743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45743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45743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45743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45743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45743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45743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45743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45743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45743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45743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45743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45743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45743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45743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45743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45743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45743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45743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45743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45743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45743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45743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45743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45743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45743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45743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45743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45743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45743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45743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45743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45743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45743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45743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45743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45743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45743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45743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45743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45743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45743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45743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45743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45743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45743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45743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45743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45743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45743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45743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45743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45743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45743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45743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45743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45743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45743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45743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45743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45743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45743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45743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45743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45743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45743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45743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45743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45743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45743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45743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45743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45743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45743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45743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45743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45743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45743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45743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45743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45743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45743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45743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45743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45743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45743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45743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45743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45743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45743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45743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45743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45743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45743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45743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45743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45743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45743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45743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45743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45743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45743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45743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45743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45743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45743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45743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45743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45743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45743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45743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45743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45743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45743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45743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45743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45743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45743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45743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45743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45743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45743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45743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45743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45743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45743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45743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45743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45743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45743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45743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45743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45743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45743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45743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45743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45743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45743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45743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45743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45743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45743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45743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45743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45743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45743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45743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45743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45743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45743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45743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45743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45743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45743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45743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45743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45743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45743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45743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45743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45743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45743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45743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45743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45743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45743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45743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45743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45743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45743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45743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45743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45743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45743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45743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45743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45743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45743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45743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45743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45743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45743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45743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45743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45743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45743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45743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45743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45743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45743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45743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45743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45743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45743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45743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45743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45743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45743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45743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45743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45743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45743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45743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45743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45743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45743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45743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45743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45743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45743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45743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45743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45743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45743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45743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45743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45743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45743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45743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45743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45743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45743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45743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45743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45743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45743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45743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45743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45743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45743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45743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45743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45743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45743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45743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45743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45743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45743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45743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45743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45743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45743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45743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45743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45743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45743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45743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45743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45743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45743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45743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45743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45743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45743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45743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45743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45743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45743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45743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45743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45743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45743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45743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45743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45743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45743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45743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45743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45743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45743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45743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45743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45743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45743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45743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45743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45743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45743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45743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45743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45743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45743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45743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45743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45743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45743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45743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45743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45743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45743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45743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45743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45743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45743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45743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45743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45743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45743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45743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45743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45743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45743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45743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45743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45743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45743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45743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45743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45743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45743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45743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45743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45743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45743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45743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45743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45743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45743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45743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45743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45743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45743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9653-2025</t>
        </is>
      </c>
      <c r="B717" s="1" t="n">
        <v>45716</v>
      </c>
      <c r="C717" s="1" t="n">
        <v>45743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45743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9783-2025</t>
        </is>
      </c>
      <c r="B719" s="1" t="n">
        <v>45716</v>
      </c>
      <c r="C719" s="1" t="n">
        <v>45743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45743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45743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45743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45743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10706-2025</t>
        </is>
      </c>
      <c r="B724" s="1" t="n">
        <v>45722</v>
      </c>
      <c r="C724" s="1" t="n">
        <v>45743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10826-2025</t>
        </is>
      </c>
      <c r="B725" s="1" t="n">
        <v>45722</v>
      </c>
      <c r="C725" s="1" t="n">
        <v>45743</v>
      </c>
      <c r="D725" t="inlineStr">
        <is>
          <t>VÄSTRA GÖTALANDS LÄN</t>
        </is>
      </c>
      <c r="E725" t="inlineStr">
        <is>
          <t>MARIESTAD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45743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45743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45743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11012-2025</t>
        </is>
      </c>
      <c r="B729" s="1" t="n">
        <v>45723</v>
      </c>
      <c r="C729" s="1" t="n">
        <v>45743</v>
      </c>
      <c r="D729" t="inlineStr">
        <is>
          <t>VÄSTRA GÖTALANDS LÄN</t>
        </is>
      </c>
      <c r="E729" t="inlineStr">
        <is>
          <t>MARIESTAD</t>
        </is>
      </c>
      <c r="F729" t="inlineStr">
        <is>
          <t>Kyrkan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11551-2025</t>
        </is>
      </c>
      <c r="B730" s="1" t="n">
        <v>45727</v>
      </c>
      <c r="C730" s="1" t="n">
        <v>45743</v>
      </c>
      <c r="D730" t="inlineStr">
        <is>
          <t>VÄSTRA GÖTALANDS LÄN</t>
        </is>
      </c>
      <c r="E730" t="inlineStr">
        <is>
          <t>MARIESTAD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11587-2025</t>
        </is>
      </c>
      <c r="B731" s="1" t="n">
        <v>45727</v>
      </c>
      <c r="C731" s="1" t="n">
        <v>45743</v>
      </c>
      <c r="D731" t="inlineStr">
        <is>
          <t>VÄSTRA GÖTALANDS LÄN</t>
        </is>
      </c>
      <c r="E731" t="inlineStr">
        <is>
          <t>MARIESTAD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45743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12012-2025</t>
        </is>
      </c>
      <c r="B733" s="1" t="n">
        <v>45728</v>
      </c>
      <c r="C733" s="1" t="n">
        <v>45743</v>
      </c>
      <c r="D733" t="inlineStr">
        <is>
          <t>VÄSTRA GÖTALANDS LÄN</t>
        </is>
      </c>
      <c r="E733" t="inlineStr">
        <is>
          <t>MARIESTAD</t>
        </is>
      </c>
      <c r="F733" t="inlineStr">
        <is>
          <t>Sveaskog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12003-2025</t>
        </is>
      </c>
      <c r="B734" s="1" t="n">
        <v>45728</v>
      </c>
      <c r="C734" s="1" t="n">
        <v>45743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12011-2025</t>
        </is>
      </c>
      <c r="B735" s="1" t="n">
        <v>45728</v>
      </c>
      <c r="C735" s="1" t="n">
        <v>45743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45743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>
      <c r="A737" t="inlineStr">
        <is>
          <t>A 12001-2025</t>
        </is>
      </c>
      <c r="B737" s="1" t="n">
        <v>45728</v>
      </c>
      <c r="C737" s="1" t="n">
        <v>45743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2025-03-27T18:15:45Z</dcterms:created>
  <dcterms:modified xmlns:dcterms="http://purl.org/dc/terms/" xmlns:xsi="http://www.w3.org/2001/XMLSchema-instance" xsi:type="dcterms:W3CDTF">2025-03-27T18:15:45Z</dcterms:modified>
</cp:coreProperties>
</file>