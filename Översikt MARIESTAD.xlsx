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V2">
        <f>HYPERLINK("https://klasma.github.io/Logging_1493/artfynd/S 2044-2026 artfynd.xlsx", "S 2044-2026")</f>
        <v/>
      </c>
      <c r="W2">
        <f>HYPERLINK("https://klasma.github.io/Logging_1493/kartor/S 2044-2026 karta.png", "S 2044-2026")</f>
        <v/>
      </c>
      <c r="Y2">
        <f>HYPERLINK("https://klasma.github.io/Logging_1493/klagomål/S 2044-2026 FSC-klagomål.docx", "S 2044-2026")</f>
        <v/>
      </c>
      <c r="Z2">
        <f>HYPERLINK("https://klasma.github.io/Logging_1493/klagomålsmail/S 2044-2026 FSC-klagomål mail.docx", "S 2044-2026")</f>
        <v/>
      </c>
      <c r="AA2">
        <f>HYPERLINK("https://klasma.github.io/Logging_1493/tillsyn/S 2044-2026 tillsynsbegäran.docx", "S 2044-2026")</f>
        <v/>
      </c>
      <c r="AB2">
        <f>HYPERLINK("https://klasma.github.io/Logging_1493/tillsynsmail/S 2044-2026 tillsynsbegäran mail.docx", "S 2044-2026")</f>
        <v/>
      </c>
      <c r="AC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s="2" t="inlineStr">
        <is>
          <t>Entita
Gulsparv
Järnsparv
Kortskaftad ärgspik
Talltita
Björksplintborre
Spillkråka
Kungsfågel
Svartvit flugsnappare</t>
        </is>
      </c>
      <c r="V3">
        <f>HYPERLINK("https://klasma.github.io/Logging_1493/artfynd/A 5141-2025 artfynd.xlsx", "A 5141-2025")</f>
        <v/>
      </c>
      <c r="W3">
        <f>HYPERLINK("https://klasma.github.io/Logging_1493/kartor/A 5141-2025 karta.png", "A 5141-2025")</f>
        <v/>
      </c>
      <c r="Y3">
        <f>HYPERLINK("https://klasma.github.io/Logging_1493/klagomål/A 5141-2025 FSC-klagomål.docx", "A 5141-2025")</f>
        <v/>
      </c>
      <c r="Z3">
        <f>HYPERLINK("https://klasma.github.io/Logging_1493/klagomålsmail/A 5141-2025 FSC-klagomål mail.docx", "A 5141-2025")</f>
        <v/>
      </c>
      <c r="AA3">
        <f>HYPERLINK("https://klasma.github.io/Logging_1493/tillsyn/A 5141-2025 tillsynsbegäran.docx", "A 5141-2025")</f>
        <v/>
      </c>
      <c r="AB3">
        <f>HYPERLINK("https://klasma.github.io/Logging_1493/tillsynsmail/A 5141-2025 tillsynsbegäran mail.docx", "A 5141-2025")</f>
        <v/>
      </c>
      <c r="AC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s="2" t="inlineStr">
        <is>
          <t>Grönfink
Knärot
Ryl
Mindre hackspett
Nattskärra
Revlummer</t>
        </is>
      </c>
      <c r="V4">
        <f>HYPERLINK("https://klasma.github.io/Logging_1493/artfynd/A 631-2025 artfynd.xlsx", "A 631-2025")</f>
        <v/>
      </c>
      <c r="W4">
        <f>HYPERLINK("https://klasma.github.io/Logging_1493/kartor/A 631-2025 karta.png", "A 631-2025")</f>
        <v/>
      </c>
      <c r="X4">
        <f>HYPERLINK("https://klasma.github.io/Logging_1493/knärot/A 631-2025 karta knärot.png", "A 631-2025")</f>
        <v/>
      </c>
      <c r="Y4">
        <f>HYPERLINK("https://klasma.github.io/Logging_1493/klagomål/A 631-2025 FSC-klagomål.docx", "A 631-2025")</f>
        <v/>
      </c>
      <c r="Z4">
        <f>HYPERLINK("https://klasma.github.io/Logging_1493/klagomålsmail/A 631-2025 FSC-klagomål mail.docx", "A 631-2025")</f>
        <v/>
      </c>
      <c r="AA4">
        <f>HYPERLINK("https://klasma.github.io/Logging_1493/tillsyn/A 631-2025 tillsynsbegäran.docx", "A 631-2025")</f>
        <v/>
      </c>
      <c r="AB4">
        <f>HYPERLINK("https://klasma.github.io/Logging_1493/tillsynsmail/A 631-2025 tillsynsbegäran mail.docx", "A 631-2025")</f>
        <v/>
      </c>
      <c r="AC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46221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s="2" t="inlineStr">
        <is>
          <t>Tofsvipa
Björktrast
Ladusvala
Mindre hackspett
Orre</t>
        </is>
      </c>
      <c r="V5">
        <f>HYPERLINK("https://klasma.github.io/Logging_1493/artfynd/A 54706-2021 artfynd.xlsx", "A 54706-2021")</f>
        <v/>
      </c>
      <c r="W5">
        <f>HYPERLINK("https://klasma.github.io/Logging_1493/kartor/A 54706-2021 karta.png", "A 54706-2021")</f>
        <v/>
      </c>
      <c r="Y5">
        <f>HYPERLINK("https://klasma.github.io/Logging_1493/klagomål/A 54706-2021 FSC-klagomål.docx", "A 54706-2021")</f>
        <v/>
      </c>
      <c r="Z5">
        <f>HYPERLINK("https://klasma.github.io/Logging_1493/klagomålsmail/A 54706-2021 FSC-klagomål mail.docx", "A 54706-2021")</f>
        <v/>
      </c>
      <c r="AA5">
        <f>HYPERLINK("https://klasma.github.io/Logging_1493/tillsyn/A 54706-2021 tillsynsbegäran.docx", "A 54706-2021")</f>
        <v/>
      </c>
      <c r="AB5">
        <f>HYPERLINK("https://klasma.github.io/Logging_1493/tillsynsmail/A 54706-2021 tillsynsbegäran mail.docx", "A 54706-2021")</f>
        <v/>
      </c>
      <c r="AC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s="2" t="inlineStr">
        <is>
          <t>Igelkott
Järnsparv
Talltita
Spillkråka
Kungsfågel</t>
        </is>
      </c>
      <c r="V6">
        <f>HYPERLINK("https://klasma.github.io/Logging_1493/artfynd/A 8319-2025 artfynd.xlsx", "A 8319-2025")</f>
        <v/>
      </c>
      <c r="W6">
        <f>HYPERLINK("https://klasma.github.io/Logging_1493/kartor/A 8319-2025 karta.png", "A 8319-2025")</f>
        <v/>
      </c>
      <c r="Y6">
        <f>HYPERLINK("https://klasma.github.io/Logging_1493/klagomål/A 8319-2025 FSC-klagomål.docx", "A 8319-2025")</f>
        <v/>
      </c>
      <c r="Z6">
        <f>HYPERLINK("https://klasma.github.io/Logging_1493/klagomålsmail/A 8319-2025 FSC-klagomål mail.docx", "A 8319-2025")</f>
        <v/>
      </c>
      <c r="AA6">
        <f>HYPERLINK("https://klasma.github.io/Logging_1493/tillsyn/A 8319-2025 tillsynsbegäran.docx", "A 8319-2025")</f>
        <v/>
      </c>
      <c r="AB6">
        <f>HYPERLINK("https://klasma.github.io/Logging_1493/tillsynsmail/A 8319-2025 tillsynsbegäran mail.docx", "A 8319-2025")</f>
        <v/>
      </c>
      <c r="AC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Större vattensalamander
Mindre vattensalamander
Vanlig padda</t>
        </is>
      </c>
      <c r="V7">
        <f>HYPERLINK("https://klasma.github.io/Logging_1493/artfynd/A 13606-2022 artfynd.xlsx", "A 13606-2022")</f>
        <v/>
      </c>
      <c r="W7">
        <f>HYPERLINK("https://klasma.github.io/Logging_1493/kartor/A 13606-2022 karta.png", "A 13606-2022")</f>
        <v/>
      </c>
      <c r="Y7">
        <f>HYPERLINK("https://klasma.github.io/Logging_1493/klagomål/A 13606-2022 FSC-klagomål.docx", "A 13606-2022")</f>
        <v/>
      </c>
      <c r="Z7">
        <f>HYPERLINK("https://klasma.github.io/Logging_1493/klagomålsmail/A 13606-2022 FSC-klagomål mail.docx", "A 13606-2022")</f>
        <v/>
      </c>
      <c r="AA7">
        <f>HYPERLINK("https://klasma.github.io/Logging_1493/tillsyn/A 13606-2022 tillsynsbegäran.docx", "A 13606-2022")</f>
        <v/>
      </c>
      <c r="AB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Tallticka
Blodticka</t>
        </is>
      </c>
      <c r="V8">
        <f>HYPERLINK("https://klasma.github.io/Logging_1493/artfynd/A 2769-2022 artfynd.xlsx", "A 2769-2022")</f>
        <v/>
      </c>
      <c r="W8">
        <f>HYPERLINK("https://klasma.github.io/Logging_1493/kartor/A 2769-2022 karta.png", "A 2769-2022")</f>
        <v/>
      </c>
      <c r="Y8">
        <f>HYPERLINK("https://klasma.github.io/Logging_1493/klagomål/A 2769-2022 FSC-klagomål.docx", "A 2769-2022")</f>
        <v/>
      </c>
      <c r="Z8">
        <f>HYPERLINK("https://klasma.github.io/Logging_1493/klagomålsmail/A 2769-2022 FSC-klagomål mail.docx", "A 2769-2022")</f>
        <v/>
      </c>
      <c r="AA8">
        <f>HYPERLINK("https://klasma.github.io/Logging_1493/tillsyn/A 2769-2022 tillsynsbegäran.docx", "A 2769-2022")</f>
        <v/>
      </c>
      <c r="AB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Gulsparv
Kungsfågel</t>
        </is>
      </c>
      <c r="V9">
        <f>HYPERLINK("https://klasma.github.io/Logging_1493/artfynd/A 8262-2022 artfynd.xlsx", "A 8262-2022")</f>
        <v/>
      </c>
      <c r="W9">
        <f>HYPERLINK("https://klasma.github.io/Logging_1493/kartor/A 8262-2022 karta.png", "A 8262-2022")</f>
        <v/>
      </c>
      <c r="Y9">
        <f>HYPERLINK("https://klasma.github.io/Logging_1493/klagomål/A 8262-2022 FSC-klagomål.docx", "A 8262-2022")</f>
        <v/>
      </c>
      <c r="Z9">
        <f>HYPERLINK("https://klasma.github.io/Logging_1493/klagomålsmail/A 8262-2022 FSC-klagomål mail.docx", "A 8262-2022")</f>
        <v/>
      </c>
      <c r="AA9">
        <f>HYPERLINK("https://klasma.github.io/Logging_1493/tillsyn/A 8262-2022 tillsynsbegäran.docx", "A 8262-2022")</f>
        <v/>
      </c>
      <c r="AB9">
        <f>HYPERLINK("https://klasma.github.io/Logging_1493/tillsynsmail/A 8262-2022 tillsynsbegäran mail.docx", "A 8262-2022")</f>
        <v/>
      </c>
      <c r="AC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46221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Knärot
Grovticka</t>
        </is>
      </c>
      <c r="V10">
        <f>HYPERLINK("https://klasma.github.io/Logging_1493/artfynd/A 50053-2023 artfynd.xlsx", "A 50053-2023")</f>
        <v/>
      </c>
      <c r="W10">
        <f>HYPERLINK("https://klasma.github.io/Logging_1493/kartor/A 50053-2023 karta.png", "A 50053-2023")</f>
        <v/>
      </c>
      <c r="X10">
        <f>HYPERLINK("https://klasma.github.io/Logging_1493/knärot/A 50053-2023 karta knärot.png", "A 50053-2023")</f>
        <v/>
      </c>
      <c r="Y10">
        <f>HYPERLINK("https://klasma.github.io/Logging_1493/klagomål/A 50053-2023 FSC-klagomål.docx", "A 50053-2023")</f>
        <v/>
      </c>
      <c r="Z10">
        <f>HYPERLINK("https://klasma.github.io/Logging_1493/klagomålsmail/A 50053-2023 FSC-klagomål mail.docx", "A 50053-2023")</f>
        <v/>
      </c>
      <c r="AA10">
        <f>HYPERLINK("https://klasma.github.io/Logging_1493/tillsyn/A 50053-2023 tillsynsbegäran.docx", "A 50053-2023")</f>
        <v/>
      </c>
      <c r="AB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46221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Krusfrö
Svinrot</t>
        </is>
      </c>
      <c r="V11">
        <f>HYPERLINK("https://klasma.github.io/Logging_1493/artfynd/A 21503-2024 artfynd.xlsx", "A 21503-2024")</f>
        <v/>
      </c>
      <c r="W11">
        <f>HYPERLINK("https://klasma.github.io/Logging_1493/kartor/A 21503-2024 karta.png", "A 21503-2024")</f>
        <v/>
      </c>
      <c r="Y11">
        <f>HYPERLINK("https://klasma.github.io/Logging_1493/klagomål/A 21503-2024 FSC-klagomål.docx", "A 21503-2024")</f>
        <v/>
      </c>
      <c r="Z11">
        <f>HYPERLINK("https://klasma.github.io/Logging_1493/klagomålsmail/A 21503-2024 FSC-klagomål mail.docx", "A 21503-2024")</f>
        <v/>
      </c>
      <c r="AA11">
        <f>HYPERLINK("https://klasma.github.io/Logging_1493/tillsyn/A 21503-2024 tillsynsbegäran.docx", "A 21503-2024")</f>
        <v/>
      </c>
      <c r="AB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46221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Fyrflikig jordstjärna
Blåmossa</t>
        </is>
      </c>
      <c r="V12">
        <f>HYPERLINK("https://klasma.github.io/Logging_1493/artfynd/A 57791-2021 artfynd.xlsx", "A 57791-2021")</f>
        <v/>
      </c>
      <c r="W12">
        <f>HYPERLINK("https://klasma.github.io/Logging_1493/kartor/A 57791-2021 karta.png", "A 57791-2021")</f>
        <v/>
      </c>
      <c r="Y12">
        <f>HYPERLINK("https://klasma.github.io/Logging_1493/klagomål/A 57791-2021 FSC-klagomål.docx", "A 57791-2021")</f>
        <v/>
      </c>
      <c r="Z12">
        <f>HYPERLINK("https://klasma.github.io/Logging_1493/klagomålsmail/A 57791-2021 FSC-klagomål mail.docx", "A 57791-2021")</f>
        <v/>
      </c>
      <c r="AA12">
        <f>HYPERLINK("https://klasma.github.io/Logging_1493/tillsyn/A 57791-2021 tillsynsbegäran.docx", "A 57791-2021")</f>
        <v/>
      </c>
      <c r="AB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46221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s="2" t="inlineStr">
        <is>
          <t>Knärot
Grönpyrola</t>
        </is>
      </c>
      <c r="V13">
        <f>HYPERLINK("https://klasma.github.io/Logging_1493/artfynd/A 14947-2023 artfynd.xlsx", "A 14947-2023")</f>
        <v/>
      </c>
      <c r="W13">
        <f>HYPERLINK("https://klasma.github.io/Logging_1493/kartor/A 14947-2023 karta.png", "A 14947-2023")</f>
        <v/>
      </c>
      <c r="X13">
        <f>HYPERLINK("https://klasma.github.io/Logging_1493/knärot/A 14947-2023 karta knärot.png", "A 14947-2023")</f>
        <v/>
      </c>
      <c r="Y13">
        <f>HYPERLINK("https://klasma.github.io/Logging_1493/klagomål/A 14947-2023 FSC-klagomål.docx", "A 14947-2023")</f>
        <v/>
      </c>
      <c r="Z13">
        <f>HYPERLINK("https://klasma.github.io/Logging_1493/klagomålsmail/A 14947-2023 FSC-klagomål mail.docx", "A 14947-2023")</f>
        <v/>
      </c>
      <c r="AA13">
        <f>HYPERLINK("https://klasma.github.io/Logging_1493/tillsyn/A 14947-2023 tillsynsbegäran.docx", "A 14947-2023")</f>
        <v/>
      </c>
      <c r="AB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46221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Brandticka
Vågbandad barkbock</t>
        </is>
      </c>
      <c r="V14">
        <f>HYPERLINK("https://klasma.github.io/Logging_1493/artfynd/A 67507-2021 artfynd.xlsx", "A 67507-2021")</f>
        <v/>
      </c>
      <c r="W14">
        <f>HYPERLINK("https://klasma.github.io/Logging_1493/kartor/A 67507-2021 karta.png", "A 67507-2021")</f>
        <v/>
      </c>
      <c r="Y14">
        <f>HYPERLINK("https://klasma.github.io/Logging_1493/klagomål/A 67507-2021 FSC-klagomål.docx", "A 67507-2021")</f>
        <v/>
      </c>
      <c r="Z14">
        <f>HYPERLINK("https://klasma.github.io/Logging_1493/klagomålsmail/A 67507-2021 FSC-klagomål mail.docx", "A 67507-2021")</f>
        <v/>
      </c>
      <c r="AA14">
        <f>HYPERLINK("https://klasma.github.io/Logging_1493/tillsyn/A 67507-2021 tillsynsbegäran.docx", "A 67507-2021")</f>
        <v/>
      </c>
      <c r="AB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46221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Igelkott
Svinrot</t>
        </is>
      </c>
      <c r="V15">
        <f>HYPERLINK("https://klasma.github.io/Logging_1493/artfynd/A 53880-2022 artfynd.xlsx", "A 53880-2022")</f>
        <v/>
      </c>
      <c r="W15">
        <f>HYPERLINK("https://klasma.github.io/Logging_1493/kartor/A 53880-2022 karta.png", "A 53880-2022")</f>
        <v/>
      </c>
      <c r="Y15">
        <f>HYPERLINK("https://klasma.github.io/Logging_1493/klagomål/A 53880-2022 FSC-klagomål.docx", "A 53880-2022")</f>
        <v/>
      </c>
      <c r="Z15">
        <f>HYPERLINK("https://klasma.github.io/Logging_1493/klagomålsmail/A 53880-2022 FSC-klagomål mail.docx", "A 53880-2022")</f>
        <v/>
      </c>
      <c r="AA15">
        <f>HYPERLINK("https://klasma.github.io/Logging_1493/tillsyn/A 53880-2022 tillsynsbegäran.docx", "A 53880-2022")</f>
        <v/>
      </c>
      <c r="AB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46221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Tallticka</t>
        </is>
      </c>
      <c r="V16">
        <f>HYPERLINK("https://klasma.github.io/Logging_1493/artfynd/A 63287-2025 artfynd.xlsx", "A 63287-2025")</f>
        <v/>
      </c>
      <c r="W16">
        <f>HYPERLINK("https://klasma.github.io/Logging_1493/kartor/A 63287-2025 karta.png", "A 63287-2025")</f>
        <v/>
      </c>
      <c r="Y16">
        <f>HYPERLINK("https://klasma.github.io/Logging_1493/klagomål/A 63287-2025 FSC-klagomål.docx", "A 63287-2025")</f>
        <v/>
      </c>
      <c r="Z16">
        <f>HYPERLINK("https://klasma.github.io/Logging_1493/klagomålsmail/A 63287-2025 FSC-klagomål mail.docx", "A 63287-2025")</f>
        <v/>
      </c>
      <c r="AA16">
        <f>HYPERLINK("https://klasma.github.io/Logging_1493/tillsyn/A 63287-2025 tillsynsbegäran.docx", "A 63287-2025")</f>
        <v/>
      </c>
      <c r="AB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46221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Större brunfladdermus
Revlummer</t>
        </is>
      </c>
      <c r="V17">
        <f>HYPERLINK("https://klasma.github.io/Logging_1493/artfynd/A 5162-2024 artfynd.xlsx", "A 5162-2024")</f>
        <v/>
      </c>
      <c r="W17">
        <f>HYPERLINK("https://klasma.github.io/Logging_1493/kartor/A 5162-2024 karta.png", "A 5162-2024")</f>
        <v/>
      </c>
      <c r="Y17">
        <f>HYPERLINK("https://klasma.github.io/Logging_1493/klagomål/A 5162-2024 FSC-klagomål.docx", "A 5162-2024")</f>
        <v/>
      </c>
      <c r="Z17">
        <f>HYPERLINK("https://klasma.github.io/Logging_1493/klagomålsmail/A 5162-2024 FSC-klagomål mail.docx", "A 5162-2024")</f>
        <v/>
      </c>
      <c r="AA17">
        <f>HYPERLINK("https://klasma.github.io/Logging_1493/tillsyn/A 5162-2024 tillsynsbegäran.docx", "A 5162-2024")</f>
        <v/>
      </c>
      <c r="AB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46221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Blåsippa
Gullviva</t>
        </is>
      </c>
      <c r="V18">
        <f>HYPERLINK("https://klasma.github.io/Logging_1493/artfynd/A 47764-2023 artfynd.xlsx", "A 47764-2023")</f>
        <v/>
      </c>
      <c r="W18">
        <f>HYPERLINK("https://klasma.github.io/Logging_1493/kartor/A 47764-2023 karta.png", "A 47764-2023")</f>
        <v/>
      </c>
      <c r="Y18">
        <f>HYPERLINK("https://klasma.github.io/Logging_1493/klagomål/A 47764-2023 FSC-klagomål.docx", "A 47764-2023")</f>
        <v/>
      </c>
      <c r="Z18">
        <f>HYPERLINK("https://klasma.github.io/Logging_1493/klagomålsmail/A 47764-2023 FSC-klagomål mail.docx", "A 47764-2023")</f>
        <v/>
      </c>
      <c r="AA18">
        <f>HYPERLINK("https://klasma.github.io/Logging_1493/tillsyn/A 47764-2023 tillsynsbegäran.docx", "A 47764-2023")</f>
        <v/>
      </c>
      <c r="AB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46221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Skogshare
Spillkråka</t>
        </is>
      </c>
      <c r="V19">
        <f>HYPERLINK("https://klasma.github.io/Logging_1493/artfynd/A 46886-2023 artfynd.xlsx", "A 46886-2023")</f>
        <v/>
      </c>
      <c r="W19">
        <f>HYPERLINK("https://klasma.github.io/Logging_1493/kartor/A 46886-2023 karta.png", "A 46886-2023")</f>
        <v/>
      </c>
      <c r="Y19">
        <f>HYPERLINK("https://klasma.github.io/Logging_1493/klagomål/A 46886-2023 FSC-klagomål.docx", "A 46886-2023")</f>
        <v/>
      </c>
      <c r="Z19">
        <f>HYPERLINK("https://klasma.github.io/Logging_1493/klagomålsmail/A 46886-2023 FSC-klagomål mail.docx", "A 46886-2023")</f>
        <v/>
      </c>
      <c r="AA19">
        <f>HYPERLINK("https://klasma.github.io/Logging_1493/tillsyn/A 46886-2023 tillsynsbegäran.docx", "A 46886-2023")</f>
        <v/>
      </c>
      <c r="AB19">
        <f>HYPERLINK("https://klasma.github.io/Logging_1493/tillsynsmail/A 46886-2023 tillsynsbegäran mail.docx", "A 46886-2023")</f>
        <v/>
      </c>
      <c r="AC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46221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Skogsduva</t>
        </is>
      </c>
      <c r="V20">
        <f>HYPERLINK("https://klasma.github.io/Logging_1493/artfynd/A 11073-2022 artfynd.xlsx", "A 11073-2022")</f>
        <v/>
      </c>
      <c r="W20">
        <f>HYPERLINK("https://klasma.github.io/Logging_1493/kartor/A 11073-2022 karta.png", "A 11073-2022")</f>
        <v/>
      </c>
      <c r="Y20">
        <f>HYPERLINK("https://klasma.github.io/Logging_1493/klagomål/A 11073-2022 FSC-klagomål.docx", "A 11073-2022")</f>
        <v/>
      </c>
      <c r="Z20">
        <f>HYPERLINK("https://klasma.github.io/Logging_1493/klagomålsmail/A 11073-2022 FSC-klagomål mail.docx", "A 11073-2022")</f>
        <v/>
      </c>
      <c r="AA20">
        <f>HYPERLINK("https://klasma.github.io/Logging_1493/tillsyn/A 11073-2022 tillsynsbegäran.docx", "A 11073-2022")</f>
        <v/>
      </c>
      <c r="AB20">
        <f>HYPERLINK("https://klasma.github.io/Logging_1493/tillsynsmail/A 11073-2022 tillsynsbegäran mail.docx", "A 11073-2022")</f>
        <v/>
      </c>
      <c r="AC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46221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Skogsödla</t>
        </is>
      </c>
      <c r="V21">
        <f>HYPERLINK("https://klasma.github.io/Logging_1493/artfynd/A 72651-2021 artfynd.xlsx", "A 72651-2021")</f>
        <v/>
      </c>
      <c r="W21">
        <f>HYPERLINK("https://klasma.github.io/Logging_1493/kartor/A 72651-2021 karta.png", "A 72651-2021")</f>
        <v/>
      </c>
      <c r="Y21">
        <f>HYPERLINK("https://klasma.github.io/Logging_1493/klagomål/A 72651-2021 FSC-klagomål.docx", "A 72651-2021")</f>
        <v/>
      </c>
      <c r="Z21">
        <f>HYPERLINK("https://klasma.github.io/Logging_1493/klagomålsmail/A 72651-2021 FSC-klagomål mail.docx", "A 72651-2021")</f>
        <v/>
      </c>
      <c r="AA21">
        <f>HYPERLINK("https://klasma.github.io/Logging_1493/tillsyn/A 72651-2021 tillsynsbegäran.docx", "A 72651-2021")</f>
        <v/>
      </c>
      <c r="AB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46221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Backmåra</t>
        </is>
      </c>
      <c r="V22">
        <f>HYPERLINK("https://klasma.github.io/Logging_1493/artfynd/A 46835-2021 artfynd.xlsx", "A 46835-2021")</f>
        <v/>
      </c>
      <c r="W22">
        <f>HYPERLINK("https://klasma.github.io/Logging_1493/kartor/A 46835-2021 karta.png", "A 46835-2021")</f>
        <v/>
      </c>
      <c r="Y22">
        <f>HYPERLINK("https://klasma.github.io/Logging_1493/klagomål/A 46835-2021 FSC-klagomål.docx", "A 46835-2021")</f>
        <v/>
      </c>
      <c r="Z22">
        <f>HYPERLINK("https://klasma.github.io/Logging_1493/klagomålsmail/A 46835-2021 FSC-klagomål mail.docx", "A 46835-2021")</f>
        <v/>
      </c>
      <c r="AA22">
        <f>HYPERLINK("https://klasma.github.io/Logging_1493/tillsyn/A 46835-2021 tillsynsbegäran.docx", "A 46835-2021")</f>
        <v/>
      </c>
      <c r="AB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46221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HYPERLINK("https://klasma.github.io/Logging_1493/artfynd/A 51265-2021 artfynd.xlsx", "A 51265-2021")</f>
        <v/>
      </c>
      <c r="W23">
        <f>HYPERLINK("https://klasma.github.io/Logging_1493/kartor/A 51265-2021 karta.png", "A 51265-2021")</f>
        <v/>
      </c>
      <c r="Y23">
        <f>HYPERLINK("https://klasma.github.io/Logging_1493/klagomål/A 51265-2021 FSC-klagomål.docx", "A 51265-2021")</f>
        <v/>
      </c>
      <c r="Z23">
        <f>HYPERLINK("https://klasma.github.io/Logging_1493/klagomålsmail/A 51265-2021 FSC-klagomål mail.docx", "A 51265-2021")</f>
        <v/>
      </c>
      <c r="AA23">
        <f>HYPERLINK("https://klasma.github.io/Logging_1493/tillsyn/A 51265-2021 tillsynsbegäran.docx", "A 51265-2021")</f>
        <v/>
      </c>
      <c r="AB23">
        <f>HYPERLINK("https://klasma.github.io/Logging_1493/tillsynsmail/A 51265-2021 tillsynsbegäran mail.docx", "A 51265-2021")</f>
        <v/>
      </c>
      <c r="AC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46221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Fällmossa</t>
        </is>
      </c>
      <c r="V24">
        <f>HYPERLINK("https://klasma.github.io/Logging_1493/artfynd/A 29151-2025 artfynd.xlsx", "A 29151-2025")</f>
        <v/>
      </c>
      <c r="W24">
        <f>HYPERLINK("https://klasma.github.io/Logging_1493/kartor/A 29151-2025 karta.png", "A 29151-2025")</f>
        <v/>
      </c>
      <c r="Y24">
        <f>HYPERLINK("https://klasma.github.io/Logging_1493/klagomål/A 29151-2025 FSC-klagomål.docx", "A 29151-2025")</f>
        <v/>
      </c>
      <c r="Z24">
        <f>HYPERLINK("https://klasma.github.io/Logging_1493/klagomålsmail/A 29151-2025 FSC-klagomål mail.docx", "A 29151-2025")</f>
        <v/>
      </c>
      <c r="AA24">
        <f>HYPERLINK("https://klasma.github.io/Logging_1493/tillsyn/A 29151-2025 tillsynsbegäran.docx", "A 29151-2025")</f>
        <v/>
      </c>
      <c r="AB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46221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HYPERLINK("https://klasma.github.io/Logging_1493/artfynd/A 29152-2025 artfynd.xlsx", "A 29152-2025")</f>
        <v/>
      </c>
      <c r="W25">
        <f>HYPERLINK("https://klasma.github.io/Logging_1493/kartor/A 29152-2025 karta.png", "A 29152-2025")</f>
        <v/>
      </c>
      <c r="Y25">
        <f>HYPERLINK("https://klasma.github.io/Logging_1493/klagomål/A 29152-2025 FSC-klagomål.docx", "A 29152-2025")</f>
        <v/>
      </c>
      <c r="Z25">
        <f>HYPERLINK("https://klasma.github.io/Logging_1493/klagomålsmail/A 29152-2025 FSC-klagomål mail.docx", "A 29152-2025")</f>
        <v/>
      </c>
      <c r="AA25">
        <f>HYPERLINK("https://klasma.github.io/Logging_1493/tillsyn/A 29152-2025 tillsynsbegäran.docx", "A 29152-2025")</f>
        <v/>
      </c>
      <c r="AB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46221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Svartvit flugsnappare</t>
        </is>
      </c>
      <c r="V26">
        <f>HYPERLINK("https://klasma.github.io/Logging_1493/artfynd/A 7578-2025 artfynd.xlsx", "A 7578-2025")</f>
        <v/>
      </c>
      <c r="W26">
        <f>HYPERLINK("https://klasma.github.io/Logging_1493/kartor/A 7578-2025 karta.png", "A 7578-2025")</f>
        <v/>
      </c>
      <c r="Y26">
        <f>HYPERLINK("https://klasma.github.io/Logging_1493/klagomål/A 7578-2025 FSC-klagomål.docx", "A 7578-2025")</f>
        <v/>
      </c>
      <c r="Z26">
        <f>HYPERLINK("https://klasma.github.io/Logging_1493/klagomålsmail/A 7578-2025 FSC-klagomål mail.docx", "A 7578-2025")</f>
        <v/>
      </c>
      <c r="AA26">
        <f>HYPERLINK("https://klasma.github.io/Logging_1493/tillsyn/A 7578-2025 tillsynsbegäran.docx", "A 7578-2025")</f>
        <v/>
      </c>
      <c r="AB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46221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HYPERLINK("https://klasma.github.io/Logging_1493/artfynd/A 51220-2025 artfynd.xlsx", "A 51220-2025")</f>
        <v/>
      </c>
      <c r="W27">
        <f>HYPERLINK("https://klasma.github.io/Logging_1493/kartor/A 51220-2025 karta.png", "A 51220-2025")</f>
        <v/>
      </c>
      <c r="Y27">
        <f>HYPERLINK("https://klasma.github.io/Logging_1493/klagomål/A 51220-2025 FSC-klagomål.docx", "A 51220-2025")</f>
        <v/>
      </c>
      <c r="Z27">
        <f>HYPERLINK("https://klasma.github.io/Logging_1493/klagomålsmail/A 51220-2025 FSC-klagomål mail.docx", "A 51220-2025")</f>
        <v/>
      </c>
      <c r="AA27">
        <f>HYPERLINK("https://klasma.github.io/Logging_1493/tillsyn/A 51220-2025 tillsynsbegäran.docx", "A 51220-2025")</f>
        <v/>
      </c>
      <c r="AB27">
        <f>HYPERLINK("https://klasma.github.io/Logging_1493/tillsynsmail/A 51220-2025 tillsynsbegäran mail.docx", "A 51220-2025")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46221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HYPERLINK("https://klasma.github.io/Logging_1493/artfynd/A 12379-2026 artfynd.xlsx", "A 12379-2026")</f>
        <v/>
      </c>
      <c r="W28">
        <f>HYPERLINK("https://klasma.github.io/Logging_1493/kartor/A 12379-2026 karta.png", "A 12379-2026")</f>
        <v/>
      </c>
      <c r="Y28">
        <f>HYPERLINK("https://klasma.github.io/Logging_1493/klagomål/A 12379-2026 FSC-klagomål.docx", "A 12379-2026")</f>
        <v/>
      </c>
      <c r="Z28">
        <f>HYPERLINK("https://klasma.github.io/Logging_1493/klagomålsmail/A 12379-2026 FSC-klagomål mail.docx", "A 12379-2026")</f>
        <v/>
      </c>
      <c r="AA28">
        <f>HYPERLINK("https://klasma.github.io/Logging_1493/tillsyn/A 12379-2026 tillsynsbegäran.docx", "A 12379-2026")</f>
        <v/>
      </c>
      <c r="AB28">
        <f>HYPERLINK("https://klasma.github.io/Logging_1493/tillsynsmail/A 12379-2026 tillsynsbegäran mail.docx", "A 12379-2026")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46221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Grönvit nattviol</t>
        </is>
      </c>
      <c r="V29">
        <f>HYPERLINK("https://klasma.github.io/Logging_1493/artfynd/A 59316-2025 artfynd.xlsx", "A 59316-2025")</f>
        <v/>
      </c>
      <c r="W29">
        <f>HYPERLINK("https://klasma.github.io/Logging_1493/kartor/A 59316-2025 karta.png", "A 59316-2025")</f>
        <v/>
      </c>
      <c r="Y29">
        <f>HYPERLINK("https://klasma.github.io/Logging_1493/klagomål/A 59316-2025 FSC-klagomål.docx", "A 59316-2025")</f>
        <v/>
      </c>
      <c r="Z29">
        <f>HYPERLINK("https://klasma.github.io/Logging_1493/klagomålsmail/A 59316-2025 FSC-klagomål mail.docx", "A 59316-2025")</f>
        <v/>
      </c>
      <c r="AA29">
        <f>HYPERLINK("https://klasma.github.io/Logging_1493/tillsyn/A 59316-2025 tillsynsbegäran.docx", "A 59316-2025")</f>
        <v/>
      </c>
      <c r="AB29">
        <f>HYPERLINK("https://klasma.github.io/Logging_1493/tillsynsmail/A 59316-2025 tillsynsbegäran mail.docx", "A 59316-2025")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46221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Lönnlav</t>
        </is>
      </c>
      <c r="V30">
        <f>HYPERLINK("https://klasma.github.io/Logging_1493/artfynd/A 49233-2023 artfynd.xlsx", "A 49233-2023")</f>
        <v/>
      </c>
      <c r="W30">
        <f>HYPERLINK("https://klasma.github.io/Logging_1493/kartor/A 49233-2023 karta.png", "A 49233-2023")</f>
        <v/>
      </c>
      <c r="Y30">
        <f>HYPERLINK("https://klasma.github.io/Logging_1493/klagomål/A 49233-2023 FSC-klagomål.docx", "A 49233-2023")</f>
        <v/>
      </c>
      <c r="Z30">
        <f>HYPERLINK("https://klasma.github.io/Logging_1493/klagomålsmail/A 49233-2023 FSC-klagomål mail.docx", "A 49233-2023")</f>
        <v/>
      </c>
      <c r="AA30">
        <f>HYPERLINK("https://klasma.github.io/Logging_1493/tillsyn/A 49233-2023 tillsynsbegäran.docx", "A 49233-2023")</f>
        <v/>
      </c>
      <c r="AB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46221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Nattviol</t>
        </is>
      </c>
      <c r="V31">
        <f>HYPERLINK("https://klasma.github.io/Logging_1493/artfynd/A 38580-2023 artfynd.xlsx", "A 38580-2023")</f>
        <v/>
      </c>
      <c r="W31">
        <f>HYPERLINK("https://klasma.github.io/Logging_1493/kartor/A 38580-2023 karta.png", "A 38580-2023")</f>
        <v/>
      </c>
      <c r="Y31">
        <f>HYPERLINK("https://klasma.github.io/Logging_1493/klagomål/A 38580-2023 FSC-klagomål.docx", "A 38580-2023")</f>
        <v/>
      </c>
      <c r="Z31">
        <f>HYPERLINK("https://klasma.github.io/Logging_1493/klagomålsmail/A 38580-2023 FSC-klagomål mail.docx", "A 38580-2023")</f>
        <v/>
      </c>
      <c r="AA31">
        <f>HYPERLINK("https://klasma.github.io/Logging_1493/tillsyn/A 38580-2023 tillsynsbegäran.docx", "A 38580-2023")</f>
        <v/>
      </c>
      <c r="AB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46221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Grovticka</t>
        </is>
      </c>
      <c r="V32">
        <f>HYPERLINK("https://klasma.github.io/Logging_1493/artfynd/A 18176-2025 artfynd.xlsx", "A 18176-2025")</f>
        <v/>
      </c>
      <c r="W32">
        <f>HYPERLINK("https://klasma.github.io/Logging_1493/kartor/A 18176-2025 karta.png", "A 18176-2025")</f>
        <v/>
      </c>
      <c r="Y32">
        <f>HYPERLINK("https://klasma.github.io/Logging_1493/klagomål/A 18176-2025 FSC-klagomål.docx", "A 18176-2025")</f>
        <v/>
      </c>
      <c r="Z32">
        <f>HYPERLINK("https://klasma.github.io/Logging_1493/klagomålsmail/A 18176-2025 FSC-klagomål mail.docx", "A 18176-2025")</f>
        <v/>
      </c>
      <c r="AA32">
        <f>HYPERLINK("https://klasma.github.io/Logging_1493/tillsyn/A 18176-2025 tillsynsbegäran.docx", "A 18176-2025")</f>
        <v/>
      </c>
      <c r="AB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46221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Skogsödla</t>
        </is>
      </c>
      <c r="V33">
        <f>HYPERLINK("https://klasma.github.io/Logging_1493/artfynd/A 7612-2023 artfynd.xlsx", "A 7612-2023")</f>
        <v/>
      </c>
      <c r="W33">
        <f>HYPERLINK("https://klasma.github.io/Logging_1493/kartor/A 7612-2023 karta.png", "A 7612-2023")</f>
        <v/>
      </c>
      <c r="Y33">
        <f>HYPERLINK("https://klasma.github.io/Logging_1493/klagomål/A 7612-2023 FSC-klagomål.docx", "A 7612-2023")</f>
        <v/>
      </c>
      <c r="Z33">
        <f>HYPERLINK("https://klasma.github.io/Logging_1493/klagomålsmail/A 7612-2023 FSC-klagomål mail.docx", "A 7612-2023")</f>
        <v/>
      </c>
      <c r="AA33">
        <f>HYPERLINK("https://klasma.github.io/Logging_1493/tillsyn/A 7612-2023 tillsynsbegäran.docx", "A 7612-2023")</f>
        <v/>
      </c>
      <c r="AB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46221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Nattviol</t>
        </is>
      </c>
      <c r="V34">
        <f>HYPERLINK("https://klasma.github.io/Logging_1493/artfynd/A 30652-2023 artfynd.xlsx", "A 30652-2023")</f>
        <v/>
      </c>
      <c r="W34">
        <f>HYPERLINK("https://klasma.github.io/Logging_1493/kartor/A 30652-2023 karta.png", "A 30652-2023")</f>
        <v/>
      </c>
      <c r="Y34">
        <f>HYPERLINK("https://klasma.github.io/Logging_1493/klagomål/A 30652-2023 FSC-klagomål.docx", "A 30652-2023")</f>
        <v/>
      </c>
      <c r="Z34">
        <f>HYPERLINK("https://klasma.github.io/Logging_1493/klagomålsmail/A 30652-2023 FSC-klagomål mail.docx", "A 30652-2023")</f>
        <v/>
      </c>
      <c r="AA34">
        <f>HYPERLINK("https://klasma.github.io/Logging_1493/tillsyn/A 30652-2023 tillsynsbegäran.docx", "A 30652-2023")</f>
        <v/>
      </c>
      <c r="AB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46221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Bivråk</t>
        </is>
      </c>
      <c r="V35">
        <f>HYPERLINK("https://klasma.github.io/Logging_1493/artfynd/A 15052-2023 artfynd.xlsx", "A 15052-2023")</f>
        <v/>
      </c>
      <c r="W35">
        <f>HYPERLINK("https://klasma.github.io/Logging_1493/kartor/A 15052-2023 karta.png", "A 15052-2023")</f>
        <v/>
      </c>
      <c r="Y35">
        <f>HYPERLINK("https://klasma.github.io/Logging_1493/klagomål/A 15052-2023 FSC-klagomål.docx", "A 15052-2023")</f>
        <v/>
      </c>
      <c r="Z35">
        <f>HYPERLINK("https://klasma.github.io/Logging_1493/klagomålsmail/A 15052-2023 FSC-klagomål mail.docx", "A 15052-2023")</f>
        <v/>
      </c>
      <c r="AA35">
        <f>HYPERLINK("https://klasma.github.io/Logging_1493/tillsyn/A 15052-2023 tillsynsbegäran.docx", "A 15052-2023")</f>
        <v/>
      </c>
      <c r="AB35">
        <f>HYPERLINK("https://klasma.github.io/Logging_1493/tillsynsmail/A 15052-2023 tillsynsbegäran mail.docx", "A 15052-2023")</f>
        <v/>
      </c>
      <c r="AC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46221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Gullklöver</t>
        </is>
      </c>
      <c r="V36">
        <f>HYPERLINK("https://klasma.github.io/Logging_1493/artfynd/A 17272-2023 artfynd.xlsx", "A 17272-2023")</f>
        <v/>
      </c>
      <c r="W36">
        <f>HYPERLINK("https://klasma.github.io/Logging_1493/kartor/A 17272-2023 karta.png", "A 17272-2023")</f>
        <v/>
      </c>
      <c r="Y36">
        <f>HYPERLINK("https://klasma.github.io/Logging_1493/klagomål/A 17272-2023 FSC-klagomål.docx", "A 17272-2023")</f>
        <v/>
      </c>
      <c r="Z36">
        <f>HYPERLINK("https://klasma.github.io/Logging_1493/klagomålsmail/A 17272-2023 FSC-klagomål mail.docx", "A 17272-2023")</f>
        <v/>
      </c>
      <c r="AA36">
        <f>HYPERLINK("https://klasma.github.io/Logging_1493/tillsyn/A 17272-2023 tillsynsbegäran.docx", "A 17272-2023")</f>
        <v/>
      </c>
      <c r="AB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46221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Griffelblomfluga</t>
        </is>
      </c>
      <c r="V37">
        <f>HYPERLINK("https://klasma.github.io/Logging_1493/artfynd/A 20438-2024 artfynd.xlsx", "A 20438-2024")</f>
        <v/>
      </c>
      <c r="W37">
        <f>HYPERLINK("https://klasma.github.io/Logging_1493/kartor/A 20438-2024 karta.png", "A 20438-2024")</f>
        <v/>
      </c>
      <c r="Y37">
        <f>HYPERLINK("https://klasma.github.io/Logging_1493/klagomål/A 20438-2024 FSC-klagomål.docx", "A 20438-2024")</f>
        <v/>
      </c>
      <c r="Z37">
        <f>HYPERLINK("https://klasma.github.io/Logging_1493/klagomålsmail/A 20438-2024 FSC-klagomål mail.docx", "A 20438-2024")</f>
        <v/>
      </c>
      <c r="AA37">
        <f>HYPERLINK("https://klasma.github.io/Logging_1493/tillsyn/A 20438-2024 tillsynsbegäran.docx", "A 20438-2024")</f>
        <v/>
      </c>
      <c r="AB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46221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Svinrot</t>
        </is>
      </c>
      <c r="V38">
        <f>HYPERLINK("https://klasma.github.io/Logging_1493/artfynd/A 27444-2023 artfynd.xlsx", "A 27444-2023")</f>
        <v/>
      </c>
      <c r="W38">
        <f>HYPERLINK("https://klasma.github.io/Logging_1493/kartor/A 27444-2023 karta.png", "A 27444-2023")</f>
        <v/>
      </c>
      <c r="Y38">
        <f>HYPERLINK("https://klasma.github.io/Logging_1493/klagomål/A 27444-2023 FSC-klagomål.docx", "A 27444-2023")</f>
        <v/>
      </c>
      <c r="Z38">
        <f>HYPERLINK("https://klasma.github.io/Logging_1493/klagomålsmail/A 27444-2023 FSC-klagomål mail.docx", "A 27444-2023")</f>
        <v/>
      </c>
      <c r="AA38">
        <f>HYPERLINK("https://klasma.github.io/Logging_1493/tillsyn/A 27444-2023 tillsynsbegäran.docx", "A 27444-2023")</f>
        <v/>
      </c>
      <c r="AB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46221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Ärtsångare</t>
        </is>
      </c>
      <c r="V39">
        <f>HYPERLINK("https://klasma.github.io/Logging_1493/artfynd/A 42647-2023 artfynd.xlsx", "A 42647-2023")</f>
        <v/>
      </c>
      <c r="W39">
        <f>HYPERLINK("https://klasma.github.io/Logging_1493/kartor/A 42647-2023 karta.png", "A 42647-2023")</f>
        <v/>
      </c>
      <c r="Y39">
        <f>HYPERLINK("https://klasma.github.io/Logging_1493/klagomål/A 42647-2023 FSC-klagomål.docx", "A 42647-2023")</f>
        <v/>
      </c>
      <c r="Z39">
        <f>HYPERLINK("https://klasma.github.io/Logging_1493/klagomålsmail/A 42647-2023 FSC-klagomål mail.docx", "A 42647-2023")</f>
        <v/>
      </c>
      <c r="AA39">
        <f>HYPERLINK("https://klasma.github.io/Logging_1493/tillsyn/A 42647-2023 tillsynsbegäran.docx", "A 42647-2023")</f>
        <v/>
      </c>
      <c r="AB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HYPERLINK("https://klasma.github.io/Logging_1493/artfynd/A 9650-2025 artfynd.xlsx", "A 9650-2025")</f>
        <v/>
      </c>
      <c r="W40">
        <f>HYPERLINK("https://klasma.github.io/Logging_1493/kartor/A 9650-2025 karta.png", "A 9650-2025")</f>
        <v/>
      </c>
      <c r="Y40">
        <f>HYPERLINK("https://klasma.github.io/Logging_1493/klagomål/A 9650-2025 FSC-klagomål.docx", "A 9650-2025")</f>
        <v/>
      </c>
      <c r="Z40">
        <f>HYPERLINK("https://klasma.github.io/Logging_1493/klagomålsmail/A 9650-2025 FSC-klagomål mail.docx", "A 9650-2025")</f>
        <v/>
      </c>
      <c r="AA40">
        <f>HYPERLINK("https://klasma.github.io/Logging_1493/tillsyn/A 9650-2025 tillsynsbegäran.docx", "A 9650-2025")</f>
        <v/>
      </c>
      <c r="AB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46221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Revlummer</t>
        </is>
      </c>
      <c r="V41">
        <f>HYPERLINK("https://klasma.github.io/Logging_1493/artfynd/S 669-2025 artfynd.xlsx", "S 669-2025")</f>
        <v/>
      </c>
      <c r="W41">
        <f>HYPERLINK("https://klasma.github.io/Logging_1493/kartor/S 669-2025 karta.png", "S 669-2025")</f>
        <v/>
      </c>
      <c r="Y41">
        <f>HYPERLINK("https://klasma.github.io/Logging_1493/klagomål/S 669-2025 FSC-klagomål.docx", "S 669-2025")</f>
        <v/>
      </c>
      <c r="Z41">
        <f>HYPERLINK("https://klasma.github.io/Logging_1493/klagomålsmail/S 669-2025 FSC-klagomål mail.docx", "S 669-2025")</f>
        <v/>
      </c>
      <c r="AA41">
        <f>HYPERLINK("https://klasma.github.io/Logging_1493/tillsyn/S 669-2025 tillsynsbegäran.docx", "S 669-2025")</f>
        <v/>
      </c>
      <c r="AB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Fällmossa</t>
        </is>
      </c>
      <c r="V42">
        <f>HYPERLINK("https://klasma.github.io/Logging_1493/artfynd/S 1616-2025 artfynd.xlsx", "S 1616-2025")</f>
        <v/>
      </c>
      <c r="W42">
        <f>HYPERLINK("https://klasma.github.io/Logging_1493/kartor/S 1616-2025 karta.png", "S 1616-2025")</f>
        <v/>
      </c>
      <c r="Y42">
        <f>HYPERLINK("https://klasma.github.io/Logging_1493/klagomål/S 1616-2025 FSC-klagomål.docx", "S 1616-2025")</f>
        <v/>
      </c>
      <c r="Z42">
        <f>HYPERLINK("https://klasma.github.io/Logging_1493/klagomålsmail/S 1616-2025 FSC-klagomål mail.docx", "S 1616-2025")</f>
        <v/>
      </c>
      <c r="AA42">
        <f>HYPERLINK("https://klasma.github.io/Logging_1493/tillsyn/S 1616-2025 tillsynsbegäran.docx", "S 1616-2025")</f>
        <v/>
      </c>
      <c r="AB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Blodticka</t>
        </is>
      </c>
      <c r="V43">
        <f>HYPERLINK("https://klasma.github.io/Logging_1493/artfynd/S 1867-2025 artfynd.xlsx", "S 1867-2025")</f>
        <v/>
      </c>
      <c r="W43">
        <f>HYPERLINK("https://klasma.github.io/Logging_1493/kartor/S 1867-2025 karta.png", "S 1867-2025")</f>
        <v/>
      </c>
      <c r="Y43">
        <f>HYPERLINK("https://klasma.github.io/Logging_1493/klagomål/S 1867-2025 FSC-klagomål.docx", "S 1867-2025")</f>
        <v/>
      </c>
      <c r="Z43">
        <f>HYPERLINK("https://klasma.github.io/Logging_1493/klagomålsmail/S 1867-2025 FSC-klagomål mail.docx", "S 1867-2025")</f>
        <v/>
      </c>
      <c r="AA43">
        <f>HYPERLINK("https://klasma.github.io/Logging_1493/tillsyn/S 1867-2025 tillsynsbegäran.docx", "S 1867-2025")</f>
        <v/>
      </c>
      <c r="AB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Oxtungssvamp</t>
        </is>
      </c>
      <c r="V44">
        <f>HYPERLINK("https://klasma.github.io/Logging_1493/artfynd/S 484-2025 artfynd.xlsx", "S 484-2025")</f>
        <v/>
      </c>
      <c r="W44">
        <f>HYPERLINK("https://klasma.github.io/Logging_1493/kartor/S 484-2025 karta.png", "S 484-2025")</f>
        <v/>
      </c>
      <c r="Y44">
        <f>HYPERLINK("https://klasma.github.io/Logging_1493/klagomål/S 484-2025 FSC-klagomål.docx", "S 484-2025")</f>
        <v/>
      </c>
      <c r="Z44">
        <f>HYPERLINK("https://klasma.github.io/Logging_1493/klagomålsmail/S 484-2025 FSC-klagomål mail.docx", "S 484-2025")</f>
        <v/>
      </c>
      <c r="AA44">
        <f>HYPERLINK("https://klasma.github.io/Logging_1493/tillsyn/S 484-2025 tillsynsbegäran.docx", "S 484-2025")</f>
        <v/>
      </c>
      <c r="AB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46221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Fällmossa</t>
        </is>
      </c>
      <c r="V45">
        <f>HYPERLINK("https://klasma.github.io/Logging_1493/artfynd/S 483-2025 artfynd.xlsx", "S 483-2025")</f>
        <v/>
      </c>
      <c r="W45">
        <f>HYPERLINK("https://klasma.github.io/Logging_1493/kartor/S 483-2025 karta.png", "S 483-2025")</f>
        <v/>
      </c>
      <c r="Y45">
        <f>HYPERLINK("https://klasma.github.io/Logging_1493/klagomål/S 483-2025 FSC-klagomål.docx", "S 483-2025")</f>
        <v/>
      </c>
      <c r="Z45">
        <f>HYPERLINK("https://klasma.github.io/Logging_1493/klagomålsmail/S 483-2025 FSC-klagomål mail.docx", "S 483-2025")</f>
        <v/>
      </c>
      <c r="AA45">
        <f>HYPERLINK("https://klasma.github.io/Logging_1493/tillsyn/S 483-2025 tillsynsbegäran.docx", "S 483-2025")</f>
        <v/>
      </c>
      <c r="AB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46221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46221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46221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46221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46221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46221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46221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46221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46221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46221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46221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46221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46221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46221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46221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46221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46221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46221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46221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46221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46221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46221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46221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46221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46221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46221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46221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46221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46221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46221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46221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46221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45709</v>
      </c>
      <c r="E79" s="1" t="n">
        <v>46221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45343</v>
      </c>
      <c r="E80" s="1" t="n">
        <v>46221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46221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46221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46221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46221</v>
      </c>
      <c r="F84" t="inlineStr">
        <is>
          <t>VÄSTRA GÖTALANDS LÄN</t>
        </is>
      </c>
      <c r="G84" t="inlineStr">
        <is>
          <t>MARIESTAD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46221</v>
      </c>
      <c r="F85" t="inlineStr">
        <is>
          <t>VÄSTRA GÖTALANDS LÄN</t>
        </is>
      </c>
      <c r="G85" t="inlineStr">
        <is>
          <t>MARIESTAD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27451-2023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46221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39437-2021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44414</v>
      </c>
      <c r="E87" s="1" t="n">
        <v>46221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11729-2024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46221</v>
      </c>
      <c r="F88" t="inlineStr">
        <is>
          <t>VÄSTRA GÖTALANDS LÄN</t>
        </is>
      </c>
      <c r="G88" t="inlineStr">
        <is>
          <t>MARIESTAD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46221</v>
      </c>
      <c r="F89" t="inlineStr">
        <is>
          <t>VÄSTRA GÖTALANDS LÄN</t>
        </is>
      </c>
      <c r="G89" t="inlineStr">
        <is>
          <t>MARIESTAD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24765-2024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45460</v>
      </c>
      <c r="E90" s="1" t="n">
        <v>46221</v>
      </c>
      <c r="F90" t="inlineStr">
        <is>
          <t>VÄSTRA GÖTALANDS LÄN</t>
        </is>
      </c>
      <c r="G90" t="inlineStr">
        <is>
          <t>MARIESTAD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46221</v>
      </c>
      <c r="F91" t="inlineStr">
        <is>
          <t>VÄSTRA GÖTALANDS LÄN</t>
        </is>
      </c>
      <c r="G91" t="inlineStr">
        <is>
          <t>MARIESTAD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54717-2022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46221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46221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74081-2021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44553</v>
      </c>
      <c r="E94" s="1" t="n">
        <v>46221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33571-2023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45131</v>
      </c>
      <c r="E95" s="1" t="n">
        <v>46221</v>
      </c>
      <c r="F95" t="inlineStr">
        <is>
          <t>VÄSTRA GÖTALANDS LÄN</t>
        </is>
      </c>
      <c r="G95" t="inlineStr">
        <is>
          <t>MARIESTAD</t>
        </is>
      </c>
      <c r="I95" t="n">
        <v>16.1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46221</v>
      </c>
      <c r="F96" t="inlineStr">
        <is>
          <t>VÄSTRA GÖTALANDS LÄN</t>
        </is>
      </c>
      <c r="G96" t="inlineStr">
        <is>
          <t>MARIESTAD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32799-2024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46221</v>
      </c>
      <c r="F97" t="inlineStr">
        <is>
          <t>VÄSTRA GÖTALANDS LÄN</t>
        </is>
      </c>
      <c r="G97" t="inlineStr">
        <is>
          <t>MARIESTAD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46221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46221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46221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46221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62754-2023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46221</v>
      </c>
      <c r="F102" t="inlineStr">
        <is>
          <t>VÄSTRA GÖTALANDS LÄN</t>
        </is>
      </c>
      <c r="G102" t="inlineStr">
        <is>
          <t>MARIESTAD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66771-2021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44521</v>
      </c>
      <c r="E103" s="1" t="n">
        <v>46221</v>
      </c>
      <c r="F103" t="inlineStr">
        <is>
          <t>VÄSTRA GÖTALANDS LÄN</t>
        </is>
      </c>
      <c r="G103" t="inlineStr">
        <is>
          <t>MARIESTAD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46221</v>
      </c>
      <c r="F104" t="inlineStr">
        <is>
          <t>VÄSTRA GÖTALANDS LÄN</t>
        </is>
      </c>
      <c r="G104" t="inlineStr">
        <is>
          <t>MARIESTAD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46221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46221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46221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46221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45674</v>
      </c>
      <c r="E109" s="1" t="n">
        <v>46221</v>
      </c>
      <c r="F109" t="inlineStr">
        <is>
          <t>VÄSTRA GÖTALANDS LÄN</t>
        </is>
      </c>
      <c r="G109" t="inlineStr">
        <is>
          <t>MARIESTAD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46221</v>
      </c>
      <c r="F110" t="inlineStr">
        <is>
          <t>VÄSTRA GÖTALANDS LÄN</t>
        </is>
      </c>
      <c r="G110" t="inlineStr">
        <is>
          <t>MARIESTAD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16713-2025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46221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46221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32794-2024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46221</v>
      </c>
      <c r="F113" t="inlineStr">
        <is>
          <t>VÄSTRA GÖTALANDS LÄN</t>
        </is>
      </c>
      <c r="G113" t="inlineStr">
        <is>
          <t>MARIESTAD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46221</v>
      </c>
      <c r="F114" t="inlineStr">
        <is>
          <t>VÄSTRA GÖTALANDS LÄN</t>
        </is>
      </c>
      <c r="G114" t="inlineStr">
        <is>
          <t>MARIESTAD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44999</v>
      </c>
      <c r="E115" s="1" t="n">
        <v>46221</v>
      </c>
      <c r="F115" t="inlineStr">
        <is>
          <t>VÄSTRA GÖTALANDS LÄN</t>
        </is>
      </c>
      <c r="G115" t="inlineStr">
        <is>
          <t>MARIESTAD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46221</v>
      </c>
      <c r="F116" t="inlineStr">
        <is>
          <t>VÄSTRA GÖTALANDS LÄN</t>
        </is>
      </c>
      <c r="G116" t="inlineStr">
        <is>
          <t>MARIESTAD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28313-2025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46221</v>
      </c>
      <c r="F117" t="inlineStr">
        <is>
          <t>VÄSTRA GÖTALANDS LÄN</t>
        </is>
      </c>
      <c r="G117" t="inlineStr">
        <is>
          <t>MARIESTAD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38915-2025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46221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46221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28902-2025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46221</v>
      </c>
      <c r="F120" t="inlineStr">
        <is>
          <t>VÄSTRA GÖTALANDS LÄN</t>
        </is>
      </c>
      <c r="G120" t="inlineStr">
        <is>
          <t>MARIESTAD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11815-2023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46221</v>
      </c>
      <c r="F121" t="inlineStr">
        <is>
          <t>VÄSTRA GÖTALANDS LÄN</t>
        </is>
      </c>
      <c r="G121" t="inlineStr">
        <is>
          <t>MARIESTAD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46221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16867-2023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45033</v>
      </c>
      <c r="E123" s="1" t="n">
        <v>46221</v>
      </c>
      <c r="F123" t="inlineStr">
        <is>
          <t>VÄSTRA GÖTALANDS LÄN</t>
        </is>
      </c>
      <c r="G123" t="inlineStr">
        <is>
          <t>MARIESTAD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46221</v>
      </c>
      <c r="F124" t="inlineStr">
        <is>
          <t>VÄSTRA GÖTALANDS LÄN</t>
        </is>
      </c>
      <c r="G124" t="inlineStr">
        <is>
          <t>MARIESTAD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38948-2025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46221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46221</v>
      </c>
      <c r="F126" t="inlineStr">
        <is>
          <t>VÄSTRA GÖTALANDS LÄN</t>
        </is>
      </c>
      <c r="G126" t="inlineStr">
        <is>
          <t>MARIESTAD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56054-2023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46221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28956-2025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46221</v>
      </c>
      <c r="F128" t="inlineStr">
        <is>
          <t>VÄSTRA GÖTALANDS LÄN</t>
        </is>
      </c>
      <c r="G128" t="inlineStr">
        <is>
          <t>MARIESTAD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46221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46221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46221</v>
      </c>
      <c r="F131" t="inlineStr">
        <is>
          <t>VÄSTRA GÖTALANDS LÄN</t>
        </is>
      </c>
      <c r="G131" t="inlineStr">
        <is>
          <t>MARIESTAD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46221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46221</v>
      </c>
      <c r="F133" t="inlineStr">
        <is>
          <t>VÄSTRA GÖTALANDS LÄN</t>
        </is>
      </c>
      <c r="G133" t="inlineStr">
        <is>
          <t>MARIESTAD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46221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46221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30413-2025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46221</v>
      </c>
      <c r="F136" t="inlineStr">
        <is>
          <t>VÄSTRA GÖTALANDS LÄN</t>
        </is>
      </c>
      <c r="G136" t="inlineStr">
        <is>
          <t>MARIESTAD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49200-2023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46221</v>
      </c>
      <c r="F137" t="inlineStr">
        <is>
          <t>VÄSTRA GÖTALANDS LÄN</t>
        </is>
      </c>
      <c r="G137" t="inlineStr">
        <is>
          <t>MARIESTAD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46221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15206-2025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46221</v>
      </c>
      <c r="F139" t="inlineStr">
        <is>
          <t>VÄSTRA GÖTALANDS LÄN</t>
        </is>
      </c>
      <c r="G139" t="inlineStr">
        <is>
          <t>MARIESTAD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46221</v>
      </c>
      <c r="F140" t="inlineStr">
        <is>
          <t>VÄSTRA GÖTALANDS LÄN</t>
        </is>
      </c>
      <c r="G140" t="inlineStr">
        <is>
          <t>MARIESTAD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46221</v>
      </c>
      <c r="F141" t="inlineStr">
        <is>
          <t>VÄSTRA GÖTALANDS LÄN</t>
        </is>
      </c>
      <c r="G141" t="inlineStr">
        <is>
          <t>MARIESTAD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46221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46221</v>
      </c>
      <c r="F143" t="inlineStr">
        <is>
          <t>VÄSTRA GÖTALANDS LÄN</t>
        </is>
      </c>
      <c r="G143" t="inlineStr">
        <is>
          <t>MARIESTAD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46221</v>
      </c>
      <c r="F144" t="inlineStr">
        <is>
          <t>VÄSTRA GÖTALANDS LÄN</t>
        </is>
      </c>
      <c r="G144" t="inlineStr">
        <is>
          <t>MARIESTAD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46221</v>
      </c>
      <c r="F145" t="inlineStr">
        <is>
          <t>VÄSTRA GÖTALANDS LÄN</t>
        </is>
      </c>
      <c r="G145" t="inlineStr">
        <is>
          <t>MARIESTAD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46221</v>
      </c>
      <c r="F146" t="inlineStr">
        <is>
          <t>VÄSTRA GÖTALANDS LÄN</t>
        </is>
      </c>
      <c r="G146" t="inlineStr">
        <is>
          <t>MARIESTAD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48187-2023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45199</v>
      </c>
      <c r="E147" s="1" t="n">
        <v>46221</v>
      </c>
      <c r="F147" t="inlineStr">
        <is>
          <t>VÄSTRA GÖTALANDS LÄN</t>
        </is>
      </c>
      <c r="G147" t="inlineStr">
        <is>
          <t>MARIESTAD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46051</v>
      </c>
      <c r="E148" s="1" t="n">
        <v>46221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46221</v>
      </c>
      <c r="F149" t="inlineStr">
        <is>
          <t>VÄSTRA GÖTALANDS LÄN</t>
        </is>
      </c>
      <c r="G149" t="inlineStr">
        <is>
          <t>MARIESTAD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46221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26688-2022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44739</v>
      </c>
      <c r="E151" s="1" t="n">
        <v>46221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46221</v>
      </c>
      <c r="F152" t="inlineStr">
        <is>
          <t>VÄSTRA GÖTALANDS LÄN</t>
        </is>
      </c>
      <c r="G152" t="inlineStr">
        <is>
          <t>MARIESTAD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46221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8021-2024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46221</v>
      </c>
      <c r="F154" t="inlineStr">
        <is>
          <t>VÄSTRA GÖTALANDS LÄN</t>
        </is>
      </c>
      <c r="G154" t="inlineStr">
        <is>
          <t>MARIESTAD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46221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14977-2023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46221</v>
      </c>
      <c r="F156" t="inlineStr">
        <is>
          <t>VÄSTRA GÖTALANDS LÄN</t>
        </is>
      </c>
      <c r="G156" t="inlineStr">
        <is>
          <t>MARIESTAD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7418-2023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44971</v>
      </c>
      <c r="E157" s="1" t="n">
        <v>46221</v>
      </c>
      <c r="F157" t="inlineStr">
        <is>
          <t>VÄSTRA GÖTALANDS LÄN</t>
        </is>
      </c>
      <c r="G157" t="inlineStr">
        <is>
          <t>MARIESTAD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46221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46221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46221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46221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46221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46221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46221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36738-2025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46221</v>
      </c>
      <c r="F165" t="inlineStr">
        <is>
          <t>VÄSTRA GÖTALANDS LÄN</t>
        </is>
      </c>
      <c r="G165" t="inlineStr">
        <is>
          <t>MARIESTAD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46221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46221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46221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46221</v>
      </c>
      <c r="F169" t="inlineStr">
        <is>
          <t>VÄSTRA GÖTALANDS LÄN</t>
        </is>
      </c>
      <c r="G169" t="inlineStr">
        <is>
          <t>MARIESTAD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46221</v>
      </c>
      <c r="F170" t="inlineStr">
        <is>
          <t>VÄSTRA GÖTALANDS LÄN</t>
        </is>
      </c>
      <c r="G170" t="inlineStr">
        <is>
          <t>MARIESTAD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7587-2026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46221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46221</v>
      </c>
      <c r="F172" t="inlineStr">
        <is>
          <t>VÄSTRA GÖTALANDS LÄN</t>
        </is>
      </c>
      <c r="G172" t="inlineStr">
        <is>
          <t>MARIESTAD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46221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46221</v>
      </c>
      <c r="F174" t="inlineStr">
        <is>
          <t>VÄSTRA GÖTALANDS LÄN</t>
        </is>
      </c>
      <c r="G174" t="inlineStr">
        <is>
          <t>MARIESTAD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53104-2025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46221</v>
      </c>
      <c r="F175" t="inlineStr">
        <is>
          <t>VÄSTRA GÖTALANDS LÄN</t>
        </is>
      </c>
      <c r="G175" t="inlineStr">
        <is>
          <t>MARIESTAD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46221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46221</v>
      </c>
      <c r="F177" t="inlineStr">
        <is>
          <t>VÄSTRA GÖTALANDS LÄN</t>
        </is>
      </c>
      <c r="G177" t="inlineStr">
        <is>
          <t>MARIESTAD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9563-2026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46221</v>
      </c>
      <c r="F178" t="inlineStr">
        <is>
          <t>VÄSTRA GÖTALANDS LÄN</t>
        </is>
      </c>
      <c r="G178" t="inlineStr">
        <is>
          <t>MARIESTAD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46221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46221</v>
      </c>
      <c r="F180" t="inlineStr">
        <is>
          <t>VÄSTRA GÖTALANDS LÄN</t>
        </is>
      </c>
      <c r="G180" t="inlineStr">
        <is>
          <t>MARIESTAD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9558-2026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46071</v>
      </c>
      <c r="E181" s="1" t="n">
        <v>46221</v>
      </c>
      <c r="F181" t="inlineStr">
        <is>
          <t>VÄSTRA GÖTALANDS LÄN</t>
        </is>
      </c>
      <c r="G181" t="inlineStr">
        <is>
          <t>MARIESTAD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46221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49193-2023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46221</v>
      </c>
      <c r="F183" t="inlineStr">
        <is>
          <t>VÄSTRA GÖTALANDS LÄN</t>
        </is>
      </c>
      <c r="G183" t="inlineStr">
        <is>
          <t>MARIESTAD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46221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42000-2022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46221</v>
      </c>
      <c r="F185" t="inlineStr">
        <is>
          <t>VÄSTRA GÖTALANDS LÄN</t>
        </is>
      </c>
      <c r="G185" t="inlineStr">
        <is>
          <t>MARIESTAD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46221</v>
      </c>
      <c r="F186" t="inlineStr">
        <is>
          <t>VÄSTRA GÖTALANDS LÄN</t>
        </is>
      </c>
      <c r="G186" t="inlineStr">
        <is>
          <t>MARIESTAD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46221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46221</v>
      </c>
      <c r="F188" t="inlineStr">
        <is>
          <t>VÄSTRA GÖTALANDS LÄN</t>
        </is>
      </c>
      <c r="G188" t="inlineStr">
        <is>
          <t>MARIESTAD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46221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Övriga Aktiebolag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46221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19261-2025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46221</v>
      </c>
      <c r="F191" t="inlineStr">
        <is>
          <t>VÄSTRA GÖTALANDS LÄN</t>
        </is>
      </c>
      <c r="G191" t="inlineStr">
        <is>
          <t>MARIESTAD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46221</v>
      </c>
      <c r="F192" t="inlineStr">
        <is>
          <t>VÄSTRA GÖTALANDS LÄN</t>
        </is>
      </c>
      <c r="G192" t="inlineStr">
        <is>
          <t>MARIESTAD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46221</v>
      </c>
      <c r="F193" t="inlineStr">
        <is>
          <t>VÄSTRA GÖTALANDS LÄN</t>
        </is>
      </c>
      <c r="G193" t="inlineStr">
        <is>
          <t>MARIESTAD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44843</v>
      </c>
      <c r="E194" s="1" t="n">
        <v>46221</v>
      </c>
      <c r="F194" t="inlineStr">
        <is>
          <t>VÄSTRA GÖTALANDS LÄN</t>
        </is>
      </c>
      <c r="G194" t="inlineStr">
        <is>
          <t>MARIESTAD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46221</v>
      </c>
      <c r="F195" t="inlineStr">
        <is>
          <t>VÄSTRA GÖTALANDS LÄN</t>
        </is>
      </c>
      <c r="G195" t="inlineStr">
        <is>
          <t>MARIESTAD</t>
        </is>
      </c>
      <c r="I195" t="n">
        <v>10.3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12381-2026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46221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46523-2022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46221</v>
      </c>
      <c r="F197" t="inlineStr">
        <is>
          <t>VÄSTRA GÖTALANDS LÄN</t>
        </is>
      </c>
      <c r="G197" t="inlineStr">
        <is>
          <t>MARIESTAD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46221</v>
      </c>
      <c r="F198" t="inlineStr">
        <is>
          <t>VÄSTRA GÖTALANDS LÄN</t>
        </is>
      </c>
      <c r="G198" t="inlineStr">
        <is>
          <t>MARIESTAD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12380-2026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46221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36399-2024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45535</v>
      </c>
      <c r="E200" s="1" t="n">
        <v>46221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46221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46221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47194-2021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46221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58286-2022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46221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Kyrkan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46221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46221</v>
      </c>
      <c r="F206" t="inlineStr">
        <is>
          <t>VÄSTRA GÖTALANDS LÄN</t>
        </is>
      </c>
      <c r="G206" t="inlineStr">
        <is>
          <t>MARIESTAD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43466-2022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44836</v>
      </c>
      <c r="E207" s="1" t="n">
        <v>46221</v>
      </c>
      <c r="F207" t="inlineStr">
        <is>
          <t>VÄSTRA GÖTALANDS LÄN</t>
        </is>
      </c>
      <c r="G207" t="inlineStr">
        <is>
          <t>MARIESTAD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62633-2025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46221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46221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46221</v>
      </c>
      <c r="F210" t="inlineStr">
        <is>
          <t>VÄSTRA GÖTALANDS LÄN</t>
        </is>
      </c>
      <c r="G210" t="inlineStr">
        <is>
          <t>MARIESTAD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46221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46221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46873-2023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46221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46221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62772-2023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46221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46221</v>
      </c>
      <c r="F216" t="inlineStr">
        <is>
          <t>VÄSTRA GÖTALANDS LÄN</t>
        </is>
      </c>
      <c r="G216" t="inlineStr">
        <is>
          <t>MARIESTAD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46221</v>
      </c>
      <c r="F217" t="inlineStr">
        <is>
          <t>VÄSTRA GÖTALANDS LÄN</t>
        </is>
      </c>
      <c r="G217" t="inlineStr">
        <is>
          <t>MARIESTAD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46221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46221</v>
      </c>
      <c r="F219" t="inlineStr">
        <is>
          <t>VÄSTRA GÖTALANDS LÄN</t>
        </is>
      </c>
      <c r="G219" t="inlineStr">
        <is>
          <t>MARIESTAD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17166-2024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46221</v>
      </c>
      <c r="F220" t="inlineStr">
        <is>
          <t>VÄSTRA GÖTALANDS LÄN</t>
        </is>
      </c>
      <c r="G220" t="inlineStr">
        <is>
          <t>MARIESTAD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46221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17249-2026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46221</v>
      </c>
      <c r="F222" t="inlineStr">
        <is>
          <t>VÄSTRA GÖTALANDS LÄN</t>
        </is>
      </c>
      <c r="G222" t="inlineStr">
        <is>
          <t>MARIESTAD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44620</v>
      </c>
      <c r="E223" s="1" t="n">
        <v>46221</v>
      </c>
      <c r="F223" t="inlineStr">
        <is>
          <t>VÄSTRA GÖTALANDS LÄN</t>
        </is>
      </c>
      <c r="G223" t="inlineStr">
        <is>
          <t>MARIESTAD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46221</v>
      </c>
      <c r="F224" t="inlineStr">
        <is>
          <t>VÄSTRA GÖTALANDS LÄN</t>
        </is>
      </c>
      <c r="G224" t="inlineStr">
        <is>
          <t>MARIESTAD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70259-2021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46221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46221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11397-2022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44630</v>
      </c>
      <c r="E227" s="1" t="n">
        <v>46221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46221</v>
      </c>
      <c r="F228" t="inlineStr">
        <is>
          <t>VÄSTRA GÖTALANDS LÄN</t>
        </is>
      </c>
      <c r="G228" t="inlineStr">
        <is>
          <t>MARIESTAD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16466-2025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46221</v>
      </c>
      <c r="F229" t="inlineStr">
        <is>
          <t>VÄSTRA GÖTALANDS LÄN</t>
        </is>
      </c>
      <c r="G229" t="inlineStr">
        <is>
          <t>MARIESTAD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46221</v>
      </c>
      <c r="F230" t="inlineStr">
        <is>
          <t>VÄSTRA GÖTALANDS LÄN</t>
        </is>
      </c>
      <c r="G230" t="inlineStr">
        <is>
          <t>MARIESTAD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46221</v>
      </c>
      <c r="F231" t="inlineStr">
        <is>
          <t>VÄSTRA GÖTALANDS LÄN</t>
        </is>
      </c>
      <c r="G231" t="inlineStr">
        <is>
          <t>MARIESTAD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12011-2025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46221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45217</v>
      </c>
      <c r="E233" s="1" t="n">
        <v>46221</v>
      </c>
      <c r="F233" t="inlineStr">
        <is>
          <t>VÄSTRA GÖTALANDS LÄN</t>
        </is>
      </c>
      <c r="G233" t="inlineStr">
        <is>
          <t>MARIESTAD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13798-2022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46221</v>
      </c>
      <c r="F234" t="inlineStr">
        <is>
          <t>VÄSTRA GÖTALANDS LÄN</t>
        </is>
      </c>
      <c r="G234" t="inlineStr">
        <is>
          <t>MARIESTAD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11147-2022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44629</v>
      </c>
      <c r="E235" s="1" t="n">
        <v>46221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39766-2023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45167</v>
      </c>
      <c r="E236" s="1" t="n">
        <v>46221</v>
      </c>
      <c r="F236" t="inlineStr">
        <is>
          <t>VÄSTRA GÖTALANDS LÄN</t>
        </is>
      </c>
      <c r="G236" t="inlineStr">
        <is>
          <t>MARIESTAD</t>
        </is>
      </c>
      <c r="I236" t="n">
        <v>26.5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13315-2022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44645</v>
      </c>
      <c r="E237" s="1" t="n">
        <v>46221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12532-2022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44638</v>
      </c>
      <c r="E238" s="1" t="n">
        <v>46221</v>
      </c>
      <c r="F238" t="inlineStr">
        <is>
          <t>VÄSTRA GÖTALANDS LÄN</t>
        </is>
      </c>
      <c r="G238" t="inlineStr">
        <is>
          <t>MARIESTAD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46875-2023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46221</v>
      </c>
      <c r="F239" t="inlineStr">
        <is>
          <t>VÄSTRA GÖTALANDS LÄN</t>
        </is>
      </c>
      <c r="G239" t="inlineStr">
        <is>
          <t>MARIESTAD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46221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46221</v>
      </c>
      <c r="F241" t="inlineStr">
        <is>
          <t>VÄSTRA GÖTALANDS LÄN</t>
        </is>
      </c>
      <c r="G241" t="inlineStr">
        <is>
          <t>MARIESTAD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18129-2025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46221</v>
      </c>
      <c r="F242" t="inlineStr">
        <is>
          <t>VÄSTRA GÖTALANDS LÄN</t>
        </is>
      </c>
      <c r="G242" t="inlineStr">
        <is>
          <t>MARIESTAD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46221</v>
      </c>
      <c r="F243" t="inlineStr">
        <is>
          <t>VÄSTRA GÖTALANDS LÄN</t>
        </is>
      </c>
      <c r="G243" t="inlineStr">
        <is>
          <t>MARIESTAD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46221</v>
      </c>
      <c r="F244" t="inlineStr">
        <is>
          <t>VÄSTRA GÖTALANDS LÄN</t>
        </is>
      </c>
      <c r="G244" t="inlineStr">
        <is>
          <t>MARIESTAD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46221</v>
      </c>
      <c r="F245" t="inlineStr">
        <is>
          <t>VÄSTRA GÖTALANDS LÄN</t>
        </is>
      </c>
      <c r="G245" t="inlineStr">
        <is>
          <t>MARIESTAD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49184-2023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46221</v>
      </c>
      <c r="F246" t="inlineStr">
        <is>
          <t>VÄSTRA GÖTALANDS LÄN</t>
        </is>
      </c>
      <c r="G246" t="inlineStr">
        <is>
          <t>MARIESTAD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40455-2023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45170</v>
      </c>
      <c r="E247" s="1" t="n">
        <v>46221</v>
      </c>
      <c r="F247" t="inlineStr">
        <is>
          <t>VÄSTRA GÖTALANDS LÄN</t>
        </is>
      </c>
      <c r="G247" t="inlineStr">
        <is>
          <t>MARIESTAD</t>
        </is>
      </c>
      <c r="I247" t="n">
        <v>34.9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46221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58077-2022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46221</v>
      </c>
      <c r="F249" t="inlineStr">
        <is>
          <t>VÄSTRA GÖTALANDS LÄN</t>
        </is>
      </c>
      <c r="G249" t="inlineStr">
        <is>
          <t>MARIESTAD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46221</v>
      </c>
      <c r="F250" t="inlineStr">
        <is>
          <t>VÄSTRA GÖTALANDS LÄN</t>
        </is>
      </c>
      <c r="G250" t="inlineStr">
        <is>
          <t>MARIESTAD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46221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28053-2022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46221</v>
      </c>
      <c r="F252" t="inlineStr">
        <is>
          <t>VÄSTRA GÖTALANDS LÄN</t>
        </is>
      </c>
      <c r="G252" t="inlineStr">
        <is>
          <t>MARIESTAD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26345-2024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46221</v>
      </c>
      <c r="F253" t="inlineStr">
        <is>
          <t>VÄSTRA GÖTALANDS LÄN</t>
        </is>
      </c>
      <c r="G253" t="inlineStr">
        <is>
          <t>MARIESTAD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46221</v>
      </c>
      <c r="F254" t="inlineStr">
        <is>
          <t>VÄSTRA GÖTALANDS LÄN</t>
        </is>
      </c>
      <c r="G254" t="inlineStr">
        <is>
          <t>MARIESTAD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28050-2022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46221</v>
      </c>
      <c r="F255" t="inlineStr">
        <is>
          <t>VÄSTRA GÖTALANDS LÄN</t>
        </is>
      </c>
      <c r="G255" t="inlineStr">
        <is>
          <t>MARIESTAD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28056-2022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46221</v>
      </c>
      <c r="F256" t="inlineStr">
        <is>
          <t>VÄSTRA GÖTALANDS LÄN</t>
        </is>
      </c>
      <c r="G256" t="inlineStr">
        <is>
          <t>MARIESTAD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35047-2022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46221</v>
      </c>
      <c r="F257" t="inlineStr">
        <is>
          <t>VÄSTRA GÖTALANDS LÄN</t>
        </is>
      </c>
      <c r="G257" t="inlineStr">
        <is>
          <t>MARIESTAD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27116-2026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46221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61603-2023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45265</v>
      </c>
      <c r="E259" s="1" t="n">
        <v>46221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45761</v>
      </c>
      <c r="E260" s="1" t="n">
        <v>46221</v>
      </c>
      <c r="F260" t="inlineStr">
        <is>
          <t>VÄSTRA GÖTALANDS LÄN</t>
        </is>
      </c>
      <c r="G260" t="inlineStr">
        <is>
          <t>MARIESTAD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19553-2022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46221</v>
      </c>
      <c r="F261" t="inlineStr">
        <is>
          <t>VÄSTRA GÖTALANDS LÄN</t>
        </is>
      </c>
      <c r="G261" t="inlineStr">
        <is>
          <t>MARIESTAD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46221</v>
      </c>
      <c r="F262" t="inlineStr">
        <is>
          <t>VÄSTRA GÖTALANDS LÄN</t>
        </is>
      </c>
      <c r="G262" t="inlineStr">
        <is>
          <t>MARIESTAD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49389-2023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45211</v>
      </c>
      <c r="E263" s="1" t="n">
        <v>46221</v>
      </c>
      <c r="F263" t="inlineStr">
        <is>
          <t>VÄSTRA GÖTALANDS LÄN</t>
        </is>
      </c>
      <c r="G263" t="inlineStr">
        <is>
          <t>MARIESTAD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47009-2024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46221</v>
      </c>
      <c r="F264" t="inlineStr">
        <is>
          <t>VÄSTRA GÖTALANDS LÄN</t>
        </is>
      </c>
      <c r="G264" t="inlineStr">
        <is>
          <t>MARIESTAD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46221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46221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46221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46221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42161-2021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44426</v>
      </c>
      <c r="E269" s="1" t="n">
        <v>46221</v>
      </c>
      <c r="F269" t="inlineStr">
        <is>
          <t>VÄSTRA GÖTALANDS LÄN</t>
        </is>
      </c>
      <c r="G269" t="inlineStr">
        <is>
          <t>MARIESTAD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62765-2023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46221</v>
      </c>
      <c r="F270" t="inlineStr">
        <is>
          <t>VÄSTRA GÖTALANDS LÄN</t>
        </is>
      </c>
      <c r="G270" t="inlineStr">
        <is>
          <t>MARIESTAD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46221</v>
      </c>
      <c r="F271" t="inlineStr">
        <is>
          <t>VÄSTRA GÖTALANDS LÄN</t>
        </is>
      </c>
      <c r="G271" t="inlineStr">
        <is>
          <t>MARIESTAD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21361-2026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46221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22879-2026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46221</v>
      </c>
      <c r="F273" t="inlineStr">
        <is>
          <t>VÄSTRA GÖTALANDS LÄN</t>
        </is>
      </c>
      <c r="G273" t="inlineStr">
        <is>
          <t>MARIESTAD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22878-2026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46221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48269-2024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46221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46221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46221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46221</v>
      </c>
      <c r="F278" t="inlineStr">
        <is>
          <t>VÄSTRA GÖTALANDS LÄN</t>
        </is>
      </c>
      <c r="G278" t="inlineStr">
        <is>
          <t>MARIESTAD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46221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Naturvårdsverket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9610-2022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46221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44930</v>
      </c>
      <c r="E281" s="1" t="n">
        <v>46221</v>
      </c>
      <c r="F281" t="inlineStr">
        <is>
          <t>VÄSTRA GÖTALANDS LÄN</t>
        </is>
      </c>
      <c r="G281" t="inlineStr">
        <is>
          <t>MARIESTAD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46221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46221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46221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23454-2026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46221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29890-2026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46205</v>
      </c>
      <c r="E286" s="1" t="n">
        <v>46221</v>
      </c>
      <c r="F286" t="inlineStr">
        <is>
          <t>VÄSTRA GÖTALANDS LÄN</t>
        </is>
      </c>
      <c r="G286" t="inlineStr">
        <is>
          <t>MARIESTAD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23585-2026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46221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2391-2025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45674</v>
      </c>
      <c r="E288" s="1" t="n">
        <v>46221</v>
      </c>
      <c r="F288" t="inlineStr">
        <is>
          <t>VÄSTRA GÖTALANDS LÄN</t>
        </is>
      </c>
      <c r="G288" t="inlineStr">
        <is>
          <t>MARIESTAD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46221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49166-2023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46221</v>
      </c>
      <c r="F290" t="inlineStr">
        <is>
          <t>VÄSTRA GÖTALANDS LÄN</t>
        </is>
      </c>
      <c r="G290" t="inlineStr">
        <is>
          <t>MARIESTAD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46221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46221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61716-2022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46221</v>
      </c>
      <c r="F293" t="inlineStr">
        <is>
          <t>VÄSTRA GÖTALANDS LÄN</t>
        </is>
      </c>
      <c r="G293" t="inlineStr">
        <is>
          <t>MARIESTAD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40651-2024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46221</v>
      </c>
      <c r="F294" t="inlineStr">
        <is>
          <t>VÄSTRA GÖTALANDS LÄN</t>
        </is>
      </c>
      <c r="G294" t="inlineStr">
        <is>
          <t>MARIESTAD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46221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10192-2022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44622</v>
      </c>
      <c r="E296" s="1" t="n">
        <v>46221</v>
      </c>
      <c r="F296" t="inlineStr">
        <is>
          <t>VÄSTRA GÖTALANDS LÄN</t>
        </is>
      </c>
      <c r="G296" t="inlineStr">
        <is>
          <t>MARIESTAD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52626-2023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46221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9410-2022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46221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Kyrkan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46221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46221</v>
      </c>
      <c r="F300" t="inlineStr">
        <is>
          <t>VÄSTRA GÖTALANDS LÄN</t>
        </is>
      </c>
      <c r="G300" t="inlineStr">
        <is>
          <t>MARIESTAD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46221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29645-2026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46221</v>
      </c>
      <c r="F302" t="inlineStr">
        <is>
          <t>VÄSTRA GÖTALANDS LÄN</t>
        </is>
      </c>
      <c r="G302" t="inlineStr">
        <is>
          <t>MARIESTAD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70295-2021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44536</v>
      </c>
      <c r="E303" s="1" t="n">
        <v>46221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24412-2026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46221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27452-2023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46221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46221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45329</v>
      </c>
      <c r="E307" s="1" t="n">
        <v>46221</v>
      </c>
      <c r="F307" t="inlineStr">
        <is>
          <t>VÄSTRA GÖTALANDS LÄN</t>
        </is>
      </c>
      <c r="G307" t="inlineStr">
        <is>
          <t>MARIESTAD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46221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46221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46221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46221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46221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46221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46221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46221</v>
      </c>
      <c r="F315" t="inlineStr">
        <is>
          <t>VÄSTRA GÖTALANDS LÄN</t>
        </is>
      </c>
      <c r="G315" t="inlineStr">
        <is>
          <t>MARIESTAD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24730-2026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46171</v>
      </c>
      <c r="E316" s="1" t="n">
        <v>46221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44843</v>
      </c>
      <c r="E317" s="1" t="n">
        <v>46221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46221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46221</v>
      </c>
      <c r="F319" t="inlineStr">
        <is>
          <t>VÄSTRA GÖTALANDS LÄN</t>
        </is>
      </c>
      <c r="G319" t="inlineStr">
        <is>
          <t>MARIESTAD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46221</v>
      </c>
      <c r="F320" t="inlineStr">
        <is>
          <t>VÄSTRA GÖTALANDS LÄN</t>
        </is>
      </c>
      <c r="G320" t="inlineStr">
        <is>
          <t>MARIESTAD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48273-2024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46221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56344-2022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46221</v>
      </c>
      <c r="F322" t="inlineStr">
        <is>
          <t>VÄSTRA GÖTALANDS LÄN</t>
        </is>
      </c>
      <c r="G322" t="inlineStr">
        <is>
          <t>MARIESTAD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22236-2023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45070</v>
      </c>
      <c r="E323" s="1" t="n">
        <v>46221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65197-2023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45289</v>
      </c>
      <c r="E324" s="1" t="n">
        <v>46221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46221</v>
      </c>
      <c r="F325" t="inlineStr">
        <is>
          <t>VÄSTRA GÖTALANDS LÄN</t>
        </is>
      </c>
      <c r="G325" t="inlineStr">
        <is>
          <t>MARIESTAD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46221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31384-2022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44774</v>
      </c>
      <c r="E327" s="1" t="n">
        <v>46221</v>
      </c>
      <c r="F327" t="inlineStr">
        <is>
          <t>VÄSTRA GÖTALANDS LÄN</t>
        </is>
      </c>
      <c r="G327" t="inlineStr">
        <is>
          <t>MARIESTAD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46221</v>
      </c>
      <c r="F328" t="inlineStr">
        <is>
          <t>VÄSTRA GÖTALANDS LÄN</t>
        </is>
      </c>
      <c r="G328" t="inlineStr">
        <is>
          <t>MARIESTAD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46221</v>
      </c>
      <c r="F329" t="inlineStr">
        <is>
          <t>VÄSTRA GÖTALANDS LÄN</t>
        </is>
      </c>
      <c r="G329" t="inlineStr">
        <is>
          <t>MARIESTAD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51776-2023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46221</v>
      </c>
      <c r="F330" t="inlineStr">
        <is>
          <t>VÄSTRA GÖTALANDS LÄN</t>
        </is>
      </c>
      <c r="G330" t="inlineStr">
        <is>
          <t>MARIESTAD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46221</v>
      </c>
      <c r="F331" t="inlineStr">
        <is>
          <t>VÄSTRA GÖTALANDS LÄN</t>
        </is>
      </c>
      <c r="G331" t="inlineStr">
        <is>
          <t>MARIESTAD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7033-2024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46221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46221</v>
      </c>
      <c r="F333" t="inlineStr">
        <is>
          <t>VÄSTRA GÖTALANDS LÄN</t>
        </is>
      </c>
      <c r="G333" t="inlineStr">
        <is>
          <t>MARIESTAD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46221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46221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34253-2024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46221</v>
      </c>
      <c r="F336" t="inlineStr">
        <is>
          <t>VÄSTRA GÖTALANDS LÄN</t>
        </is>
      </c>
      <c r="G336" t="inlineStr">
        <is>
          <t>MARIESTAD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46221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46221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46221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21740-2025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46221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46221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46655-2021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44445</v>
      </c>
      <c r="E342" s="1" t="n">
        <v>46221</v>
      </c>
      <c r="F342" t="inlineStr">
        <is>
          <t>VÄSTRA GÖTALANDS LÄN</t>
        </is>
      </c>
      <c r="G342" t="inlineStr">
        <is>
          <t>MARIESTAD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46221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45516</v>
      </c>
      <c r="E344" s="1" t="n">
        <v>46221</v>
      </c>
      <c r="F344" t="inlineStr">
        <is>
          <t>VÄSTRA GÖTALANDS LÄN</t>
        </is>
      </c>
      <c r="G344" t="inlineStr">
        <is>
          <t>MARIESTAD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38376-2024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46221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46221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48324-2024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46221</v>
      </c>
      <c r="F347" t="inlineStr">
        <is>
          <t>VÄSTRA GÖTALANDS LÄN</t>
        </is>
      </c>
      <c r="G347" t="inlineStr">
        <is>
          <t>MARIESTAD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22975-2025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46221</v>
      </c>
      <c r="F348" t="inlineStr">
        <is>
          <t>VÄSTRA GÖTALANDS LÄN</t>
        </is>
      </c>
      <c r="G348" t="inlineStr">
        <is>
          <t>MARIESTAD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49385-2023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45211</v>
      </c>
      <c r="E349" s="1" t="n">
        <v>46221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66772-2021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44521</v>
      </c>
      <c r="E350" s="1" t="n">
        <v>46221</v>
      </c>
      <c r="F350" t="inlineStr">
        <is>
          <t>VÄSTRA GÖTALANDS LÄN</t>
        </is>
      </c>
      <c r="G350" t="inlineStr">
        <is>
          <t>MARIESTAD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46221</v>
      </c>
      <c r="F351" t="inlineStr">
        <is>
          <t>VÄSTRA GÖTALANDS LÄN</t>
        </is>
      </c>
      <c r="G351" t="inlineStr">
        <is>
          <t>MARIESTAD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9868-2025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46221</v>
      </c>
      <c r="F352" t="inlineStr">
        <is>
          <t>VÄSTRA GÖTALANDS LÄN</t>
        </is>
      </c>
      <c r="G352" t="inlineStr">
        <is>
          <t>MARIESTAD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46221</v>
      </c>
      <c r="F353" t="inlineStr">
        <is>
          <t>VÄSTRA GÖTALANDS LÄN</t>
        </is>
      </c>
      <c r="G353" t="inlineStr">
        <is>
          <t>MARIESTAD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46221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46221</v>
      </c>
      <c r="F355" t="inlineStr">
        <is>
          <t>VÄSTRA GÖTALANDS LÄN</t>
        </is>
      </c>
      <c r="G355" t="inlineStr">
        <is>
          <t>MARIESTAD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46221</v>
      </c>
      <c r="F356" t="inlineStr">
        <is>
          <t>VÄSTRA GÖTALANDS LÄN</t>
        </is>
      </c>
      <c r="G356" t="inlineStr">
        <is>
          <t>MARIESTAD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7580-2025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46221</v>
      </c>
      <c r="F357" t="inlineStr">
        <is>
          <t>VÄSTRA GÖTALANDS LÄN</t>
        </is>
      </c>
      <c r="G357" t="inlineStr">
        <is>
          <t>MARIESTAD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50575-2024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46221</v>
      </c>
      <c r="F358" t="inlineStr">
        <is>
          <t>VÄSTRA GÖTALANDS LÄN</t>
        </is>
      </c>
      <c r="G358" t="inlineStr">
        <is>
          <t>MARIESTAD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52869-2024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45610</v>
      </c>
      <c r="E359" s="1" t="n">
        <v>46221</v>
      </c>
      <c r="F359" t="inlineStr">
        <is>
          <t>VÄSTRA GÖTALANDS LÄN</t>
        </is>
      </c>
      <c r="G359" t="inlineStr">
        <is>
          <t>MARIESTAD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46221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46221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46221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46221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25950-2025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46221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46221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46221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46221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2026-07-18T01:20:57Z</dcterms:created>
  <dcterms:modified xmlns:dcterms="http://purl.org/dc/terms/" xmlns:xsi="http://www.w3.org/2001/XMLSchema-instance" xsi:type="dcterms:W3CDTF">2026-07-18T01:20:57Z</dcterms:modified>
</cp:coreProperties>
</file>