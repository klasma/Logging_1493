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46307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46307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46307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46307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46307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46307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46307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46307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21503-2024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45441</v>
      </c>
      <c r="E10" s="1" t="n">
        <v>46307</v>
      </c>
      <c r="F10" t="inlineStr">
        <is>
          <t>VÄSTRA GÖTALANDS LÄN</t>
        </is>
      </c>
      <c r="G10" t="inlineStr">
        <is>
          <t>MARIESTAD</t>
        </is>
      </c>
      <c r="H10" t="inlineStr">
        <is>
          <t>Kommuner</t>
        </is>
      </c>
      <c r="I10" t="n">
        <v>3.3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Krusfrö
Svinrot</t>
        </is>
      </c>
      <c r="W10">
        <f>HYPERLINK("https://klasma.github.io/Logging_1493/artfynd/A 21503-2024 artfynd.xlsx", "A 21503-2024")</f>
        <v/>
      </c>
      <c r="X10">
        <f>HYPERLINK("https://klasma.github.io/Logging_1493/kartor/A 21503-2024 karta.png", "A 21503-2024")</f>
        <v/>
      </c>
      <c r="Y10">
        <f>HYPERLINK("https://klasma.github.io/Logging_1493/kartor_geotiff/A 21503-2024 georefererad karta.tif", "A 21503-2024")</f>
        <v/>
      </c>
      <c r="AA10">
        <f>HYPERLINK("https://klasma.github.io/Logging_1493/klagomål/A 21503-2024 FSC-klagomål.docx", "A 21503-2024")</f>
        <v/>
      </c>
      <c r="AB10">
        <f>HYPERLINK("https://klasma.github.io/Logging_1493/klagomålsmail/A 21503-2024 FSC-klagomål mail.docx", "A 21503-2024")</f>
        <v/>
      </c>
      <c r="AC10">
        <f>HYPERLINK("https://klasma.github.io/Logging_1493/tillsyn/A 21503-2024 tillsynsbegäran.docx", "A 21503-2024")</f>
        <v/>
      </c>
      <c r="AD10">
        <f>HYPERLINK("https://klasma.github.io/Logging_1493/tillsynsmail/A 21503-2024 tillsynsbegäran mail.docx", "A 21503-2024")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46307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46307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5162-2024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45330</v>
      </c>
      <c r="E13" s="1" t="n">
        <v>46307</v>
      </c>
      <c r="F13" t="inlineStr">
        <is>
          <t>VÄSTRA GÖTALANDS LÄN</t>
        </is>
      </c>
      <c r="G13" t="inlineStr">
        <is>
          <t>MARIESTAD</t>
        </is>
      </c>
      <c r="I13" t="n">
        <v>0.5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Större brunfladdermus
Revlummer</t>
        </is>
      </c>
      <c r="W13">
        <f>HYPERLINK("https://klasma.github.io/Logging_1493/artfynd/A 5162-2024 artfynd.xlsx", "A 5162-2024")</f>
        <v/>
      </c>
      <c r="X13">
        <f>HYPERLINK("https://klasma.github.io/Logging_1493/kartor/A 5162-2024 karta.png", "A 5162-2024")</f>
        <v/>
      </c>
      <c r="Y13">
        <f>HYPERLINK("https://klasma.github.io/Logging_1493/kartor_geotiff/A 5162-2024 georefererad karta.tif", "A 5162-2024")</f>
        <v/>
      </c>
      <c r="AA13">
        <f>HYPERLINK("https://klasma.github.io/Logging_1493/klagomål/A 5162-2024 FSC-klagomål.docx", "A 5162-2024")</f>
        <v/>
      </c>
      <c r="AB13">
        <f>HYPERLINK("https://klasma.github.io/Logging_1493/klagomålsmail/A 5162-2024 FSC-klagomål mail.docx", "A 5162-2024")</f>
        <v/>
      </c>
      <c r="AC13">
        <f>HYPERLINK("https://klasma.github.io/Logging_1493/tillsyn/A 5162-2024 tillsynsbegäran.docx", "A 5162-2024")</f>
        <v/>
      </c>
      <c r="AD13">
        <f>HYPERLINK("https://klasma.github.io/Logging_1493/tillsynsmail/A 5162-2024 tillsynsbegäran mail.docx", "A 5162-2024")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46307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46886-2023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45201</v>
      </c>
      <c r="E15" s="1" t="n">
        <v>46307</v>
      </c>
      <c r="F15" t="inlineStr">
        <is>
          <t>VÄSTRA GÖTALANDS LÄN</t>
        </is>
      </c>
      <c r="G15" t="inlineStr">
        <is>
          <t>MARIESTAD</t>
        </is>
      </c>
      <c r="I15" t="n">
        <v>2.5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Skogshare
Spillkråka</t>
        </is>
      </c>
      <c r="W15">
        <f>HYPERLINK("https://klasma.github.io/Logging_1493/artfynd/A 46886-2023 artfynd.xlsx", "A 46886-2023")</f>
        <v/>
      </c>
      <c r="X15">
        <f>HYPERLINK("https://klasma.github.io/Logging_1493/kartor/A 46886-2023 karta.png", "A 46886-2023")</f>
        <v/>
      </c>
      <c r="Y15">
        <f>HYPERLINK("https://klasma.github.io/Logging_1493/kartor_geotiff/A 46886-2023 georefererad karta.tif", "A 46886-2023")</f>
        <v/>
      </c>
      <c r="AA15">
        <f>HYPERLINK("https://klasma.github.io/Logging_1493/klagomål/A 46886-2023 FSC-klagomål.docx", "A 46886-2023")</f>
        <v/>
      </c>
      <c r="AB15">
        <f>HYPERLINK("https://klasma.github.io/Logging_1493/klagomålsmail/A 46886-2023 FSC-klagomål mail.docx", "A 46886-2023")</f>
        <v/>
      </c>
      <c r="AC15">
        <f>HYPERLINK("https://klasma.github.io/Logging_1493/tillsyn/A 46886-2023 tillsynsbegäran.docx", "A 46886-2023")</f>
        <v/>
      </c>
      <c r="AD15">
        <f>HYPERLINK("https://klasma.github.io/Logging_1493/tillsynsmail/A 46886-2023 tillsynsbegäran mail.docx", "A 46886-2023")</f>
        <v/>
      </c>
      <c r="AE15">
        <f>HYPERLINK("https://klasma.github.io/Logging_1493/fåglar/A 46886-2023 prioriterade fågelarter.docx", "A 46886-2023")</f>
        <v/>
      </c>
    </row>
    <row r="16" ht="15" customHeight="1">
      <c r="A16" t="inlineStr">
        <is>
          <t>A 14947-2023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45015</v>
      </c>
      <c r="E16" s="1" t="n">
        <v>46307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Grönpyrola</t>
        </is>
      </c>
      <c r="W16">
        <f>HYPERLINK("https://klasma.github.io/Logging_1493/artfynd/A 14947-2023 artfynd.xlsx", "A 14947-2023")</f>
        <v/>
      </c>
      <c r="X16">
        <f>HYPERLINK("https://klasma.github.io/Logging_1493/kartor/A 14947-2023 karta.png", "A 14947-2023")</f>
        <v/>
      </c>
      <c r="Y16">
        <f>HYPERLINK("https://klasma.github.io/Logging_1493/kartor_geotiff/A 14947-2023 georefererad karta.tif", "A 14947-2023")</f>
        <v/>
      </c>
      <c r="Z16">
        <f>HYPERLINK("https://klasma.github.io/Logging_1493/knärot/A 14947-2023 karta knärot.png", "A 14947-2023")</f>
        <v/>
      </c>
      <c r="AA16">
        <f>HYPERLINK("https://klasma.github.io/Logging_1493/klagomål/A 14947-2023 FSC-klagomål.docx", "A 14947-2023")</f>
        <v/>
      </c>
      <c r="AB16">
        <f>HYPERLINK("https://klasma.github.io/Logging_1493/klagomålsmail/A 14947-2023 FSC-klagomål mail.docx", "A 14947-2023")</f>
        <v/>
      </c>
      <c r="AC16">
        <f>HYPERLINK("https://klasma.github.io/Logging_1493/tillsyn/A 14947-2023 tillsynsbegäran.docx", "A 14947-2023")</f>
        <v/>
      </c>
      <c r="AD16">
        <f>HYPERLINK("https://klasma.github.io/Logging_1493/tillsynsmail/A 14947-2023 tillsynsbegäran mail.docx", "A 14947-2023")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46307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46307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63287-2025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46009</v>
      </c>
      <c r="E19" s="1" t="n">
        <v>46307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Kyrkan</t>
        </is>
      </c>
      <c r="I19" t="n">
        <v>0.3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Ask
Tallticka</t>
        </is>
      </c>
      <c r="W19">
        <f>HYPERLINK("https://klasma.github.io/Logging_1493/artfynd/A 63287-2025 artfynd.xlsx", "A 63287-2025")</f>
        <v/>
      </c>
      <c r="X19">
        <f>HYPERLINK("https://klasma.github.io/Logging_1493/kartor/A 63287-2025 karta.png", "A 63287-2025")</f>
        <v/>
      </c>
      <c r="Y19">
        <f>HYPERLINK("https://klasma.github.io/Logging_1493/kartor_geotiff/A 63287-2025 georefererad karta.tif", "A 63287-2025")</f>
        <v/>
      </c>
      <c r="AA19">
        <f>HYPERLINK("https://klasma.github.io/Logging_1493/klagomål/A 63287-2025 FSC-klagomål.docx", "A 63287-2025")</f>
        <v/>
      </c>
      <c r="AB19">
        <f>HYPERLINK("https://klasma.github.io/Logging_1493/klagomålsmail/A 63287-2025 FSC-klagomål mail.docx", "A 63287-2025")</f>
        <v/>
      </c>
      <c r="AC19">
        <f>HYPERLINK("https://klasma.github.io/Logging_1493/tillsyn/A 63287-2025 tillsynsbegäran.docx", "A 63287-2025")</f>
        <v/>
      </c>
      <c r="AD19">
        <f>HYPERLINK("https://klasma.github.io/Logging_1493/tillsynsmail/A 63287-2025 tillsynsbegäran mail.docx", "A 63287-2025")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46307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46307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41069-2026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46307</v>
      </c>
      <c r="F22" t="inlineStr">
        <is>
          <t>VÄSTRA GÖTALANDS LÄN</t>
        </is>
      </c>
      <c r="G22" t="inlineStr">
        <is>
          <t>MARIESTAD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Åkergroda
Vanlig groda</t>
        </is>
      </c>
      <c r="W22">
        <f>HYPERLINK("https://klasma.github.io/Logging_1493/artfynd/A 41069-2026 artfynd.xlsx", "A 41069-2026")</f>
        <v/>
      </c>
      <c r="X22">
        <f>HYPERLINK("https://klasma.github.io/Logging_1493/kartor/A 41069-2026 karta.png", "A 41069-2026")</f>
        <v/>
      </c>
      <c r="Y22">
        <f>HYPERLINK("https://klasma.github.io/Logging_1493/kartor_geotiff/A 41069-2026 georefererad karta.tif", "A 41069-2026")</f>
        <v/>
      </c>
      <c r="AA22">
        <f>HYPERLINK("https://klasma.github.io/Logging_1493/klagomål/A 41069-2026 FSC-klagomål.docx", "A 41069-2026")</f>
        <v/>
      </c>
      <c r="AB22">
        <f>HYPERLINK("https://klasma.github.io/Logging_1493/klagomålsmail/A 41069-2026 FSC-klagomål mail.docx", "A 41069-2026")</f>
        <v/>
      </c>
      <c r="AC22">
        <f>HYPERLINK("https://klasma.github.io/Logging_1493/tillsyn/A 41069-2026 tillsynsbegäran.docx", "A 41069-2026")</f>
        <v/>
      </c>
      <c r="AD22">
        <f>HYPERLINK("https://klasma.github.io/Logging_1493/tillsynsmail/A 41069-2026 tillsynsbegäran mail.docx", "A 41069-2026")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46307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42647-2023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45181</v>
      </c>
      <c r="E24" s="1" t="n">
        <v>46307</v>
      </c>
      <c r="F24" t="inlineStr">
        <is>
          <t>VÄSTRA GÖTALANDS LÄN</t>
        </is>
      </c>
      <c r="G24" t="inlineStr">
        <is>
          <t>MARIESTAD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Ärtsångare</t>
        </is>
      </c>
      <c r="W24">
        <f>HYPERLINK("https://klasma.github.io/Logging_1493/artfynd/A 42647-2023 artfynd.xlsx", "A 42647-2023")</f>
        <v/>
      </c>
      <c r="X24">
        <f>HYPERLINK("https://klasma.github.io/Logging_1493/kartor/A 42647-2023 karta.png", "A 42647-2023")</f>
        <v/>
      </c>
      <c r="Y24">
        <f>HYPERLINK("https://klasma.github.io/Logging_1493/kartor_geotiff/A 42647-2023 georefererad karta.tif", "A 42647-2023")</f>
        <v/>
      </c>
      <c r="AA24">
        <f>HYPERLINK("https://klasma.github.io/Logging_1493/klagomål/A 42647-2023 FSC-klagomål.docx", "A 42647-2023")</f>
        <v/>
      </c>
      <c r="AB24">
        <f>HYPERLINK("https://klasma.github.io/Logging_1493/klagomålsmail/A 42647-2023 FSC-klagomål mail.docx", "A 42647-2023")</f>
        <v/>
      </c>
      <c r="AC24">
        <f>HYPERLINK("https://klasma.github.io/Logging_1493/tillsyn/A 42647-2023 tillsynsbegäran.docx", "A 42647-2023")</f>
        <v/>
      </c>
      <c r="AD24">
        <f>HYPERLINK("https://klasma.github.io/Logging_1493/tillsynsmail/A 42647-2023 tillsynsbegäran mail.docx", "A 42647-2023")</f>
        <v/>
      </c>
    </row>
    <row r="25" ht="15" customHeight="1">
      <c r="A25" t="inlineStr">
        <is>
          <t>A 49233-2023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46307</v>
      </c>
      <c r="F25" t="inlineStr">
        <is>
          <t>VÄSTRA GÖTALANDS LÄN</t>
        </is>
      </c>
      <c r="G25" t="inlineStr">
        <is>
          <t>MARIESTAD</t>
        </is>
      </c>
      <c r="I25" t="n">
        <v>6.1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Lönnlav</t>
        </is>
      </c>
      <c r="W25">
        <f>HYPERLINK("https://klasma.github.io/Logging_1493/artfynd/A 49233-2023 artfynd.xlsx", "A 49233-2023")</f>
        <v/>
      </c>
      <c r="X25">
        <f>HYPERLINK("https://klasma.github.io/Logging_1493/kartor/A 49233-2023 karta.png", "A 49233-2023")</f>
        <v/>
      </c>
      <c r="Y25">
        <f>HYPERLINK("https://klasma.github.io/Logging_1493/kartor_geotiff/A 49233-2023 georefererad karta.tif", "A 49233-2023")</f>
        <v/>
      </c>
      <c r="AA25">
        <f>HYPERLINK("https://klasma.github.io/Logging_1493/klagomål/A 49233-2023 FSC-klagomål.docx", "A 49233-2023")</f>
        <v/>
      </c>
      <c r="AB25">
        <f>HYPERLINK("https://klasma.github.io/Logging_1493/klagomålsmail/A 49233-2023 FSC-klagomål mail.docx", "A 49233-2023")</f>
        <v/>
      </c>
      <c r="AC25">
        <f>HYPERLINK("https://klasma.github.io/Logging_1493/tillsyn/A 49233-2023 tillsynsbegäran.docx", "A 49233-2023")</f>
        <v/>
      </c>
      <c r="AD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46307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HYPERLINK("https://klasma.github.io/Logging_1493/artfynd/A 9650-2025 artfynd.xlsx", "A 9650-2025")</f>
        <v/>
      </c>
      <c r="X26">
        <f>HYPERLINK("https://klasma.github.io/Logging_1493/kartor/A 9650-2025 karta.png", "A 9650-2025")</f>
        <v/>
      </c>
      <c r="Y26">
        <f>HYPERLINK("https://klasma.github.io/Logging_1493/kartor_geotiff/A 9650-2025 georefererad karta.tif", "A 9650-2025")</f>
        <v/>
      </c>
      <c r="AA26">
        <f>HYPERLINK("https://klasma.github.io/Logging_1493/klagomål/A 9650-2025 FSC-klagomål.docx", "A 9650-2025")</f>
        <v/>
      </c>
      <c r="AB26">
        <f>HYPERLINK("https://klasma.github.io/Logging_1493/klagomålsmail/A 9650-2025 FSC-klagomål mail.docx", "A 9650-2025")</f>
        <v/>
      </c>
      <c r="AC26">
        <f>HYPERLINK("https://klasma.github.io/Logging_1493/tillsyn/A 9650-2025 tillsynsbegäran.docx", "A 9650-2025")</f>
        <v/>
      </c>
      <c r="AD26">
        <f>HYPERLINK("https://klasma.github.io/Logging_1493/tillsynsmail/A 9650-2025 tillsynsbegäran mail.docx", "A 9650-2025")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46307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38580-2023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46307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Kommuner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Nattviol</t>
        </is>
      </c>
      <c r="W28">
        <f>HYPERLINK("https://klasma.github.io/Logging_1493/artfynd/A 38580-2023 artfynd.xlsx", "A 38580-2023")</f>
        <v/>
      </c>
      <c r="X28">
        <f>HYPERLINK("https://klasma.github.io/Logging_1493/kartor/A 38580-2023 karta.png", "A 38580-2023")</f>
        <v/>
      </c>
      <c r="Y28">
        <f>HYPERLINK("https://klasma.github.io/Logging_1493/kartor_geotiff/A 38580-2023 georefererad karta.tif", "A 38580-2023")</f>
        <v/>
      </c>
      <c r="AA28">
        <f>HYPERLINK("https://klasma.github.io/Logging_1493/klagomål/A 38580-2023 FSC-klagomål.docx", "A 38580-2023")</f>
        <v/>
      </c>
      <c r="AB28">
        <f>HYPERLINK("https://klasma.github.io/Logging_1493/klagomålsmail/A 38580-2023 FSC-klagomål mail.docx", "A 38580-2023")</f>
        <v/>
      </c>
      <c r="AC28">
        <f>HYPERLINK("https://klasma.github.io/Logging_1493/tillsyn/A 38580-2023 tillsynsbegäran.docx", "A 38580-2023")</f>
        <v/>
      </c>
      <c r="AD28">
        <f>HYPERLINK("https://klasma.github.io/Logging_1493/tillsynsmail/A 38580-2023 tillsynsbegäran mail.docx", "A 38580-2023")</f>
        <v/>
      </c>
    </row>
    <row r="29" ht="15" customHeight="1">
      <c r="A29" t="inlineStr">
        <is>
          <t>A 29151-2025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46307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HYPERLINK("https://klasma.github.io/Logging_1493/artfynd/A 29151-2025 artfynd.xlsx", "A 29151-2025")</f>
        <v/>
      </c>
      <c r="X29">
        <f>HYPERLINK("https://klasma.github.io/Logging_1493/kartor/A 29151-2025 karta.png", "A 29151-2025")</f>
        <v/>
      </c>
      <c r="Y29">
        <f>HYPERLINK("https://klasma.github.io/Logging_1493/kartor_geotiff/A 29151-2025 georefererad karta.tif", "A 29151-2025")</f>
        <v/>
      </c>
      <c r="AA29">
        <f>HYPERLINK("https://klasma.github.io/Logging_1493/klagomål/A 29151-2025 FSC-klagomål.docx", "A 29151-2025")</f>
        <v/>
      </c>
      <c r="AB29">
        <f>HYPERLINK("https://klasma.github.io/Logging_1493/klagomålsmail/A 29151-2025 FSC-klagomål mail.docx", "A 29151-2025")</f>
        <v/>
      </c>
      <c r="AC29">
        <f>HYPERLINK("https://klasma.github.io/Logging_1493/tillsyn/A 29151-2025 tillsynsbegäran.docx", "A 29151-2025")</f>
        <v/>
      </c>
      <c r="AD29">
        <f>HYPERLINK("https://klasma.github.io/Logging_1493/tillsynsmail/A 29151-2025 tillsynsbegäran mail.docx", "A 29151-2025")</f>
        <v/>
      </c>
    </row>
    <row r="30" ht="15" customHeight="1">
      <c r="A30" t="inlineStr">
        <is>
          <t>A 29152-2025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46307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HYPERLINK("https://klasma.github.io/Logging_1493/artfynd/A 29152-2025 artfynd.xlsx", "A 29152-2025")</f>
        <v/>
      </c>
      <c r="X30">
        <f>HYPERLINK("https://klasma.github.io/Logging_1493/kartor/A 29152-2025 karta.png", "A 29152-2025")</f>
        <v/>
      </c>
      <c r="Y30">
        <f>HYPERLINK("https://klasma.github.io/Logging_1493/kartor_geotiff/A 29152-2025 georefererad karta.tif", "A 29152-2025")</f>
        <v/>
      </c>
      <c r="AA30">
        <f>HYPERLINK("https://klasma.github.io/Logging_1493/klagomål/A 29152-2025 FSC-klagomål.docx", "A 29152-2025")</f>
        <v/>
      </c>
      <c r="AB30">
        <f>HYPERLINK("https://klasma.github.io/Logging_1493/klagomålsmail/A 29152-2025 FSC-klagomål mail.docx", "A 29152-2025")</f>
        <v/>
      </c>
      <c r="AC30">
        <f>HYPERLINK("https://klasma.github.io/Logging_1493/tillsyn/A 29152-2025 tillsynsbegäran.docx", "A 29152-2025")</f>
        <v/>
      </c>
      <c r="AD30">
        <f>HYPERLINK("https://klasma.github.io/Logging_1493/tillsynsmail/A 29152-2025 tillsynsbegäran mail.docx", "A 29152-2025")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46307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46307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59316-2025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45989</v>
      </c>
      <c r="E33" s="1" t="n">
        <v>46307</v>
      </c>
      <c r="F33" t="inlineStr">
        <is>
          <t>VÄSTRA GÖTALANDS LÄN</t>
        </is>
      </c>
      <c r="G33" t="inlineStr">
        <is>
          <t>MARIESTAD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Grönvit nattviol</t>
        </is>
      </c>
      <c r="W33">
        <f>HYPERLINK("https://klasma.github.io/Logging_1493/artfynd/A 59316-2025 artfynd.xlsx", "A 59316-2025")</f>
        <v/>
      </c>
      <c r="X33">
        <f>HYPERLINK("https://klasma.github.io/Logging_1493/kartor/A 59316-2025 karta.png", "A 59316-2025")</f>
        <v/>
      </c>
      <c r="Y33">
        <f>HYPERLINK("https://klasma.github.io/Logging_1493/kartor_geotiff/A 59316-2025 georefererad karta.tif", "A 59316-2025")</f>
        <v/>
      </c>
      <c r="AA33">
        <f>HYPERLINK("https://klasma.github.io/Logging_1493/klagomål/A 59316-2025 FSC-klagomål.docx", "A 59316-2025")</f>
        <v/>
      </c>
      <c r="AB33">
        <f>HYPERLINK("https://klasma.github.io/Logging_1493/klagomålsmail/A 59316-2025 FSC-klagomål mail.docx", "A 59316-2025")</f>
        <v/>
      </c>
      <c r="AC33">
        <f>HYPERLINK("https://klasma.github.io/Logging_1493/tillsyn/A 59316-2025 tillsynsbegäran.docx", "A 59316-2025")</f>
        <v/>
      </c>
      <c r="AD33">
        <f>HYPERLINK("https://klasma.github.io/Logging_1493/tillsynsmail/A 59316-2025 tillsynsbegäran mail.docx", "A 59316-2025")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46307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46307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46307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46307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46307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S 669-2025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45716</v>
      </c>
      <c r="E39" s="1" t="n">
        <v>46307</v>
      </c>
      <c r="F39" t="inlineStr">
        <is>
          <t>VÄSTRA GÖTALANDS LÄN</t>
        </is>
      </c>
      <c r="G39" t="inlineStr">
        <is>
          <t>MARIESTAD</t>
        </is>
      </c>
      <c r="I39" t="n">
        <v>14.4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Revlummer</t>
        </is>
      </c>
      <c r="W39">
        <f>HYPERLINK("https://klasma.github.io/Logging_1493/artfynd/S 669-2025 artfynd.xlsx", "S 669-2025")</f>
        <v/>
      </c>
      <c r="X39">
        <f>HYPERLINK("https://klasma.github.io/Logging_1493/kartor/S 669-2025 karta.png", "S 669-2025")</f>
        <v/>
      </c>
      <c r="Y39">
        <f>HYPERLINK("https://klasma.github.io/Logging_1493/kartor_geotiff/S 669-2025 georefererad karta.tif", "S 669-2025")</f>
        <v/>
      </c>
      <c r="AA39">
        <f>HYPERLINK("https://klasma.github.io/Logging_1493/klagomål/S 669-2025 FSC-klagomål.docx", "S 669-2025")</f>
        <v/>
      </c>
      <c r="AB39">
        <f>HYPERLINK("https://klasma.github.io/Logging_1493/klagomålsmail/S 669-2025 FSC-klagomål mail.docx", "S 669-2025")</f>
        <v/>
      </c>
      <c r="AC39">
        <f>HYPERLINK("https://klasma.github.io/Logging_1493/tillsyn/S 669-2025 tillsynsbegäran.docx", "S 669-2025")</f>
        <v/>
      </c>
      <c r="AD39">
        <f>HYPERLINK("https://klasma.github.io/Logging_1493/tillsynsmail/S 669-2025 tillsynsbegäran mail.docx", "S 669-2025")</f>
        <v/>
      </c>
    </row>
    <row r="40" ht="15" customHeight="1">
      <c r="A40" t="inlineStr">
        <is>
          <t>S 1616-2025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45797</v>
      </c>
      <c r="E40" s="1" t="n">
        <v>46307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HYPERLINK("https://klasma.github.io/Logging_1493/artfynd/S 1616-2025 artfynd.xlsx", "S 1616-2025")</f>
        <v/>
      </c>
      <c r="X40">
        <f>HYPERLINK("https://klasma.github.io/Logging_1493/kartor/S 1616-2025 karta.png", "S 1616-2025")</f>
        <v/>
      </c>
      <c r="Y40">
        <f>HYPERLINK("https://klasma.github.io/Logging_1493/kartor_geotiff/S 1616-2025 georefererad karta.tif", "S 1616-2025")</f>
        <v/>
      </c>
      <c r="AA40">
        <f>HYPERLINK("https://klasma.github.io/Logging_1493/klagomål/S 1616-2025 FSC-klagomål.docx", "S 1616-2025")</f>
        <v/>
      </c>
      <c r="AB40">
        <f>HYPERLINK("https://klasma.github.io/Logging_1493/klagomålsmail/S 1616-2025 FSC-klagomål mail.docx", "S 1616-2025")</f>
        <v/>
      </c>
      <c r="AC40">
        <f>HYPERLINK("https://klasma.github.io/Logging_1493/tillsyn/S 1616-2025 tillsynsbegäran.docx", "S 1616-2025")</f>
        <v/>
      </c>
      <c r="AD40">
        <f>HYPERLINK("https://klasma.github.io/Logging_1493/tillsynsmail/S 1616-2025 tillsynsbegäran mail.docx", "S 1616-2025")</f>
        <v/>
      </c>
    </row>
    <row r="41" ht="15" customHeight="1">
      <c r="A41" t="inlineStr">
        <is>
          <t>S 1867-2025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45821</v>
      </c>
      <c r="E41" s="1" t="n">
        <v>46307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Blodticka</t>
        </is>
      </c>
      <c r="W41">
        <f>HYPERLINK("https://klasma.github.io/Logging_1493/artfynd/S 1867-2025 artfynd.xlsx", "S 1867-2025")</f>
        <v/>
      </c>
      <c r="X41">
        <f>HYPERLINK("https://klasma.github.io/Logging_1493/kartor/S 1867-2025 karta.png", "S 1867-2025")</f>
        <v/>
      </c>
      <c r="Y41">
        <f>HYPERLINK("https://klasma.github.io/Logging_1493/kartor_geotiff/S 1867-2025 georefererad karta.tif", "S 1867-2025")</f>
        <v/>
      </c>
      <c r="AA41">
        <f>HYPERLINK("https://klasma.github.io/Logging_1493/klagomål/S 1867-2025 FSC-klagomål.docx", "S 1867-2025")</f>
        <v/>
      </c>
      <c r="AB41">
        <f>HYPERLINK("https://klasma.github.io/Logging_1493/klagomålsmail/S 1867-2025 FSC-klagomål mail.docx", "S 1867-2025")</f>
        <v/>
      </c>
      <c r="AC41">
        <f>HYPERLINK("https://klasma.github.io/Logging_1493/tillsyn/S 1867-2025 tillsynsbegäran.docx", "S 1867-2025")</f>
        <v/>
      </c>
      <c r="AD41">
        <f>HYPERLINK("https://klasma.github.io/Logging_1493/tillsynsmail/S 1867-2025 tillsynsbegäran mail.docx", "S 1867-2025")</f>
        <v/>
      </c>
    </row>
    <row r="42" ht="15" customHeight="1">
      <c r="A42" t="inlineStr">
        <is>
          <t>S 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45703</v>
      </c>
      <c r="E42" s="1" t="n">
        <v>46307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Oxtungssvamp</t>
        </is>
      </c>
      <c r="W42">
        <f>HYPERLINK("https://klasma.github.io/Logging_1493/artfynd/S 484-2025 artfynd.xlsx", "S 484-2025")</f>
        <v/>
      </c>
      <c r="X42">
        <f>HYPERLINK("https://klasma.github.io/Logging_1493/kartor/S 484-2025 karta.png", "S 484-2025")</f>
        <v/>
      </c>
      <c r="Y42">
        <f>HYPERLINK("https://klasma.github.io/Logging_1493/kartor_geotiff/S 484-2025 georefererad karta.tif", "S 484-2025")</f>
        <v/>
      </c>
      <c r="AA42">
        <f>HYPERLINK("https://klasma.github.io/Logging_1493/klagomål/S 484-2025 FSC-klagomål.docx", "S 484-2025")</f>
        <v/>
      </c>
      <c r="AB42">
        <f>HYPERLINK("https://klasma.github.io/Logging_1493/klagomålsmail/S 484-2025 FSC-klagomål mail.docx", "S 484-2025")</f>
        <v/>
      </c>
      <c r="AC42">
        <f>HYPERLINK("https://klasma.github.io/Logging_1493/tillsyn/S 484-2025 tillsynsbegäran.docx", "S 484-2025")</f>
        <v/>
      </c>
      <c r="AD42">
        <f>HYPERLINK("https://klasma.github.io/Logging_1493/tillsynsmail/S 484-2025 tillsynsbegäran mail.docx", "S 484-2025")</f>
        <v/>
      </c>
    </row>
    <row r="43" ht="15" customHeight="1">
      <c r="A43" t="inlineStr">
        <is>
          <t>S 483-2025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46307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HYPERLINK("https://klasma.github.io/Logging_1493/artfynd/S 483-2025 artfynd.xlsx", "S 483-2025")</f>
        <v/>
      </c>
      <c r="X43">
        <f>HYPERLINK("https://klasma.github.io/Logging_1493/kartor/S 483-2025 karta.png", "S 483-2025")</f>
        <v/>
      </c>
      <c r="Y43">
        <f>HYPERLINK("https://klasma.github.io/Logging_1493/kartor_geotiff/S 483-2025 georefererad karta.tif", "S 483-2025")</f>
        <v/>
      </c>
      <c r="AA43">
        <f>HYPERLINK("https://klasma.github.io/Logging_1493/klagomål/S 483-2025 FSC-klagomål.docx", "S 483-2025")</f>
        <v/>
      </c>
      <c r="AB43">
        <f>HYPERLINK("https://klasma.github.io/Logging_1493/klagomålsmail/S 483-2025 FSC-klagomål mail.docx", "S 483-2025")</f>
        <v/>
      </c>
      <c r="AC43">
        <f>HYPERLINK("https://klasma.github.io/Logging_1493/tillsyn/S 483-2025 tillsynsbegäran.docx", "S 483-2025")</f>
        <v/>
      </c>
      <c r="AD43">
        <f>HYPERLINK("https://klasma.github.io/Logging_1493/tillsynsmail/S 483-2025 tillsynsbegäran mail.docx", "S 483-2025")</f>
        <v/>
      </c>
    </row>
    <row r="44" ht="15" customHeight="1">
      <c r="A44" t="inlineStr">
        <is>
          <t>A 9774-2022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44619</v>
      </c>
      <c r="E44" s="1" t="n">
        <v>46307</v>
      </c>
      <c r="F44" t="inlineStr">
        <is>
          <t>VÄSTRA GÖTALANDS LÄN</t>
        </is>
      </c>
      <c r="G44" t="inlineStr">
        <is>
          <t>MARIESTAD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44574</v>
      </c>
      <c r="E45" s="1" t="n">
        <v>46307</v>
      </c>
      <c r="F45" t="inlineStr">
        <is>
          <t>VÄSTRA GÖTALANDS LÄN</t>
        </is>
      </c>
      <c r="G45" t="inlineStr">
        <is>
          <t>MARIESTAD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46307</v>
      </c>
      <c r="F46" t="inlineStr">
        <is>
          <t>VÄSTRA GÖTALANDS LÄN</t>
        </is>
      </c>
      <c r="G46" t="inlineStr">
        <is>
          <t>MARIESTAD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46307</v>
      </c>
      <c r="F47" t="inlineStr">
        <is>
          <t>VÄSTRA GÖTALANDS LÄN</t>
        </is>
      </c>
      <c r="G47" t="inlineStr">
        <is>
          <t>MARIESTAD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46307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71210-2021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44539</v>
      </c>
      <c r="E49" s="1" t="n">
        <v>46307</v>
      </c>
      <c r="F49" t="inlineStr">
        <is>
          <t>VÄSTRA GÖTALANDS LÄN</t>
        </is>
      </c>
      <c r="G49" t="inlineStr">
        <is>
          <t>MARIESTAD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67146-2021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46307</v>
      </c>
      <c r="F50" t="inlineStr">
        <is>
          <t>VÄSTRA GÖTALANDS LÄN</t>
        </is>
      </c>
      <c r="G50" t="inlineStr">
        <is>
          <t>MARIESTAD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44614</v>
      </c>
      <c r="E51" s="1" t="n">
        <v>46307</v>
      </c>
      <c r="F51" t="inlineStr">
        <is>
          <t>VÄSTRA GÖTALANDS LÄN</t>
        </is>
      </c>
      <c r="G51" t="inlineStr">
        <is>
          <t>MARIESTAD</t>
        </is>
      </c>
      <c r="H51" t="inlineStr">
        <is>
          <t>Kyrkan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44766</v>
      </c>
      <c r="E52" s="1" t="n">
        <v>46307</v>
      </c>
      <c r="F52" t="inlineStr">
        <is>
          <t>VÄSTRA GÖTALANDS LÄN</t>
        </is>
      </c>
      <c r="G52" t="inlineStr">
        <is>
          <t>MARIESTAD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44880</v>
      </c>
      <c r="E53" s="1" t="n">
        <v>46307</v>
      </c>
      <c r="F53" t="inlineStr">
        <is>
          <t>VÄSTRA GÖTALANDS LÄN</t>
        </is>
      </c>
      <c r="G53" t="inlineStr">
        <is>
          <t>MARIESTAD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46307</v>
      </c>
      <c r="F54" t="inlineStr">
        <is>
          <t>VÄSTRA GÖTALANDS LÄN</t>
        </is>
      </c>
      <c r="G54" t="inlineStr">
        <is>
          <t>MARIESTAD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46307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46307</v>
      </c>
      <c r="F56" t="inlineStr">
        <is>
          <t>VÄSTRA GÖTALANDS LÄN</t>
        </is>
      </c>
      <c r="G56" t="inlineStr">
        <is>
          <t>MARIESTAD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46307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46307</v>
      </c>
      <c r="F58" t="inlineStr">
        <is>
          <t>VÄSTRA GÖTALANDS LÄN</t>
        </is>
      </c>
      <c r="G58" t="inlineStr">
        <is>
          <t>MARIESTAD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19544-2022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44693</v>
      </c>
      <c r="E59" s="1" t="n">
        <v>46307</v>
      </c>
      <c r="F59" t="inlineStr">
        <is>
          <t>VÄSTRA GÖTALANDS LÄN</t>
        </is>
      </c>
      <c r="G59" t="inlineStr">
        <is>
          <t>MARIESTAD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46307</v>
      </c>
      <c r="F60" t="inlineStr">
        <is>
          <t>VÄSTRA GÖTALANDS LÄN</t>
        </is>
      </c>
      <c r="G60" t="inlineStr">
        <is>
          <t>MARIESTAD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46307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46307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17139-2024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45412</v>
      </c>
      <c r="E63" s="1" t="n">
        <v>46307</v>
      </c>
      <c r="F63" t="inlineStr">
        <is>
          <t>VÄSTRA GÖTALANDS LÄN</t>
        </is>
      </c>
      <c r="G63" t="inlineStr">
        <is>
          <t>MARIESTAD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45412</v>
      </c>
      <c r="E64" s="1" t="n">
        <v>46307</v>
      </c>
      <c r="F64" t="inlineStr">
        <is>
          <t>VÄSTRA GÖTALANDS LÄN</t>
        </is>
      </c>
      <c r="G64" t="inlineStr">
        <is>
          <t>MARIESTAD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46307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46307</v>
      </c>
      <c r="F66" t="inlineStr">
        <is>
          <t>VÄSTRA GÖTALANDS LÄN</t>
        </is>
      </c>
      <c r="G66" t="inlineStr">
        <is>
          <t>MARIESTAD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46307</v>
      </c>
      <c r="F67" t="inlineStr">
        <is>
          <t>VÄSTRA GÖTALANDS LÄN</t>
        </is>
      </c>
      <c r="G67" t="inlineStr">
        <is>
          <t>MARIESTAD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45097</v>
      </c>
      <c r="E68" s="1" t="n">
        <v>46307</v>
      </c>
      <c r="F68" t="inlineStr">
        <is>
          <t>VÄSTRA GÖTALANDS LÄN</t>
        </is>
      </c>
      <c r="G68" t="inlineStr">
        <is>
          <t>MARIESTAD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46307</v>
      </c>
      <c r="F69" t="inlineStr">
        <is>
          <t>VÄSTRA GÖTALANDS LÄN</t>
        </is>
      </c>
      <c r="G69" t="inlineStr">
        <is>
          <t>MARIESTAD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46307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46307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Kyrkan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46307</v>
      </c>
      <c r="F72" t="inlineStr">
        <is>
          <t>VÄSTRA GÖTALANDS LÄN</t>
        </is>
      </c>
      <c r="G72" t="inlineStr">
        <is>
          <t>MARIESTAD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46307</v>
      </c>
      <c r="F73" t="inlineStr">
        <is>
          <t>VÄSTRA GÖTALANDS LÄN</t>
        </is>
      </c>
      <c r="G73" t="inlineStr">
        <is>
          <t>MARIESTAD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46307</v>
      </c>
      <c r="F74" t="inlineStr">
        <is>
          <t>VÄSTRA GÖTALANDS LÄN</t>
        </is>
      </c>
      <c r="G74" t="inlineStr">
        <is>
          <t>MARIESTAD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44836</v>
      </c>
      <c r="E75" s="1" t="n">
        <v>46307</v>
      </c>
      <c r="F75" t="inlineStr">
        <is>
          <t>VÄSTRA GÖTALANDS LÄN</t>
        </is>
      </c>
      <c r="G75" t="inlineStr">
        <is>
          <t>MARIESTAD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46307</v>
      </c>
      <c r="F76" t="inlineStr">
        <is>
          <t>VÄSTRA GÖTALANDS LÄN</t>
        </is>
      </c>
      <c r="G76" t="inlineStr">
        <is>
          <t>MARIESTAD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46307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46307</v>
      </c>
      <c r="F78" t="inlineStr">
        <is>
          <t>VÄSTRA GÖTALANDS LÄN</t>
        </is>
      </c>
      <c r="G78" t="inlineStr">
        <is>
          <t>MARIESTAD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46307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46307</v>
      </c>
      <c r="F80" t="inlineStr">
        <is>
          <t>VÄSTRA GÖTALANDS LÄN</t>
        </is>
      </c>
      <c r="G80" t="inlineStr">
        <is>
          <t>MARIESTAD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46307</v>
      </c>
      <c r="F81" t="inlineStr">
        <is>
          <t>VÄSTRA GÖTALANDS LÄN</t>
        </is>
      </c>
      <c r="G81" t="inlineStr">
        <is>
          <t>MARIESTAD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46307</v>
      </c>
      <c r="F82" t="inlineStr">
        <is>
          <t>VÄSTRA GÖTALANDS LÄN</t>
        </is>
      </c>
      <c r="G82" t="inlineStr">
        <is>
          <t>MARIESTAD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45211</v>
      </c>
      <c r="E83" s="1" t="n">
        <v>46307</v>
      </c>
      <c r="F83" t="inlineStr">
        <is>
          <t>VÄSTRA GÖTALANDS LÄN</t>
        </is>
      </c>
      <c r="G83" t="inlineStr">
        <is>
          <t>MARIESTAD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46307</v>
      </c>
      <c r="F84" t="inlineStr">
        <is>
          <t>VÄSTRA GÖTALANDS LÄN</t>
        </is>
      </c>
      <c r="G84" t="inlineStr">
        <is>
          <t>MARIESTAD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46307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45343</v>
      </c>
      <c r="E86" s="1" t="n">
        <v>46307</v>
      </c>
      <c r="F86" t="inlineStr">
        <is>
          <t>VÄSTRA GÖTALANDS LÄN</t>
        </is>
      </c>
      <c r="G86" t="inlineStr">
        <is>
          <t>MARIESTAD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45211</v>
      </c>
      <c r="E87" s="1" t="n">
        <v>46307</v>
      </c>
      <c r="F87" t="inlineStr">
        <is>
          <t>VÄSTRA GÖTALANDS LÄN</t>
        </is>
      </c>
      <c r="G87" t="inlineStr">
        <is>
          <t>MARIESTAD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46307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46307</v>
      </c>
      <c r="F89" t="inlineStr">
        <is>
          <t>VÄSTRA GÖTALANDS LÄN</t>
        </is>
      </c>
      <c r="G89" t="inlineStr">
        <is>
          <t>MARIESTAD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44553</v>
      </c>
      <c r="E90" s="1" t="n">
        <v>46307</v>
      </c>
      <c r="F90" t="inlineStr">
        <is>
          <t>VÄSTRA GÖTALANDS LÄN</t>
        </is>
      </c>
      <c r="G90" t="inlineStr">
        <is>
          <t>MARIESTAD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33571-2023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45131</v>
      </c>
      <c r="E91" s="1" t="n">
        <v>46307</v>
      </c>
      <c r="F91" t="inlineStr">
        <is>
          <t>VÄSTRA GÖTALANDS LÄN</t>
        </is>
      </c>
      <c r="G91" t="inlineStr">
        <is>
          <t>MARIESTAD</t>
        </is>
      </c>
      <c r="I91" t="n">
        <v>16.1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46307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46307</v>
      </c>
      <c r="F93" t="inlineStr">
        <is>
          <t>VÄSTRA GÖTALANDS LÄN</t>
        </is>
      </c>
      <c r="G93" t="inlineStr">
        <is>
          <t>MARIESTAD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44843</v>
      </c>
      <c r="E94" s="1" t="n">
        <v>46307</v>
      </c>
      <c r="F94" t="inlineStr">
        <is>
          <t>VÄSTRA GÖTALANDS LÄN</t>
        </is>
      </c>
      <c r="G94" t="inlineStr">
        <is>
          <t>MARIESTAD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44935</v>
      </c>
      <c r="E95" s="1" t="n">
        <v>46307</v>
      </c>
      <c r="F95" t="inlineStr">
        <is>
          <t>VÄSTRA GÖTALANDS LÄN</t>
        </is>
      </c>
      <c r="G95" t="inlineStr">
        <is>
          <t>MARIESTAD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45371</v>
      </c>
      <c r="E96" s="1" t="n">
        <v>46307</v>
      </c>
      <c r="F96" t="inlineStr">
        <is>
          <t>VÄSTRA GÖTALANDS LÄN</t>
        </is>
      </c>
      <c r="G96" t="inlineStr">
        <is>
          <t>MARIESTAD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46307</v>
      </c>
      <c r="F97" t="inlineStr">
        <is>
          <t>VÄSTRA GÖTALANDS LÄN</t>
        </is>
      </c>
      <c r="G97" t="inlineStr">
        <is>
          <t>MARIESTAD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46307</v>
      </c>
      <c r="F98" t="inlineStr">
        <is>
          <t>VÄSTRA GÖTALANDS LÄN</t>
        </is>
      </c>
      <c r="G98" t="inlineStr">
        <is>
          <t>MARIESTAD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46307</v>
      </c>
      <c r="F99" t="inlineStr">
        <is>
          <t>VÄSTRA GÖTALANDS LÄN</t>
        </is>
      </c>
      <c r="G99" t="inlineStr">
        <is>
          <t>MARIESTAD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45590</v>
      </c>
      <c r="E100" s="1" t="n">
        <v>46307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Kyrkan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46307</v>
      </c>
      <c r="F101" t="inlineStr">
        <is>
          <t>VÄSTRA GÖTALANDS LÄN</t>
        </is>
      </c>
      <c r="G101" t="inlineStr">
        <is>
          <t>MARIESTAD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45516</v>
      </c>
      <c r="E102" s="1" t="n">
        <v>46307</v>
      </c>
      <c r="F102" t="inlineStr">
        <is>
          <t>VÄSTRA GÖTALANDS LÄN</t>
        </is>
      </c>
      <c r="G102" t="inlineStr">
        <is>
          <t>MARIESTAD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45070</v>
      </c>
      <c r="E103" s="1" t="n">
        <v>46307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65197-2023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45289</v>
      </c>
      <c r="E104" s="1" t="n">
        <v>46307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46307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46307</v>
      </c>
      <c r="F106" t="inlineStr">
        <is>
          <t>VÄSTRA GÖTALANDS LÄN</t>
        </is>
      </c>
      <c r="G106" t="inlineStr">
        <is>
          <t>MARIESTAD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61601-2023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45265</v>
      </c>
      <c r="E107" s="1" t="n">
        <v>46307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46307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46307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46307</v>
      </c>
      <c r="F110" t="inlineStr">
        <is>
          <t>VÄSTRA GÖTALANDS LÄN</t>
        </is>
      </c>
      <c r="G110" t="inlineStr">
        <is>
          <t>MARIESTAD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45271</v>
      </c>
      <c r="E111" s="1" t="n">
        <v>46307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31384-2022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46307</v>
      </c>
      <c r="F112" t="inlineStr">
        <is>
          <t>VÄSTRA GÖTALANDS LÄN</t>
        </is>
      </c>
      <c r="G112" t="inlineStr">
        <is>
          <t>MARIESTAD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58598-2021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46307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44756</v>
      </c>
      <c r="E114" s="1" t="n">
        <v>46307</v>
      </c>
      <c r="F114" t="inlineStr">
        <is>
          <t>VÄSTRA GÖTALANDS LÄN</t>
        </is>
      </c>
      <c r="G114" t="inlineStr">
        <is>
          <t>MARIESTAD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46307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46307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Sveaskog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46307</v>
      </c>
      <c r="F117" t="inlineStr">
        <is>
          <t>VÄSTRA GÖTALANDS LÄN</t>
        </is>
      </c>
      <c r="G117" t="inlineStr">
        <is>
          <t>MARIESTAD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46307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46307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46307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51776-2023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46307</v>
      </c>
      <c r="F121" t="inlineStr">
        <is>
          <t>VÄSTRA GÖTALANDS LÄN</t>
        </is>
      </c>
      <c r="G121" t="inlineStr">
        <is>
          <t>MARIESTAD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46307</v>
      </c>
      <c r="F122" t="inlineStr">
        <is>
          <t>VÄSTRA GÖTALANDS LÄN</t>
        </is>
      </c>
      <c r="G122" t="inlineStr">
        <is>
          <t>MARIESTAD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45412</v>
      </c>
      <c r="E123" s="1" t="n">
        <v>46307</v>
      </c>
      <c r="F123" t="inlineStr">
        <is>
          <t>VÄSTRA GÖTALANDS LÄN</t>
        </is>
      </c>
      <c r="G123" t="inlineStr">
        <is>
          <t>MARIESTAD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44957</v>
      </c>
      <c r="E124" s="1" t="n">
        <v>46307</v>
      </c>
      <c r="F124" t="inlineStr">
        <is>
          <t>VÄSTRA GÖTALANDS LÄN</t>
        </is>
      </c>
      <c r="G124" t="inlineStr">
        <is>
          <t>MARIESTAD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45397</v>
      </c>
      <c r="E125" s="1" t="n">
        <v>46307</v>
      </c>
      <c r="F125" t="inlineStr">
        <is>
          <t>VÄSTRA GÖTALANDS LÄN</t>
        </is>
      </c>
      <c r="G125" t="inlineStr">
        <is>
          <t>MARIESTAD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66771-2021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44521</v>
      </c>
      <c r="E126" s="1" t="n">
        <v>46307</v>
      </c>
      <c r="F126" t="inlineStr">
        <is>
          <t>VÄSTRA GÖTALANDS LÄN</t>
        </is>
      </c>
      <c r="G126" t="inlineStr">
        <is>
          <t>MARIESTAD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46307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46307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45722</v>
      </c>
      <c r="E129" s="1" t="n">
        <v>46307</v>
      </c>
      <c r="F129" t="inlineStr">
        <is>
          <t>VÄSTRA GÖTALANDS LÄN</t>
        </is>
      </c>
      <c r="G129" t="inlineStr">
        <is>
          <t>MARIESTAD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46307</v>
      </c>
      <c r="F130" t="inlineStr">
        <is>
          <t>VÄSTRA GÖTALANDS LÄN</t>
        </is>
      </c>
      <c r="G130" t="inlineStr">
        <is>
          <t>MARIESTAD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46307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46307</v>
      </c>
      <c r="F132" t="inlineStr">
        <is>
          <t>VÄSTRA GÖTALANDS LÄN</t>
        </is>
      </c>
      <c r="G132" t="inlineStr">
        <is>
          <t>MARIESTAD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46307</v>
      </c>
      <c r="F133" t="inlineStr">
        <is>
          <t>VÄSTRA GÖTALANDS LÄN</t>
        </is>
      </c>
      <c r="G133" t="inlineStr">
        <is>
          <t>MARIESTAD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46307</v>
      </c>
      <c r="F134" t="inlineStr">
        <is>
          <t>VÄSTRA GÖTALANDS LÄN</t>
        </is>
      </c>
      <c r="G134" t="inlineStr">
        <is>
          <t>MARIESTAD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45384</v>
      </c>
      <c r="E135" s="1" t="n">
        <v>46307</v>
      </c>
      <c r="F135" t="inlineStr">
        <is>
          <t>VÄSTRA GÖTALANDS LÄN</t>
        </is>
      </c>
      <c r="G135" t="inlineStr">
        <is>
          <t>MARIESTAD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46307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46307</v>
      </c>
      <c r="F137" t="inlineStr">
        <is>
          <t>VÄSTRA GÖTALANDS LÄN</t>
        </is>
      </c>
      <c r="G137" t="inlineStr">
        <is>
          <t>MARIESTAD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46307</v>
      </c>
      <c r="F138" t="inlineStr">
        <is>
          <t>VÄSTRA GÖTALANDS LÄN</t>
        </is>
      </c>
      <c r="G138" t="inlineStr">
        <is>
          <t>MARIESTAD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46307</v>
      </c>
      <c r="F139" t="inlineStr">
        <is>
          <t>VÄSTRA GÖTALANDS LÄN</t>
        </is>
      </c>
      <c r="G139" t="inlineStr">
        <is>
          <t>MARIESTAD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46307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Kyrkan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45674</v>
      </c>
      <c r="E141" s="1" t="n">
        <v>46307</v>
      </c>
      <c r="F141" t="inlineStr">
        <is>
          <t>VÄSTRA GÖTALANDS LÄN</t>
        </is>
      </c>
      <c r="G141" t="inlineStr">
        <is>
          <t>MARIESTAD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46307</v>
      </c>
      <c r="F142" t="inlineStr">
        <is>
          <t>VÄSTRA GÖTALANDS LÄN</t>
        </is>
      </c>
      <c r="G142" t="inlineStr">
        <is>
          <t>MARIESTAD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46307</v>
      </c>
      <c r="F143" t="inlineStr">
        <is>
          <t>VÄSTRA GÖTALANDS LÄN</t>
        </is>
      </c>
      <c r="G143" t="inlineStr">
        <is>
          <t>MARIESTAD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70259-2021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44536</v>
      </c>
      <c r="E144" s="1" t="n">
        <v>46307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46307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Kyrkan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45516</v>
      </c>
      <c r="E146" s="1" t="n">
        <v>46307</v>
      </c>
      <c r="F146" t="inlineStr">
        <is>
          <t>VÄSTRA GÖTALANDS LÄN</t>
        </is>
      </c>
      <c r="G146" t="inlineStr">
        <is>
          <t>MARIESTAD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46307</v>
      </c>
      <c r="F147" t="inlineStr">
        <is>
          <t>VÄSTRA GÖTALANDS LÄN</t>
        </is>
      </c>
      <c r="G147" t="inlineStr">
        <is>
          <t>MARIESTAD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46307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Kyrkan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60812-2023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45260</v>
      </c>
      <c r="E149" s="1" t="n">
        <v>46307</v>
      </c>
      <c r="F149" t="inlineStr">
        <is>
          <t>VÄSTRA GÖTALANDS LÄN</t>
        </is>
      </c>
      <c r="G149" t="inlineStr">
        <is>
          <t>MARIESTAD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44630</v>
      </c>
      <c r="E150" s="1" t="n">
        <v>46307</v>
      </c>
      <c r="F150" t="inlineStr">
        <is>
          <t>VÄSTRA GÖTALANDS LÄN</t>
        </is>
      </c>
      <c r="G150" t="inlineStr">
        <is>
          <t>MARIESTAD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46307</v>
      </c>
      <c r="F151" t="inlineStr">
        <is>
          <t>VÄSTRA GÖTALANDS LÄN</t>
        </is>
      </c>
      <c r="G151" t="inlineStr">
        <is>
          <t>MARIESTAD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46307</v>
      </c>
      <c r="F152" t="inlineStr">
        <is>
          <t>VÄSTRA GÖTALANDS LÄN</t>
        </is>
      </c>
      <c r="G152" t="inlineStr">
        <is>
          <t>MARIESTAD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46307</v>
      </c>
      <c r="F153" t="inlineStr">
        <is>
          <t>VÄSTRA GÖTALANDS LÄN</t>
        </is>
      </c>
      <c r="G153" t="inlineStr">
        <is>
          <t>MARIESTAD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45307</v>
      </c>
      <c r="E154" s="1" t="n">
        <v>46307</v>
      </c>
      <c r="F154" t="inlineStr">
        <is>
          <t>VÄSTRA GÖTALANDS LÄN</t>
        </is>
      </c>
      <c r="G154" t="inlineStr">
        <is>
          <t>MARIESTAD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45590</v>
      </c>
      <c r="E155" s="1" t="n">
        <v>46307</v>
      </c>
      <c r="F155" t="inlineStr">
        <is>
          <t>VÄSTRA GÖTALANDS LÄN</t>
        </is>
      </c>
      <c r="G155" t="inlineStr">
        <is>
          <t>MARIESTAD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46307</v>
      </c>
      <c r="F156" t="inlineStr">
        <is>
          <t>VÄSTRA GÖTALANDS LÄN</t>
        </is>
      </c>
      <c r="G156" t="inlineStr">
        <is>
          <t>MARIESTAD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46307</v>
      </c>
      <c r="F157" t="inlineStr">
        <is>
          <t>VÄSTRA GÖTALANDS LÄN</t>
        </is>
      </c>
      <c r="G157" t="inlineStr">
        <is>
          <t>MARIESTAD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45751</v>
      </c>
      <c r="E158" s="1" t="n">
        <v>46307</v>
      </c>
      <c r="F158" t="inlineStr">
        <is>
          <t>VÄSTRA GÖTALANDS LÄN</t>
        </is>
      </c>
      <c r="G158" t="inlineStr">
        <is>
          <t>MARIESTAD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45330</v>
      </c>
      <c r="E159" s="1" t="n">
        <v>46307</v>
      </c>
      <c r="F159" t="inlineStr">
        <is>
          <t>VÄSTRA GÖTALANDS LÄN</t>
        </is>
      </c>
      <c r="G159" t="inlineStr">
        <is>
          <t>MARIESTAD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49385-2023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45211</v>
      </c>
      <c r="E160" s="1" t="n">
        <v>46307</v>
      </c>
      <c r="F160" t="inlineStr">
        <is>
          <t>VÄSTRA GÖTALANDS LÄN</t>
        </is>
      </c>
      <c r="G160" t="inlineStr">
        <is>
          <t>MARIESTAD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66772-2021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44521</v>
      </c>
      <c r="E161" s="1" t="n">
        <v>46307</v>
      </c>
      <c r="F161" t="inlineStr">
        <is>
          <t>VÄSTRA GÖTALANDS LÄN</t>
        </is>
      </c>
      <c r="G161" t="inlineStr">
        <is>
          <t>MARIESTAD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45502</v>
      </c>
      <c r="E162" s="1" t="n">
        <v>46307</v>
      </c>
      <c r="F162" t="inlineStr">
        <is>
          <t>VÄSTRA GÖTALANDS LÄN</t>
        </is>
      </c>
      <c r="G162" t="inlineStr">
        <is>
          <t>MARIESTAD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46307</v>
      </c>
      <c r="F163" t="inlineStr">
        <is>
          <t>VÄSTRA GÖTALANDS LÄN</t>
        </is>
      </c>
      <c r="G163" t="inlineStr">
        <is>
          <t>MARIESTAD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45033</v>
      </c>
      <c r="E164" s="1" t="n">
        <v>46307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45716</v>
      </c>
      <c r="E165" s="1" t="n">
        <v>46307</v>
      </c>
      <c r="F165" t="inlineStr">
        <is>
          <t>VÄSTRA GÖTALANDS LÄN</t>
        </is>
      </c>
      <c r="G165" t="inlineStr">
        <is>
          <t>MARIESTAD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46307</v>
      </c>
      <c r="F166" t="inlineStr">
        <is>
          <t>VÄSTRA GÖTALANDS LÄN</t>
        </is>
      </c>
      <c r="G166" t="inlineStr">
        <is>
          <t>MARIESTAD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46307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45616</v>
      </c>
      <c r="E168" s="1" t="n">
        <v>46307</v>
      </c>
      <c r="F168" t="inlineStr">
        <is>
          <t>VÄSTRA GÖTALANDS LÄN</t>
        </is>
      </c>
      <c r="G168" t="inlineStr">
        <is>
          <t>MARIESTAD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45709</v>
      </c>
      <c r="E169" s="1" t="n">
        <v>46307</v>
      </c>
      <c r="F169" t="inlineStr">
        <is>
          <t>VÄSTRA GÖTALANDS LÄN</t>
        </is>
      </c>
      <c r="G169" t="inlineStr">
        <is>
          <t>MARIESTAD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46307</v>
      </c>
      <c r="F170" t="inlineStr">
        <is>
          <t>VÄSTRA GÖTALANDS LÄN</t>
        </is>
      </c>
      <c r="G170" t="inlineStr">
        <is>
          <t>MARIESTAD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46307</v>
      </c>
      <c r="F171" t="inlineStr">
        <is>
          <t>VÄSTRA GÖTALANDS LÄN</t>
        </is>
      </c>
      <c r="G171" t="inlineStr">
        <is>
          <t>MARIESTAD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46307</v>
      </c>
      <c r="F172" t="inlineStr">
        <is>
          <t>VÄSTRA GÖTALANDS LÄN</t>
        </is>
      </c>
      <c r="G172" t="inlineStr">
        <is>
          <t>MARIESTAD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46307</v>
      </c>
      <c r="F173" t="inlineStr">
        <is>
          <t>VÄSTRA GÖTALANDS LÄN</t>
        </is>
      </c>
      <c r="G173" t="inlineStr">
        <is>
          <t>MARIESTAD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46307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46307</v>
      </c>
      <c r="F175" t="inlineStr">
        <is>
          <t>VÄSTRA GÖTALANDS LÄN</t>
        </is>
      </c>
      <c r="G175" t="inlineStr">
        <is>
          <t>MARIESTAD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46307</v>
      </c>
      <c r="F176" t="inlineStr">
        <is>
          <t>VÄSTRA GÖTALANDS LÄN</t>
        </is>
      </c>
      <c r="G176" t="inlineStr">
        <is>
          <t>MARIESTAD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52869-2024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45610</v>
      </c>
      <c r="E177" s="1" t="n">
        <v>46307</v>
      </c>
      <c r="F177" t="inlineStr">
        <is>
          <t>VÄSTRA GÖTALANDS LÄN</t>
        </is>
      </c>
      <c r="G177" t="inlineStr">
        <is>
          <t>MARIESTAD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44876</v>
      </c>
      <c r="E178" s="1" t="n">
        <v>46307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Kyrkan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46307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46307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Sveaskog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46307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48267-2024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46307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Kyrkan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50579-2023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45217</v>
      </c>
      <c r="E183" s="1" t="n">
        <v>46307</v>
      </c>
      <c r="F183" t="inlineStr">
        <is>
          <t>VÄSTRA GÖTALANDS LÄN</t>
        </is>
      </c>
      <c r="G183" t="inlineStr">
        <is>
          <t>MARIESTAD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46307</v>
      </c>
      <c r="F184" t="inlineStr">
        <is>
          <t>VÄSTRA GÖTALANDS LÄN</t>
        </is>
      </c>
      <c r="G184" t="inlineStr">
        <is>
          <t>MARIESTAD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45744</v>
      </c>
      <c r="E185" s="1" t="n">
        <v>46307</v>
      </c>
      <c r="F185" t="inlineStr">
        <is>
          <t>VÄSTRA GÖTALANDS LÄN</t>
        </is>
      </c>
      <c r="G185" t="inlineStr">
        <is>
          <t>MARIESTAD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46307</v>
      </c>
      <c r="F186" t="inlineStr">
        <is>
          <t>VÄSTRA GÖTALANDS LÄN</t>
        </is>
      </c>
      <c r="G186" t="inlineStr">
        <is>
          <t>MARIESTAD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44936</v>
      </c>
      <c r="E187" s="1" t="n">
        <v>46307</v>
      </c>
      <c r="F187" t="inlineStr">
        <is>
          <t>VÄSTRA GÖTALANDS LÄN</t>
        </is>
      </c>
      <c r="G187" t="inlineStr">
        <is>
          <t>MARIESTAD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44649</v>
      </c>
      <c r="E188" s="1" t="n">
        <v>46307</v>
      </c>
      <c r="F188" t="inlineStr">
        <is>
          <t>VÄSTRA GÖTALANDS LÄN</t>
        </is>
      </c>
      <c r="G188" t="inlineStr">
        <is>
          <t>MARIESTAD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45804</v>
      </c>
      <c r="E189" s="1" t="n">
        <v>46307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44629</v>
      </c>
      <c r="E190" s="1" t="n">
        <v>46307</v>
      </c>
      <c r="F190" t="inlineStr">
        <is>
          <t>VÄSTRA GÖTALANDS LÄN</t>
        </is>
      </c>
      <c r="G190" t="inlineStr">
        <is>
          <t>MARIESTAD</t>
        </is>
      </c>
      <c r="H190" t="inlineStr">
        <is>
          <t>Kommuner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45804</v>
      </c>
      <c r="E191" s="1" t="n">
        <v>46307</v>
      </c>
      <c r="F191" t="inlineStr">
        <is>
          <t>VÄSTRA GÖTALANDS LÄN</t>
        </is>
      </c>
      <c r="G191" t="inlineStr">
        <is>
          <t>MARIESTAD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45804</v>
      </c>
      <c r="E192" s="1" t="n">
        <v>46307</v>
      </c>
      <c r="F192" t="inlineStr">
        <is>
          <t>VÄSTRA GÖTALANDS LÄN</t>
        </is>
      </c>
      <c r="G192" t="inlineStr">
        <is>
          <t>MARIESTAD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45199</v>
      </c>
      <c r="E193" s="1" t="n">
        <v>46307</v>
      </c>
      <c r="F193" t="inlineStr">
        <is>
          <t>VÄSTRA GÖTALANDS LÄN</t>
        </is>
      </c>
      <c r="G193" t="inlineStr">
        <is>
          <t>MARIESTAD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46307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46307</v>
      </c>
      <c r="F195" t="inlineStr">
        <is>
          <t>VÄSTRA GÖTALANDS LÄN</t>
        </is>
      </c>
      <c r="G195" t="inlineStr">
        <is>
          <t>MARIESTAD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44638</v>
      </c>
      <c r="E196" s="1" t="n">
        <v>46307</v>
      </c>
      <c r="F196" t="inlineStr">
        <is>
          <t>VÄSTRA GÖTALANDS LÄN</t>
        </is>
      </c>
      <c r="G196" t="inlineStr">
        <is>
          <t>MARIESTAD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26688-2022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44739</v>
      </c>
      <c r="E197" s="1" t="n">
        <v>46307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45200</v>
      </c>
      <c r="E198" s="1" t="n">
        <v>46307</v>
      </c>
      <c r="F198" t="inlineStr">
        <is>
          <t>VÄSTRA GÖTALANDS LÄN</t>
        </is>
      </c>
      <c r="G198" t="inlineStr">
        <is>
          <t>MARIESTAD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46307</v>
      </c>
      <c r="F199" t="inlineStr">
        <is>
          <t>VÄSTRA GÖTALANDS LÄN</t>
        </is>
      </c>
      <c r="G199" t="inlineStr">
        <is>
          <t>MARIESTAD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44993</v>
      </c>
      <c r="E200" s="1" t="n">
        <v>46307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46307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46307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45350</v>
      </c>
      <c r="E203" s="1" t="n">
        <v>46307</v>
      </c>
      <c r="F203" t="inlineStr">
        <is>
          <t>VÄSTRA GÖTALANDS LÄN</t>
        </is>
      </c>
      <c r="G203" t="inlineStr">
        <is>
          <t>MARIESTAD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46307</v>
      </c>
      <c r="F204" t="inlineStr">
        <is>
          <t>VÄSTRA GÖTALANDS LÄN</t>
        </is>
      </c>
      <c r="G204" t="inlineStr">
        <is>
          <t>MARIESTAD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46307</v>
      </c>
      <c r="F205" t="inlineStr">
        <is>
          <t>VÄSTRA GÖTALANDS LÄN</t>
        </is>
      </c>
      <c r="G205" t="inlineStr">
        <is>
          <t>MARIESTAD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46307</v>
      </c>
      <c r="F206" t="inlineStr">
        <is>
          <t>VÄSTRA GÖTALANDS LÄN</t>
        </is>
      </c>
      <c r="G206" t="inlineStr">
        <is>
          <t>MARIESTAD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46307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46307</v>
      </c>
      <c r="F208" t="inlineStr">
        <is>
          <t>VÄSTRA GÖTALANDS LÄN</t>
        </is>
      </c>
      <c r="G208" t="inlineStr">
        <is>
          <t>MARIESTAD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45761</v>
      </c>
      <c r="E209" s="1" t="n">
        <v>46307</v>
      </c>
      <c r="F209" t="inlineStr">
        <is>
          <t>VÄSTRA GÖTALANDS LÄN</t>
        </is>
      </c>
      <c r="G209" t="inlineStr">
        <is>
          <t>MARIESTAD</t>
        </is>
      </c>
      <c r="I209" t="n">
        <v>10.7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46307</v>
      </c>
      <c r="F210" t="inlineStr">
        <is>
          <t>VÄSTRA GÖTALANDS LÄN</t>
        </is>
      </c>
      <c r="G210" t="inlineStr">
        <is>
          <t>MARIESTAD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46307</v>
      </c>
      <c r="F211" t="inlineStr">
        <is>
          <t>VÄSTRA GÖTALANDS LÄN</t>
        </is>
      </c>
      <c r="G211" t="inlineStr">
        <is>
          <t>MARIESTAD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46307</v>
      </c>
      <c r="F212" t="inlineStr">
        <is>
          <t>VÄSTRA GÖTALANDS LÄN</t>
        </is>
      </c>
      <c r="G212" t="inlineStr">
        <is>
          <t>MARIESTAD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46307</v>
      </c>
      <c r="F213" t="inlineStr">
        <is>
          <t>VÄSTRA GÖTALANDS LÄN</t>
        </is>
      </c>
      <c r="G213" t="inlineStr">
        <is>
          <t>MARIESTAD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46307</v>
      </c>
      <c r="F214" t="inlineStr">
        <is>
          <t>VÄSTRA GÖTALANDS LÄN</t>
        </is>
      </c>
      <c r="G214" t="inlineStr">
        <is>
          <t>MARIESTAD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44971</v>
      </c>
      <c r="E215" s="1" t="n">
        <v>46307</v>
      </c>
      <c r="F215" t="inlineStr">
        <is>
          <t>VÄSTRA GÖTALANDS LÄN</t>
        </is>
      </c>
      <c r="G215" t="inlineStr">
        <is>
          <t>MARIESTAD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44614</v>
      </c>
      <c r="E216" s="1" t="n">
        <v>46307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46307</v>
      </c>
      <c r="F217" t="inlineStr">
        <is>
          <t>VÄSTRA GÖTALANDS LÄN</t>
        </is>
      </c>
      <c r="G217" t="inlineStr">
        <is>
          <t>MARIESTAD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46307</v>
      </c>
      <c r="F218" t="inlineStr">
        <is>
          <t>VÄSTRA GÖTALANDS LÄN</t>
        </is>
      </c>
      <c r="G218" t="inlineStr">
        <is>
          <t>MARIESTAD</t>
        </is>
      </c>
      <c r="I218" t="n">
        <v>9.1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46307</v>
      </c>
      <c r="F219" t="inlineStr">
        <is>
          <t>VÄSTRA GÖTALANDS LÄN</t>
        </is>
      </c>
      <c r="G219" t="inlineStr">
        <is>
          <t>MARIESTAD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44965</v>
      </c>
      <c r="E220" s="1" t="n">
        <v>46307</v>
      </c>
      <c r="F220" t="inlineStr">
        <is>
          <t>VÄSTRA GÖTALANDS LÄN</t>
        </is>
      </c>
      <c r="G220" t="inlineStr">
        <is>
          <t>MARIESTAD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46307</v>
      </c>
      <c r="F221" t="inlineStr">
        <is>
          <t>VÄSTRA GÖTALANDS LÄN</t>
        </is>
      </c>
      <c r="G221" t="inlineStr">
        <is>
          <t>MARIESTAD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13655-2023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45006</v>
      </c>
      <c r="E222" s="1" t="n">
        <v>46307</v>
      </c>
      <c r="F222" t="inlineStr">
        <is>
          <t>VÄSTRA GÖTALANDS LÄN</t>
        </is>
      </c>
      <c r="G222" t="inlineStr">
        <is>
          <t>MARIESTAD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46307</v>
      </c>
      <c r="F223" t="inlineStr">
        <is>
          <t>VÄSTRA GÖTALANDS LÄN</t>
        </is>
      </c>
      <c r="G223" t="inlineStr">
        <is>
          <t>MARIESTAD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44900</v>
      </c>
      <c r="E224" s="1" t="n">
        <v>46307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45958</v>
      </c>
      <c r="E225" s="1" t="n">
        <v>46307</v>
      </c>
      <c r="F225" t="inlineStr">
        <is>
          <t>VÄSTRA GÖTALANDS LÄN</t>
        </is>
      </c>
      <c r="G225" t="inlineStr">
        <is>
          <t>MARIESTAD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45958</v>
      </c>
      <c r="E226" s="1" t="n">
        <v>46307</v>
      </c>
      <c r="F226" t="inlineStr">
        <is>
          <t>VÄSTRA GÖTALANDS LÄN</t>
        </is>
      </c>
      <c r="G226" t="inlineStr">
        <is>
          <t>MARIESTAD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46307</v>
      </c>
      <c r="F227" t="inlineStr">
        <is>
          <t>VÄSTRA GÖTALANDS LÄN</t>
        </is>
      </c>
      <c r="G227" t="inlineStr">
        <is>
          <t>MARIESTAD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46307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44986</v>
      </c>
      <c r="E229" s="1" t="n">
        <v>46307</v>
      </c>
      <c r="F229" t="inlineStr">
        <is>
          <t>VÄSTRA GÖTALANDS LÄN</t>
        </is>
      </c>
      <c r="G229" t="inlineStr">
        <is>
          <t>MARIESTAD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46307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46307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46307</v>
      </c>
      <c r="F232" t="inlineStr">
        <is>
          <t>VÄSTRA GÖTALANDS LÄN</t>
        </is>
      </c>
      <c r="G232" t="inlineStr">
        <is>
          <t>MARIESTAD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46307</v>
      </c>
      <c r="F233" t="inlineStr">
        <is>
          <t>VÄSTRA GÖTALANDS LÄN</t>
        </is>
      </c>
      <c r="G233" t="inlineStr">
        <is>
          <t>MARIESTAD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46307</v>
      </c>
      <c r="F234" t="inlineStr">
        <is>
          <t>VÄSTRA GÖTALANDS LÄN</t>
        </is>
      </c>
      <c r="G234" t="inlineStr">
        <is>
          <t>MARIESTAD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44746</v>
      </c>
      <c r="E235" s="1" t="n">
        <v>46307</v>
      </c>
      <c r="F235" t="inlineStr">
        <is>
          <t>VÄSTRA GÖTALANDS LÄN</t>
        </is>
      </c>
      <c r="G235" t="inlineStr">
        <is>
          <t>MARIESTAD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46307</v>
      </c>
      <c r="F236" t="inlineStr">
        <is>
          <t>VÄSTRA GÖTALANDS LÄN</t>
        </is>
      </c>
      <c r="G236" t="inlineStr">
        <is>
          <t>MARIESTAD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45664</v>
      </c>
      <c r="E237" s="1" t="n">
        <v>46307</v>
      </c>
      <c r="F237" t="inlineStr">
        <is>
          <t>VÄSTRA GÖTALANDS LÄN</t>
        </is>
      </c>
      <c r="G237" t="inlineStr">
        <is>
          <t>MARIESTAD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46307</v>
      </c>
      <c r="F238" t="inlineStr">
        <is>
          <t>VÄSTRA GÖTALANDS LÄN</t>
        </is>
      </c>
      <c r="G238" t="inlineStr">
        <is>
          <t>MARIESTAD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28050-2022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46307</v>
      </c>
      <c r="F239" t="inlineStr">
        <is>
          <t>VÄSTRA GÖTALANDS LÄN</t>
        </is>
      </c>
      <c r="G239" t="inlineStr">
        <is>
          <t>MARIESTAD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44746</v>
      </c>
      <c r="E240" s="1" t="n">
        <v>46307</v>
      </c>
      <c r="F240" t="inlineStr">
        <is>
          <t>VÄSTRA GÖTALANDS LÄN</t>
        </is>
      </c>
      <c r="G240" t="inlineStr">
        <is>
          <t>MARIESTAD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44986</v>
      </c>
      <c r="E241" s="1" t="n">
        <v>46307</v>
      </c>
      <c r="F241" t="inlineStr">
        <is>
          <t>VÄSTRA GÖTALANDS LÄN</t>
        </is>
      </c>
      <c r="G241" t="inlineStr">
        <is>
          <t>MARIESTAD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46307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61603-2023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45265</v>
      </c>
      <c r="E243" s="1" t="n">
        <v>46307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45761</v>
      </c>
      <c r="E244" s="1" t="n">
        <v>46307</v>
      </c>
      <c r="F244" t="inlineStr">
        <is>
          <t>VÄSTRA GÖTALANDS LÄN</t>
        </is>
      </c>
      <c r="G244" t="inlineStr">
        <is>
          <t>MARIESTAD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44693</v>
      </c>
      <c r="E245" s="1" t="n">
        <v>46307</v>
      </c>
      <c r="F245" t="inlineStr">
        <is>
          <t>VÄSTRA GÖTALANDS LÄN</t>
        </is>
      </c>
      <c r="G245" t="inlineStr">
        <is>
          <t>MARIESTAD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45544</v>
      </c>
      <c r="E246" s="1" t="n">
        <v>46307</v>
      </c>
      <c r="F246" t="inlineStr">
        <is>
          <t>VÄSTRA GÖTALANDS LÄN</t>
        </is>
      </c>
      <c r="G246" t="inlineStr">
        <is>
          <t>MARIESTAD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45324</v>
      </c>
      <c r="E247" s="1" t="n">
        <v>46307</v>
      </c>
      <c r="F247" t="inlineStr">
        <is>
          <t>VÄSTRA GÖTALANDS LÄN</t>
        </is>
      </c>
      <c r="G247" t="inlineStr">
        <is>
          <t>MARIESTAD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46307</v>
      </c>
      <c r="F248" t="inlineStr">
        <is>
          <t>VÄSTRA GÖTALANDS LÄN</t>
        </is>
      </c>
      <c r="G248" t="inlineStr">
        <is>
          <t>MARIESTAD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46307</v>
      </c>
      <c r="F249" t="inlineStr">
        <is>
          <t>VÄSTRA GÖTALANDS LÄN</t>
        </is>
      </c>
      <c r="G249" t="inlineStr">
        <is>
          <t>MARIESTAD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45873</v>
      </c>
      <c r="E250" s="1" t="n">
        <v>46307</v>
      </c>
      <c r="F250" t="inlineStr">
        <is>
          <t>VÄSTRA GÖTALANDS LÄN</t>
        </is>
      </c>
      <c r="G250" t="inlineStr">
        <is>
          <t>MARIESTAD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49389-2023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45211</v>
      </c>
      <c r="E251" s="1" t="n">
        <v>46307</v>
      </c>
      <c r="F251" t="inlineStr">
        <is>
          <t>VÄSTRA GÖTALANDS LÄN</t>
        </is>
      </c>
      <c r="G251" t="inlineStr">
        <is>
          <t>MARIESTAD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44830</v>
      </c>
      <c r="E252" s="1" t="n">
        <v>46307</v>
      </c>
      <c r="F252" t="inlineStr">
        <is>
          <t>VÄSTRA GÖTALANDS LÄN</t>
        </is>
      </c>
      <c r="G252" t="inlineStr">
        <is>
          <t>MARIESTAD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46307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46307</v>
      </c>
      <c r="F254" t="inlineStr">
        <is>
          <t>VÄSTRA GÖTALANDS LÄN</t>
        </is>
      </c>
      <c r="G254" t="inlineStr">
        <is>
          <t>MARIESTAD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46307</v>
      </c>
      <c r="F255" t="inlineStr">
        <is>
          <t>VÄSTRA GÖTALANDS LÄN</t>
        </is>
      </c>
      <c r="G255" t="inlineStr">
        <is>
          <t>MARIESTAD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45135</v>
      </c>
      <c r="E256" s="1" t="n">
        <v>46307</v>
      </c>
      <c r="F256" t="inlineStr">
        <is>
          <t>VÄSTRA GÖTALANDS LÄN</t>
        </is>
      </c>
      <c r="G256" t="inlineStr">
        <is>
          <t>MARIESTAD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45528</v>
      </c>
      <c r="E257" s="1" t="n">
        <v>46307</v>
      </c>
      <c r="F257" t="inlineStr">
        <is>
          <t>VÄSTRA GÖTALANDS LÄN</t>
        </is>
      </c>
      <c r="G257" t="inlineStr">
        <is>
          <t>MARIESTAD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44756</v>
      </c>
      <c r="E258" s="1" t="n">
        <v>46307</v>
      </c>
      <c r="F258" t="inlineStr">
        <is>
          <t>VÄSTRA GÖTALANDS LÄN</t>
        </is>
      </c>
      <c r="G258" t="inlineStr">
        <is>
          <t>MARIESTAD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46307</v>
      </c>
      <c r="F259" t="inlineStr">
        <is>
          <t>VÄSTRA GÖTALANDS LÄN</t>
        </is>
      </c>
      <c r="G259" t="inlineStr">
        <is>
          <t>MARIESTAD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46307</v>
      </c>
      <c r="F260" t="inlineStr">
        <is>
          <t>VÄSTRA GÖTALANDS LÄN</t>
        </is>
      </c>
      <c r="G260" t="inlineStr">
        <is>
          <t>MARIESTAD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46307</v>
      </c>
      <c r="F261" t="inlineStr">
        <is>
          <t>VÄSTRA GÖTALANDS LÄN</t>
        </is>
      </c>
      <c r="G261" t="inlineStr">
        <is>
          <t>MARIESTAD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44843</v>
      </c>
      <c r="E262" s="1" t="n">
        <v>46307</v>
      </c>
      <c r="F262" t="inlineStr">
        <is>
          <t>VÄSTRA GÖTALANDS LÄN</t>
        </is>
      </c>
      <c r="G262" t="inlineStr">
        <is>
          <t>MARIESTAD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46307</v>
      </c>
      <c r="F263" t="inlineStr">
        <is>
          <t>VÄSTRA GÖTALANDS LÄN</t>
        </is>
      </c>
      <c r="G263" t="inlineStr">
        <is>
          <t>MARIESTAD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46307</v>
      </c>
      <c r="F264" t="inlineStr">
        <is>
          <t>VÄSTRA GÖTALANDS LÄN</t>
        </is>
      </c>
      <c r="G264" t="inlineStr">
        <is>
          <t>MARIESTAD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45210</v>
      </c>
      <c r="E265" s="1" t="n">
        <v>46307</v>
      </c>
      <c r="F265" t="inlineStr">
        <is>
          <t>VÄSTRA GÖTALANDS LÄN</t>
        </is>
      </c>
      <c r="G265" t="inlineStr">
        <is>
          <t>MARIESTAD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36399-2024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45535</v>
      </c>
      <c r="E266" s="1" t="n">
        <v>46307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46307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46307</v>
      </c>
      <c r="F268" t="inlineStr">
        <is>
          <t>VÄSTRA GÖTALANDS LÄN</t>
        </is>
      </c>
      <c r="G268" t="inlineStr">
        <is>
          <t>MARIESTAD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45268</v>
      </c>
      <c r="E269" s="1" t="n">
        <v>46307</v>
      </c>
      <c r="F269" t="inlineStr">
        <is>
          <t>VÄSTRA GÖTALANDS LÄN</t>
        </is>
      </c>
      <c r="G269" t="inlineStr">
        <is>
          <t>MARIESTAD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46307</v>
      </c>
      <c r="F270" t="inlineStr">
        <is>
          <t>VÄSTRA GÖTALANDS LÄN</t>
        </is>
      </c>
      <c r="G270" t="inlineStr">
        <is>
          <t>MARIESTAD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46307</v>
      </c>
      <c r="F271" t="inlineStr">
        <is>
          <t>VÄSTRA GÖTALANDS LÄN</t>
        </is>
      </c>
      <c r="G271" t="inlineStr">
        <is>
          <t>MARIESTAD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46307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45590</v>
      </c>
      <c r="E273" s="1" t="n">
        <v>46307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44496</v>
      </c>
      <c r="E274" s="1" t="n">
        <v>46307</v>
      </c>
      <c r="F274" t="inlineStr">
        <is>
          <t>VÄSTRA GÖTALANDS LÄN</t>
        </is>
      </c>
      <c r="G274" t="inlineStr">
        <is>
          <t>MARIESTAD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46307</v>
      </c>
      <c r="F275" t="inlineStr">
        <is>
          <t>VÄSTRA GÖTALANDS LÄN</t>
        </is>
      </c>
      <c r="G275" t="inlineStr">
        <is>
          <t>MARIESTAD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46307</v>
      </c>
      <c r="F276" t="inlineStr">
        <is>
          <t>VÄSTRA GÖTALANDS LÄN</t>
        </is>
      </c>
      <c r="G276" t="inlineStr">
        <is>
          <t>MARIESTAD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46307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46307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Naturvårdsverket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9610-2022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44617</v>
      </c>
      <c r="E279" s="1" t="n">
        <v>46307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Kyrkan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46307</v>
      </c>
      <c r="F280" t="inlineStr">
        <is>
          <t>VÄSTRA GÖTALANDS LÄN</t>
        </is>
      </c>
      <c r="G280" t="inlineStr">
        <is>
          <t>MARIESTAD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44816</v>
      </c>
      <c r="E281" s="1" t="n">
        <v>46307</v>
      </c>
      <c r="F281" t="inlineStr">
        <is>
          <t>VÄSTRA GÖTALANDS LÄN</t>
        </is>
      </c>
      <c r="G281" t="inlineStr">
        <is>
          <t>MARIESTAD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46307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46307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45167</v>
      </c>
      <c r="E284" s="1" t="n">
        <v>46307</v>
      </c>
      <c r="F284" t="inlineStr">
        <is>
          <t>VÄSTRA GÖTALANDS LÄN</t>
        </is>
      </c>
      <c r="G284" t="inlineStr">
        <is>
          <t>MARIESTAD</t>
        </is>
      </c>
      <c r="I284" t="n">
        <v>26.5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44937</v>
      </c>
      <c r="E285" s="1" t="n">
        <v>46307</v>
      </c>
      <c r="F285" t="inlineStr">
        <is>
          <t>VÄSTRA GÖTALANDS LÄN</t>
        </is>
      </c>
      <c r="G285" t="inlineStr">
        <is>
          <t>MARIESTAD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45674</v>
      </c>
      <c r="E286" s="1" t="n">
        <v>46307</v>
      </c>
      <c r="F286" t="inlineStr">
        <is>
          <t>VÄSTRA GÖTALANDS LÄN</t>
        </is>
      </c>
      <c r="G286" t="inlineStr">
        <is>
          <t>MARIESTAD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45560</v>
      </c>
      <c r="E287" s="1" t="n">
        <v>46307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46307</v>
      </c>
      <c r="F288" t="inlineStr">
        <is>
          <t>VÄSTRA GÖTALANDS LÄN</t>
        </is>
      </c>
      <c r="G288" t="inlineStr">
        <is>
          <t>MARIESTAD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46307</v>
      </c>
      <c r="F289" t="inlineStr">
        <is>
          <t>VÄSTRA GÖTALANDS LÄN</t>
        </is>
      </c>
      <c r="G289" t="inlineStr">
        <is>
          <t>MARIESTAD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45705</v>
      </c>
      <c r="E290" s="1" t="n">
        <v>46307</v>
      </c>
      <c r="F290" t="inlineStr">
        <is>
          <t>VÄSTRA GÖTALANDS LÄN</t>
        </is>
      </c>
      <c r="G290" t="inlineStr">
        <is>
          <t>MARIESTAD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46042</v>
      </c>
      <c r="E291" s="1" t="n">
        <v>46307</v>
      </c>
      <c r="F291" t="inlineStr">
        <is>
          <t>VÄSTRA GÖTALANDS LÄN</t>
        </is>
      </c>
      <c r="G291" t="inlineStr">
        <is>
          <t>MARIESTAD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46307</v>
      </c>
      <c r="F292" t="inlineStr">
        <is>
          <t>VÄSTRA GÖTALANDS LÄN</t>
        </is>
      </c>
      <c r="G292" t="inlineStr">
        <is>
          <t>MARIESTAD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45558</v>
      </c>
      <c r="E293" s="1" t="n">
        <v>46307</v>
      </c>
      <c r="F293" t="inlineStr">
        <is>
          <t>VÄSTRA GÖTALANDS LÄN</t>
        </is>
      </c>
      <c r="G293" t="inlineStr">
        <is>
          <t>MARIESTAD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45639</v>
      </c>
      <c r="E294" s="1" t="n">
        <v>46307</v>
      </c>
      <c r="F294" t="inlineStr">
        <is>
          <t>VÄSTRA GÖTALANDS LÄN</t>
        </is>
      </c>
      <c r="G294" t="inlineStr">
        <is>
          <t>MARIESTAD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44622</v>
      </c>
      <c r="E295" s="1" t="n">
        <v>46307</v>
      </c>
      <c r="F295" t="inlineStr">
        <is>
          <t>VÄSTRA GÖTALANDS LÄN</t>
        </is>
      </c>
      <c r="G295" t="inlineStr">
        <is>
          <t>MARIESTAD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52626-2023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45225</v>
      </c>
      <c r="E296" s="1" t="n">
        <v>46307</v>
      </c>
      <c r="F296" t="inlineStr">
        <is>
          <t>VÄSTRA GÖTALANDS LÄN</t>
        </is>
      </c>
      <c r="G296" t="inlineStr">
        <is>
          <t>MARIESTAD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44616</v>
      </c>
      <c r="E297" s="1" t="n">
        <v>46307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45324</v>
      </c>
      <c r="E298" s="1" t="n">
        <v>46307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45875</v>
      </c>
      <c r="E299" s="1" t="n">
        <v>46307</v>
      </c>
      <c r="F299" t="inlineStr">
        <is>
          <t>VÄSTRA GÖTALANDS LÄN</t>
        </is>
      </c>
      <c r="G299" t="inlineStr">
        <is>
          <t>MARIESTAD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40455-2023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45170</v>
      </c>
      <c r="E300" s="1" t="n">
        <v>46307</v>
      </c>
      <c r="F300" t="inlineStr">
        <is>
          <t>VÄSTRA GÖTALANDS LÄN</t>
        </is>
      </c>
      <c r="G300" t="inlineStr">
        <is>
          <t>MARIESTAD</t>
        </is>
      </c>
      <c r="I300" t="n">
        <v>34.9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45530</v>
      </c>
      <c r="E301" s="1" t="n">
        <v>46307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46307</v>
      </c>
      <c r="F302" t="inlineStr">
        <is>
          <t>VÄSTRA GÖTALANDS LÄN</t>
        </is>
      </c>
      <c r="G302" t="inlineStr">
        <is>
          <t>MARIESTAD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46050</v>
      </c>
      <c r="E303" s="1" t="n">
        <v>46307</v>
      </c>
      <c r="F303" t="inlineStr">
        <is>
          <t>VÄSTRA GÖTALANDS LÄN</t>
        </is>
      </c>
      <c r="G303" t="inlineStr">
        <is>
          <t>MARIESTAD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46307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46307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Kyrkan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6897-2026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46307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46061</v>
      </c>
      <c r="E307" s="1" t="n">
        <v>46307</v>
      </c>
      <c r="F307" t="inlineStr">
        <is>
          <t>VÄSTRA GÖTALANDS LÄN</t>
        </is>
      </c>
      <c r="G307" t="inlineStr">
        <is>
          <t>MARIESTAD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46307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46307</v>
      </c>
      <c r="F309" t="inlineStr">
        <is>
          <t>VÄSTRA GÖTALANDS LÄN</t>
        </is>
      </c>
      <c r="G309" t="inlineStr">
        <is>
          <t>MARIESTAD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9558-2026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46071</v>
      </c>
      <c r="E310" s="1" t="n">
        <v>46307</v>
      </c>
      <c r="F310" t="inlineStr">
        <is>
          <t>VÄSTRA GÖTALANDS LÄN</t>
        </is>
      </c>
      <c r="G310" t="inlineStr">
        <is>
          <t>MARIESTAD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10559-2026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46077</v>
      </c>
      <c r="E311" s="1" t="n">
        <v>46307</v>
      </c>
      <c r="F311" t="inlineStr">
        <is>
          <t>VÄSTRA GÖTALANDS LÄN</t>
        </is>
      </c>
      <c r="G311" t="inlineStr">
        <is>
          <t>MARIESTAD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46307</v>
      </c>
      <c r="F312" t="inlineStr">
        <is>
          <t>VÄSTRA GÖTALANDS LÄN</t>
        </is>
      </c>
      <c r="G312" t="inlineStr">
        <is>
          <t>MARIESTAD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21361-2026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46142</v>
      </c>
      <c r="E313" s="1" t="n">
        <v>46307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46157</v>
      </c>
      <c r="E314" s="1" t="n">
        <v>46307</v>
      </c>
      <c r="F314" t="inlineStr">
        <is>
          <t>VÄSTRA GÖTALANDS LÄN</t>
        </is>
      </c>
      <c r="G314" t="inlineStr">
        <is>
          <t>MARIESTAD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22878-2026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46157</v>
      </c>
      <c r="E315" s="1" t="n">
        <v>46307</v>
      </c>
      <c r="F315" t="inlineStr">
        <is>
          <t>VÄSTRA GÖTALANDS LÄN</t>
        </is>
      </c>
      <c r="G315" t="inlineStr">
        <is>
          <t>MARIESTAD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46307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46307</v>
      </c>
      <c r="F317" t="inlineStr">
        <is>
          <t>VÄSTRA GÖTALANDS LÄN</t>
        </is>
      </c>
      <c r="G317" t="inlineStr">
        <is>
          <t>MARIESTAD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46307</v>
      </c>
      <c r="F318" t="inlineStr">
        <is>
          <t>VÄSTRA GÖTALANDS LÄN</t>
        </is>
      </c>
      <c r="G318" t="inlineStr">
        <is>
          <t>MARIESTAD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46307</v>
      </c>
      <c r="F319" t="inlineStr">
        <is>
          <t>VÄSTRA GÖTALANDS LÄN</t>
        </is>
      </c>
      <c r="G319" t="inlineStr">
        <is>
          <t>MARIESTAD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46307</v>
      </c>
      <c r="F320" t="inlineStr">
        <is>
          <t>VÄSTRA GÖTALANDS LÄN</t>
        </is>
      </c>
      <c r="G320" t="inlineStr">
        <is>
          <t>MARIESTAD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46307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46307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46307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46307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26912-2026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46185</v>
      </c>
      <c r="E325" s="1" t="n">
        <v>46307</v>
      </c>
      <c r="F325" t="inlineStr">
        <is>
          <t>VÄSTRA GÖTALANDS LÄN</t>
        </is>
      </c>
      <c r="G325" t="inlineStr">
        <is>
          <t>MARIESTAD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46307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46307</v>
      </c>
      <c r="F327" t="inlineStr">
        <is>
          <t>VÄSTRA GÖTALANDS LÄN</t>
        </is>
      </c>
      <c r="G327" t="inlineStr">
        <is>
          <t>MARIESTAD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29645-2026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46307</v>
      </c>
      <c r="F328" t="inlineStr">
        <is>
          <t>VÄSTRA GÖTALANDS LÄN</t>
        </is>
      </c>
      <c r="G328" t="inlineStr">
        <is>
          <t>MARIESTAD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46307</v>
      </c>
      <c r="F329" t="inlineStr">
        <is>
          <t>VÄSTRA GÖTALANDS LÄN</t>
        </is>
      </c>
      <c r="G329" t="inlineStr">
        <is>
          <t>MARIESTAD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46307</v>
      </c>
      <c r="F330" t="inlineStr">
        <is>
          <t>VÄSTRA GÖTALANDS LÄN</t>
        </is>
      </c>
      <c r="G330" t="inlineStr">
        <is>
          <t>MARIESTAD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46307</v>
      </c>
      <c r="F331" t="inlineStr">
        <is>
          <t>VÄSTRA GÖTALANDS LÄN</t>
        </is>
      </c>
      <c r="G331" t="inlineStr">
        <is>
          <t>MARIESTAD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46307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46288</v>
      </c>
      <c r="E333" s="1" t="n">
        <v>46307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46288</v>
      </c>
      <c r="E334" s="1" t="n">
        <v>46307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39259-2026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46288</v>
      </c>
      <c r="E335" s="1" t="n">
        <v>46307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46307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39286-2026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46288</v>
      </c>
      <c r="E337" s="1" t="n">
        <v>46307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46307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46288</v>
      </c>
      <c r="E339" s="1" t="n">
        <v>46307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46289</v>
      </c>
      <c r="E340" s="1" t="n">
        <v>46307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Kyrkan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46290</v>
      </c>
      <c r="E341" s="1" t="n">
        <v>46307</v>
      </c>
      <c r="F341" t="inlineStr">
        <is>
          <t>VÄSTRA GÖTALANDS LÄN</t>
        </is>
      </c>
      <c r="G341" t="inlineStr">
        <is>
          <t>MARIESTAD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46307</v>
      </c>
      <c r="F342" t="inlineStr">
        <is>
          <t>VÄSTRA GÖTALANDS LÄN</t>
        </is>
      </c>
      <c r="G342" t="inlineStr">
        <is>
          <t>MARIESTAD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46307</v>
      </c>
      <c r="F343" t="inlineStr">
        <is>
          <t>VÄSTRA GÖTALANDS LÄN</t>
        </is>
      </c>
      <c r="G343" t="inlineStr">
        <is>
          <t>MARIESTAD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46300</v>
      </c>
      <c r="E344" s="1" t="n">
        <v>46307</v>
      </c>
      <c r="F344" t="inlineStr">
        <is>
          <t>VÄSTRA GÖTALANDS LÄN</t>
        </is>
      </c>
      <c r="G344" t="inlineStr">
        <is>
          <t>MARIESTAD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46300</v>
      </c>
      <c r="E345" s="1" t="n">
        <v>46307</v>
      </c>
      <c r="F345" t="inlineStr">
        <is>
          <t>VÄSTRA GÖTALANDS LÄN</t>
        </is>
      </c>
      <c r="G345" t="inlineStr">
        <is>
          <t>MARIESTAD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46300</v>
      </c>
      <c r="E346" s="1" t="n">
        <v>46307</v>
      </c>
      <c r="F346" t="inlineStr">
        <is>
          <t>VÄSTRA GÖTALANDS LÄN</t>
        </is>
      </c>
      <c r="G346" t="inlineStr">
        <is>
          <t>MARIESTAD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46307</v>
      </c>
      <c r="F347" t="inlineStr">
        <is>
          <t>VÄSTRA GÖTALANDS LÄN</t>
        </is>
      </c>
      <c r="G347" t="inlineStr">
        <is>
          <t>MARIESTAD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41220-2026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46300</v>
      </c>
      <c r="E348" s="1" t="n">
        <v>46307</v>
      </c>
      <c r="F348" t="inlineStr">
        <is>
          <t>VÄSTRA GÖTALANDS LÄN</t>
        </is>
      </c>
      <c r="G348" t="inlineStr">
        <is>
          <t>MARIESTAD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46307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46262</v>
      </c>
      <c r="E350" s="1" t="n">
        <v>46307</v>
      </c>
      <c r="F350" t="inlineStr">
        <is>
          <t>VÄSTRA GÖTALANDS LÄN</t>
        </is>
      </c>
      <c r="G350" t="inlineStr">
        <is>
          <t>MARIESTAD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46262</v>
      </c>
      <c r="E351" s="1" t="n">
        <v>46307</v>
      </c>
      <c r="F351" t="inlineStr">
        <is>
          <t>VÄSTRA GÖTALANDS LÄN</t>
        </is>
      </c>
      <c r="G351" t="inlineStr">
        <is>
          <t>MARIESTAD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46261</v>
      </c>
      <c r="E352" s="1" t="n">
        <v>46307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4868-2024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45618</v>
      </c>
      <c r="E353" s="1" t="n">
        <v>46307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1204-2025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45757</v>
      </c>
      <c r="E354" s="1" t="n">
        <v>46307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359-2026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46064</v>
      </c>
      <c r="E355" s="1" t="n">
        <v>46307</v>
      </c>
      <c r="F355" t="inlineStr">
        <is>
          <t>VÄSTRA GÖTALANDS LÄN</t>
        </is>
      </c>
      <c r="G355" t="inlineStr">
        <is>
          <t>MARIESTAD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2026-10-12T02:00:20Z</dcterms:created>
  <dcterms:modified xmlns:dcterms="http://purl.org/dc/terms/" xmlns:xsi="http://www.w3.org/2001/XMLSchema-instance" xsi:type="dcterms:W3CDTF">2026-10-12T02:00:20Z</dcterms:modified>
</cp:coreProperties>
</file>